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threadedComments/threadedComment2.xml" ContentType="application/vnd.ms-excel.threaded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threadedComments/threadedComment3.xml" ContentType="application/vnd.ms-excel.threaded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ATRICIA\FINANCEIRO\2025\PG APOLICE SEGURO 2025\"/>
    </mc:Choice>
  </mc:AlternateContent>
  <xr:revisionPtr revIDLastSave="0" documentId="13_ncr:1_{0238258C-910F-412B-84E3-EE911AE49EEB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JANEIRO 2025" sheetId="58" r:id="rId1"/>
    <sheet name="FEVEREIRO 2025" sheetId="59" r:id="rId2"/>
    <sheet name="MARÇO 2025" sheetId="60" r:id="rId3"/>
    <sheet name="ABRIL 2025" sheetId="61" r:id="rId4"/>
    <sheet name="MAIO_25" sheetId="67" r:id="rId5"/>
    <sheet name="JUNHO_25" sheetId="68" r:id="rId6"/>
    <sheet name="JULHO 25" sheetId="70" r:id="rId7"/>
    <sheet name="AGOSTO 25" sheetId="72" r:id="rId8"/>
    <sheet name="SETEMBRO 25" sheetId="73" r:id="rId9"/>
    <sheet name="OUT 25" sheetId="74" r:id="rId10"/>
    <sheet name="NOV_25" sheetId="77" r:id="rId11"/>
    <sheet name="DEZ 25" sheetId="78" r:id="rId12"/>
  </sheets>
  <definedNames>
    <definedName name="_xlnm._FilterDatabase" localSheetId="3" hidden="1">'ABRIL 2025'!$B$2:$P$127</definedName>
    <definedName name="_xlnm._FilterDatabase" localSheetId="7" hidden="1">'AGOSTO 25'!$B$2:$P$114</definedName>
    <definedName name="_xlnm._FilterDatabase" localSheetId="11" hidden="1">'DEZ 25'!$A$2:$Q$136</definedName>
    <definedName name="_xlnm._FilterDatabase" localSheetId="1" hidden="1">'FEVEREIRO 2025'!$B$2:$P$101</definedName>
    <definedName name="_xlnm._FilterDatabase" localSheetId="0" hidden="1">'JANEIRO 2025'!$B$2:$P$86</definedName>
    <definedName name="_xlnm._FilterDatabase" localSheetId="6" hidden="1">'JULHO 25'!$D$2:$P$105</definedName>
    <definedName name="_xlnm._FilterDatabase" localSheetId="5" hidden="1">JUNHO_25!$B$2:$P$103</definedName>
    <definedName name="_xlnm._FilterDatabase" localSheetId="4" hidden="1">MAIO_25!$D$2:$P$142</definedName>
    <definedName name="_xlnm._FilterDatabase" localSheetId="2" hidden="1">'MARÇO 2025'!$A$2:$P$134</definedName>
    <definedName name="_xlnm._FilterDatabase" localSheetId="10" hidden="1">NOV_25!$B$2:$P$126</definedName>
    <definedName name="_xlnm._FilterDatabase" localSheetId="9" hidden="1">'OUT 25'!$A$2:$Q$149</definedName>
    <definedName name="_xlnm._FilterDatabase" localSheetId="8" hidden="1">'SETEMBRO 25'!$B$2:$P$142</definedName>
    <definedName name="_xlnm.Print_Area" localSheetId="3">'ABRIL 2025'!$A$1:$P$129</definedName>
    <definedName name="_xlnm.Print_Area" localSheetId="7">'AGOSTO 25'!$A$1:$P$116</definedName>
    <definedName name="_xlnm.Print_Area" localSheetId="11">'DEZ 25'!$A$1:$P$138</definedName>
    <definedName name="_xlnm.Print_Area" localSheetId="1">'FEVEREIRO 2025'!$A$1:$P$103</definedName>
    <definedName name="_xlnm.Print_Area" localSheetId="0">'JANEIRO 2025'!$A$1:$P$88</definedName>
    <definedName name="_xlnm.Print_Area" localSheetId="6">'JULHO 25'!$A$1:$P$107</definedName>
    <definedName name="_xlnm.Print_Area" localSheetId="2">'MARÇO 2025'!$A$1:$P$136</definedName>
    <definedName name="_xlnm.Print_Area" localSheetId="10">NOV_25!$A$1:$P$151</definedName>
    <definedName name="_xlnm.Print_Area" localSheetId="8">'SETEMBRO 25'!$A$1:$P$144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78" l="1"/>
  <c r="F138" i="78"/>
  <c r="G136" i="78"/>
  <c r="I136" i="78" s="1"/>
  <c r="G135" i="78"/>
  <c r="I135" i="78" s="1"/>
  <c r="G134" i="78"/>
  <c r="I134" i="78" s="1"/>
  <c r="N134" i="78" s="1"/>
  <c r="G133" i="78"/>
  <c r="I133" i="78" s="1"/>
  <c r="G132" i="78"/>
  <c r="I132" i="78" s="1"/>
  <c r="M132" i="78" s="1"/>
  <c r="G131" i="78"/>
  <c r="I131" i="78" s="1"/>
  <c r="N131" i="78" s="1"/>
  <c r="G130" i="78"/>
  <c r="I130" i="78" s="1"/>
  <c r="L130" i="78" s="1"/>
  <c r="G129" i="78"/>
  <c r="I129" i="78" s="1"/>
  <c r="G128" i="78"/>
  <c r="I128" i="78" s="1"/>
  <c r="G127" i="78"/>
  <c r="I127" i="78" s="1"/>
  <c r="O127" i="78" s="1"/>
  <c r="G126" i="78"/>
  <c r="I126" i="78" s="1"/>
  <c r="N126" i="78" s="1"/>
  <c r="G125" i="78"/>
  <c r="I125" i="78" s="1"/>
  <c r="G124" i="78"/>
  <c r="I124" i="78" s="1"/>
  <c r="M124" i="78" s="1"/>
  <c r="G123" i="78"/>
  <c r="I123" i="78" s="1"/>
  <c r="G122" i="78"/>
  <c r="I122" i="78" s="1"/>
  <c r="L122" i="78" s="1"/>
  <c r="G121" i="78"/>
  <c r="I121" i="78" s="1"/>
  <c r="G120" i="78"/>
  <c r="I120" i="78" s="1"/>
  <c r="G119" i="78"/>
  <c r="I119" i="78" s="1"/>
  <c r="O119" i="78" s="1"/>
  <c r="G118" i="78"/>
  <c r="I118" i="78" s="1"/>
  <c r="N118" i="78" s="1"/>
  <c r="G117" i="78"/>
  <c r="I117" i="78" s="1"/>
  <c r="G116" i="78"/>
  <c r="I116" i="78" s="1"/>
  <c r="M116" i="78" s="1"/>
  <c r="G115" i="78"/>
  <c r="I115" i="78" s="1"/>
  <c r="G114" i="78"/>
  <c r="I114" i="78" s="1"/>
  <c r="G113" i="78"/>
  <c r="I113" i="78" s="1"/>
  <c r="L113" i="78" s="1"/>
  <c r="G112" i="78"/>
  <c r="I112" i="78" s="1"/>
  <c r="G111" i="78"/>
  <c r="I111" i="78" s="1"/>
  <c r="O111" i="78" s="1"/>
  <c r="G110" i="78"/>
  <c r="I110" i="78" s="1"/>
  <c r="N110" i="78" s="1"/>
  <c r="G109" i="78"/>
  <c r="I109" i="78" s="1"/>
  <c r="N109" i="78" s="1"/>
  <c r="G108" i="78"/>
  <c r="I108" i="78" s="1"/>
  <c r="M108" i="78" s="1"/>
  <c r="G107" i="78"/>
  <c r="I107" i="78" s="1"/>
  <c r="G106" i="78"/>
  <c r="I106" i="78" s="1"/>
  <c r="M106" i="78" s="1"/>
  <c r="G105" i="78"/>
  <c r="I105" i="78" s="1"/>
  <c r="L105" i="78" s="1"/>
  <c r="G104" i="78"/>
  <c r="I104" i="78" s="1"/>
  <c r="G103" i="78"/>
  <c r="I103" i="78" s="1"/>
  <c r="G102" i="78"/>
  <c r="I102" i="78" s="1"/>
  <c r="O102" i="78" s="1"/>
  <c r="G101" i="78"/>
  <c r="I101" i="78" s="1"/>
  <c r="G100" i="78"/>
  <c r="I100" i="78" s="1"/>
  <c r="M100" i="78" s="1"/>
  <c r="G99" i="78"/>
  <c r="I99" i="78" s="1"/>
  <c r="M99" i="78" s="1"/>
  <c r="G98" i="78"/>
  <c r="I98" i="78" s="1"/>
  <c r="L98" i="78" s="1"/>
  <c r="G97" i="78"/>
  <c r="I97" i="78" s="1"/>
  <c r="G96" i="78"/>
  <c r="I96" i="78" s="1"/>
  <c r="G95" i="78"/>
  <c r="I95" i="78" s="1"/>
  <c r="O95" i="78" s="1"/>
  <c r="G94" i="78"/>
  <c r="I94" i="78" s="1"/>
  <c r="O94" i="78" s="1"/>
  <c r="G93" i="78"/>
  <c r="I93" i="78" s="1"/>
  <c r="G92" i="78"/>
  <c r="I92" i="78" s="1"/>
  <c r="M92" i="78" s="1"/>
  <c r="G91" i="78"/>
  <c r="I91" i="78" s="1"/>
  <c r="N91" i="78" s="1"/>
  <c r="G90" i="78"/>
  <c r="I90" i="78" s="1"/>
  <c r="G89" i="78"/>
  <c r="I89" i="78" s="1"/>
  <c r="L89" i="78" s="1"/>
  <c r="G88" i="78"/>
  <c r="I88" i="78" s="1"/>
  <c r="G87" i="78"/>
  <c r="I87" i="78" s="1"/>
  <c r="G86" i="78"/>
  <c r="I86" i="78" s="1"/>
  <c r="G85" i="78"/>
  <c r="I85" i="78" s="1"/>
  <c r="G84" i="78"/>
  <c r="I84" i="78" s="1"/>
  <c r="M84" i="78" s="1"/>
  <c r="G83" i="78"/>
  <c r="I83" i="78" s="1"/>
  <c r="M83" i="78" s="1"/>
  <c r="G82" i="78"/>
  <c r="I82" i="78" s="1"/>
  <c r="L82" i="78" s="1"/>
  <c r="G81" i="78"/>
  <c r="I81" i="78" s="1"/>
  <c r="G80" i="78"/>
  <c r="I80" i="78" s="1"/>
  <c r="G79" i="78"/>
  <c r="I79" i="78" s="1"/>
  <c r="G78" i="78"/>
  <c r="I78" i="78" s="1"/>
  <c r="G77" i="78"/>
  <c r="I77" i="78" s="1"/>
  <c r="M77" i="78" s="1"/>
  <c r="G76" i="78"/>
  <c r="I76" i="78" s="1"/>
  <c r="M76" i="78" s="1"/>
  <c r="G75" i="78"/>
  <c r="I75" i="78" s="1"/>
  <c r="G74" i="78"/>
  <c r="I74" i="78" s="1"/>
  <c r="L74" i="78" s="1"/>
  <c r="G73" i="78"/>
  <c r="I73" i="78" s="1"/>
  <c r="G72" i="78"/>
  <c r="I72" i="78" s="1"/>
  <c r="N72" i="78" s="1"/>
  <c r="G71" i="78"/>
  <c r="I71" i="78" s="1"/>
  <c r="M71" i="78" s="1"/>
  <c r="G70" i="78"/>
  <c r="I70" i="78" s="1"/>
  <c r="O70" i="78" s="1"/>
  <c r="G69" i="78"/>
  <c r="I69" i="78" s="1"/>
  <c r="O69" i="78" s="1"/>
  <c r="G68" i="78"/>
  <c r="I68" i="78" s="1"/>
  <c r="M68" i="78" s="1"/>
  <c r="G67" i="78"/>
  <c r="I67" i="78" s="1"/>
  <c r="N67" i="78" s="1"/>
  <c r="G66" i="78"/>
  <c r="I66" i="78" s="1"/>
  <c r="M66" i="78" s="1"/>
  <c r="G65" i="78"/>
  <c r="I65" i="78" s="1"/>
  <c r="O65" i="78" s="1"/>
  <c r="G64" i="78"/>
  <c r="I64" i="78" s="1"/>
  <c r="G63" i="78"/>
  <c r="I63" i="78" s="1"/>
  <c r="O63" i="78" s="1"/>
  <c r="G62" i="78"/>
  <c r="I62" i="78" s="1"/>
  <c r="G61" i="78"/>
  <c r="I61" i="78" s="1"/>
  <c r="G60" i="78"/>
  <c r="I60" i="78" s="1"/>
  <c r="M60" i="78" s="1"/>
  <c r="G59" i="78"/>
  <c r="I59" i="78" s="1"/>
  <c r="G58" i="78"/>
  <c r="I58" i="78" s="1"/>
  <c r="M58" i="78" s="1"/>
  <c r="G57" i="78"/>
  <c r="I57" i="78" s="1"/>
  <c r="G56" i="78"/>
  <c r="I56" i="78" s="1"/>
  <c r="N56" i="78" s="1"/>
  <c r="G55" i="78"/>
  <c r="I55" i="78" s="1"/>
  <c r="L55" i="78" s="1"/>
  <c r="G54" i="78"/>
  <c r="I54" i="78" s="1"/>
  <c r="G53" i="78"/>
  <c r="I53" i="78" s="1"/>
  <c r="N53" i="78" s="1"/>
  <c r="G52" i="78"/>
  <c r="I52" i="78" s="1"/>
  <c r="G51" i="78"/>
  <c r="I51" i="78" s="1"/>
  <c r="G50" i="78"/>
  <c r="I50" i="78" s="1"/>
  <c r="G49" i="78"/>
  <c r="I49" i="78" s="1"/>
  <c r="O49" i="78" s="1"/>
  <c r="G48" i="78"/>
  <c r="I48" i="78" s="1"/>
  <c r="G47" i="78"/>
  <c r="I47" i="78" s="1"/>
  <c r="O47" i="78" s="1"/>
  <c r="G46" i="78"/>
  <c r="I46" i="78" s="1"/>
  <c r="G45" i="78"/>
  <c r="I45" i="78" s="1"/>
  <c r="G44" i="78"/>
  <c r="I44" i="78" s="1"/>
  <c r="G43" i="78"/>
  <c r="I43" i="78" s="1"/>
  <c r="G42" i="78"/>
  <c r="I42" i="78" s="1"/>
  <c r="N42" i="78" s="1"/>
  <c r="G41" i="78"/>
  <c r="I41" i="78" s="1"/>
  <c r="M41" i="78" s="1"/>
  <c r="G40" i="78"/>
  <c r="I40" i="78" s="1"/>
  <c r="G39" i="78"/>
  <c r="I39" i="78" s="1"/>
  <c r="L39" i="78" s="1"/>
  <c r="G38" i="78"/>
  <c r="I38" i="78" s="1"/>
  <c r="G37" i="78"/>
  <c r="I37" i="78" s="1"/>
  <c r="O37" i="78" s="1"/>
  <c r="G36" i="78"/>
  <c r="I36" i="78" s="1"/>
  <c r="G35" i="78"/>
  <c r="I35" i="78" s="1"/>
  <c r="G34" i="78"/>
  <c r="I34" i="78" s="1"/>
  <c r="G33" i="78"/>
  <c r="I33" i="78" s="1"/>
  <c r="G32" i="78"/>
  <c r="I32" i="78" s="1"/>
  <c r="G31" i="78"/>
  <c r="I31" i="78" s="1"/>
  <c r="G30" i="78"/>
  <c r="I30" i="78" s="1"/>
  <c r="G29" i="78"/>
  <c r="I29" i="78" s="1"/>
  <c r="O29" i="78" s="1"/>
  <c r="G28" i="78"/>
  <c r="I28" i="78" s="1"/>
  <c r="G27" i="78"/>
  <c r="I27" i="78" s="1"/>
  <c r="G26" i="78"/>
  <c r="I26" i="78" s="1"/>
  <c r="G25" i="78"/>
  <c r="I25" i="78" s="1"/>
  <c r="G24" i="78"/>
  <c r="I24" i="78" s="1"/>
  <c r="G23" i="78"/>
  <c r="I23" i="78" s="1"/>
  <c r="G22" i="78"/>
  <c r="I22" i="78" s="1"/>
  <c r="G21" i="78"/>
  <c r="G20" i="78"/>
  <c r="I20" i="78" s="1"/>
  <c r="G19" i="78"/>
  <c r="I19" i="78" s="1"/>
  <c r="G18" i="78"/>
  <c r="I18" i="78" s="1"/>
  <c r="G17" i="78"/>
  <c r="I17" i="78" s="1"/>
  <c r="G16" i="78"/>
  <c r="I16" i="78" s="1"/>
  <c r="G15" i="78"/>
  <c r="I15" i="78" s="1"/>
  <c r="G14" i="78"/>
  <c r="I14" i="78" s="1"/>
  <c r="G13" i="78"/>
  <c r="I13" i="78" s="1"/>
  <c r="O13" i="78" s="1"/>
  <c r="G12" i="78"/>
  <c r="I12" i="78" s="1"/>
  <c r="G11" i="78"/>
  <c r="I11" i="78" s="1"/>
  <c r="G10" i="78"/>
  <c r="I10" i="78" s="1"/>
  <c r="N10" i="78" s="1"/>
  <c r="G9" i="78"/>
  <c r="I9" i="78" s="1"/>
  <c r="G8" i="78"/>
  <c r="I8" i="78" s="1"/>
  <c r="G7" i="78"/>
  <c r="I7" i="78" s="1"/>
  <c r="G6" i="78"/>
  <c r="I6" i="78" s="1"/>
  <c r="G5" i="78"/>
  <c r="I5" i="78" s="1"/>
  <c r="O5" i="78" s="1"/>
  <c r="G4" i="78"/>
  <c r="I4" i="78" s="1"/>
  <c r="G3" i="78"/>
  <c r="I21" i="78" s="1"/>
  <c r="H151" i="77"/>
  <c r="F151" i="77"/>
  <c r="G149" i="77"/>
  <c r="I149" i="77" s="1"/>
  <c r="G126" i="77"/>
  <c r="I126" i="77" s="1"/>
  <c r="G125" i="77"/>
  <c r="I125" i="77" s="1"/>
  <c r="O125" i="77" s="1"/>
  <c r="G124" i="77"/>
  <c r="I124" i="77" s="1"/>
  <c r="O124" i="77" s="1"/>
  <c r="G123" i="77"/>
  <c r="I123" i="77" s="1"/>
  <c r="N123" i="77" s="1"/>
  <c r="G122" i="77"/>
  <c r="I122" i="77" s="1"/>
  <c r="G121" i="77"/>
  <c r="I121" i="77" s="1"/>
  <c r="G120" i="77"/>
  <c r="I120" i="77" s="1"/>
  <c r="G119" i="77"/>
  <c r="I119" i="77" s="1"/>
  <c r="G118" i="77"/>
  <c r="I118" i="77" s="1"/>
  <c r="G117" i="77"/>
  <c r="I117" i="77" s="1"/>
  <c r="O117" i="77" s="1"/>
  <c r="G116" i="77"/>
  <c r="I116" i="77" s="1"/>
  <c r="G115" i="77"/>
  <c r="I115" i="77" s="1"/>
  <c r="O115" i="77" s="1"/>
  <c r="G114" i="77"/>
  <c r="I114" i="77" s="1"/>
  <c r="G113" i="77"/>
  <c r="I113" i="77" s="1"/>
  <c r="G112" i="77"/>
  <c r="I112" i="77" s="1"/>
  <c r="L112" i="77" s="1"/>
  <c r="G111" i="77"/>
  <c r="I111" i="77" s="1"/>
  <c r="G110" i="77"/>
  <c r="I110" i="77" s="1"/>
  <c r="G109" i="77"/>
  <c r="I109" i="77" s="1"/>
  <c r="O109" i="77" s="1"/>
  <c r="G108" i="77"/>
  <c r="I108" i="77" s="1"/>
  <c r="O108" i="77" s="1"/>
  <c r="G107" i="77"/>
  <c r="I107" i="77" s="1"/>
  <c r="G106" i="77"/>
  <c r="I106" i="77" s="1"/>
  <c r="N106" i="77" s="1"/>
  <c r="G105" i="77"/>
  <c r="I105" i="77" s="1"/>
  <c r="G104" i="77"/>
  <c r="I104" i="77" s="1"/>
  <c r="L104" i="77" s="1"/>
  <c r="G103" i="77"/>
  <c r="I103" i="77" s="1"/>
  <c r="G102" i="77"/>
  <c r="I102" i="77" s="1"/>
  <c r="G101" i="77"/>
  <c r="I101" i="77" s="1"/>
  <c r="G100" i="77"/>
  <c r="I100" i="77" s="1"/>
  <c r="G99" i="77"/>
  <c r="I99" i="77" s="1"/>
  <c r="N99" i="77" s="1"/>
  <c r="G98" i="77"/>
  <c r="I98" i="77" s="1"/>
  <c r="N98" i="77" s="1"/>
  <c r="G97" i="77"/>
  <c r="I97" i="77" s="1"/>
  <c r="N97" i="77" s="1"/>
  <c r="G96" i="77"/>
  <c r="I96" i="77" s="1"/>
  <c r="N96" i="77" s="1"/>
  <c r="G95" i="77"/>
  <c r="I95" i="77" s="1"/>
  <c r="G94" i="77"/>
  <c r="I94" i="77" s="1"/>
  <c r="L94" i="77" s="1"/>
  <c r="G93" i="77"/>
  <c r="I93" i="77" s="1"/>
  <c r="G92" i="77"/>
  <c r="I92" i="77" s="1"/>
  <c r="O92" i="77" s="1"/>
  <c r="G91" i="77"/>
  <c r="I91" i="77" s="1"/>
  <c r="N91" i="77" s="1"/>
  <c r="G90" i="77"/>
  <c r="I90" i="77" s="1"/>
  <c r="G89" i="77"/>
  <c r="I89" i="77" s="1"/>
  <c r="G88" i="77"/>
  <c r="I88" i="77" s="1"/>
  <c r="G87" i="77"/>
  <c r="I87" i="77" s="1"/>
  <c r="M87" i="77" s="1"/>
  <c r="G86" i="77"/>
  <c r="I86" i="77" s="1"/>
  <c r="G85" i="77"/>
  <c r="I85" i="77" s="1"/>
  <c r="G84" i="77"/>
  <c r="I84" i="77" s="1"/>
  <c r="O84" i="77" s="1"/>
  <c r="G83" i="77"/>
  <c r="I83" i="77" s="1"/>
  <c r="N83" i="77" s="1"/>
  <c r="G82" i="77"/>
  <c r="I82" i="77" s="1"/>
  <c r="N82" i="77" s="1"/>
  <c r="G81" i="77"/>
  <c r="I81" i="77" s="1"/>
  <c r="G80" i="77"/>
  <c r="I80" i="77" s="1"/>
  <c r="N80" i="77" s="1"/>
  <c r="G79" i="77"/>
  <c r="I79" i="77" s="1"/>
  <c r="G78" i="77"/>
  <c r="I78" i="77" s="1"/>
  <c r="L78" i="77" s="1"/>
  <c r="G77" i="77"/>
  <c r="I77" i="77" s="1"/>
  <c r="G76" i="77"/>
  <c r="I76" i="77" s="1"/>
  <c r="O76" i="77" s="1"/>
  <c r="G75" i="77"/>
  <c r="I75" i="77" s="1"/>
  <c r="O75" i="77" s="1"/>
  <c r="G74" i="77"/>
  <c r="I74" i="77" s="1"/>
  <c r="G73" i="77"/>
  <c r="I73" i="77" s="1"/>
  <c r="G72" i="77"/>
  <c r="I72" i="77" s="1"/>
  <c r="G71" i="77"/>
  <c r="I71" i="77" s="1"/>
  <c r="G70" i="77"/>
  <c r="I70" i="77" s="1"/>
  <c r="L70" i="77" s="1"/>
  <c r="G69" i="77"/>
  <c r="I69" i="77" s="1"/>
  <c r="G68" i="77"/>
  <c r="I68" i="77" s="1"/>
  <c r="G67" i="77"/>
  <c r="I67" i="77" s="1"/>
  <c r="O67" i="77" s="1"/>
  <c r="G66" i="77"/>
  <c r="I66" i="77" s="1"/>
  <c r="M66" i="77" s="1"/>
  <c r="G65" i="77"/>
  <c r="I65" i="77" s="1"/>
  <c r="G64" i="77"/>
  <c r="I64" i="77" s="1"/>
  <c r="L64" i="77" s="1"/>
  <c r="G63" i="77"/>
  <c r="I63" i="77" s="1"/>
  <c r="G62" i="77"/>
  <c r="I62" i="77" s="1"/>
  <c r="L62" i="77" s="1"/>
  <c r="G61" i="77"/>
  <c r="I61" i="77" s="1"/>
  <c r="G60" i="77"/>
  <c r="I60" i="77" s="1"/>
  <c r="G59" i="77"/>
  <c r="I59" i="77" s="1"/>
  <c r="G58" i="77"/>
  <c r="I58" i="77" s="1"/>
  <c r="O58" i="77" s="1"/>
  <c r="G57" i="77"/>
  <c r="I57" i="77" s="1"/>
  <c r="G56" i="77"/>
  <c r="I56" i="77" s="1"/>
  <c r="N56" i="77" s="1"/>
  <c r="G55" i="77"/>
  <c r="I55" i="77" s="1"/>
  <c r="G54" i="77"/>
  <c r="I54" i="77" s="1"/>
  <c r="L54" i="77" s="1"/>
  <c r="G53" i="77"/>
  <c r="I53" i="77" s="1"/>
  <c r="O53" i="77" s="1"/>
  <c r="G52" i="77"/>
  <c r="I52" i="77" s="1"/>
  <c r="O52" i="77" s="1"/>
  <c r="G51" i="77"/>
  <c r="I51" i="77" s="1"/>
  <c r="L51" i="77" s="1"/>
  <c r="G50" i="77"/>
  <c r="I50" i="77" s="1"/>
  <c r="O50" i="77" s="1"/>
  <c r="G49" i="77"/>
  <c r="I49" i="77" s="1"/>
  <c r="G48" i="77"/>
  <c r="I48" i="77" s="1"/>
  <c r="N48" i="77" s="1"/>
  <c r="G47" i="77"/>
  <c r="I47" i="77" s="1"/>
  <c r="G46" i="77"/>
  <c r="I46" i="77" s="1"/>
  <c r="L46" i="77" s="1"/>
  <c r="G45" i="77"/>
  <c r="I45" i="77" s="1"/>
  <c r="G44" i="77"/>
  <c r="I44" i="77" s="1"/>
  <c r="G43" i="77"/>
  <c r="I43" i="77" s="1"/>
  <c r="L43" i="77" s="1"/>
  <c r="G42" i="77"/>
  <c r="I42" i="77" s="1"/>
  <c r="N42" i="77" s="1"/>
  <c r="G41" i="77"/>
  <c r="I41" i="77" s="1"/>
  <c r="G40" i="77"/>
  <c r="I40" i="77" s="1"/>
  <c r="G39" i="77"/>
  <c r="I39" i="77" s="1"/>
  <c r="G38" i="77"/>
  <c r="I38" i="77" s="1"/>
  <c r="G37" i="77"/>
  <c r="I37" i="77" s="1"/>
  <c r="G36" i="77"/>
  <c r="I36" i="77" s="1"/>
  <c r="G35" i="77"/>
  <c r="I35" i="77" s="1"/>
  <c r="G34" i="77"/>
  <c r="I34" i="77" s="1"/>
  <c r="G33" i="77"/>
  <c r="I33" i="77" s="1"/>
  <c r="O33" i="77" s="1"/>
  <c r="G32" i="77"/>
  <c r="I32" i="77" s="1"/>
  <c r="G31" i="77"/>
  <c r="I31" i="77" s="1"/>
  <c r="G30" i="77"/>
  <c r="I30" i="77" s="1"/>
  <c r="G29" i="77"/>
  <c r="I29" i="77" s="1"/>
  <c r="G28" i="77"/>
  <c r="I28" i="77" s="1"/>
  <c r="G27" i="77"/>
  <c r="I27" i="77" s="1"/>
  <c r="G26" i="77"/>
  <c r="I26" i="77" s="1"/>
  <c r="G25" i="77"/>
  <c r="I25" i="77" s="1"/>
  <c r="L25" i="77" s="1"/>
  <c r="G24" i="77"/>
  <c r="I24" i="77" s="1"/>
  <c r="G23" i="77"/>
  <c r="I23" i="77" s="1"/>
  <c r="G22" i="77"/>
  <c r="I22" i="77" s="1"/>
  <c r="G21" i="77"/>
  <c r="I21" i="77" s="1"/>
  <c r="G20" i="77"/>
  <c r="I20" i="77" s="1"/>
  <c r="M20" i="77" s="1"/>
  <c r="G19" i="77"/>
  <c r="I19" i="77" s="1"/>
  <c r="L19" i="77" s="1"/>
  <c r="G18" i="77"/>
  <c r="I18" i="77" s="1"/>
  <c r="G17" i="77"/>
  <c r="I17" i="77" s="1"/>
  <c r="L17" i="77" s="1"/>
  <c r="G16" i="77"/>
  <c r="I16" i="77" s="1"/>
  <c r="G15" i="77"/>
  <c r="I15" i="77" s="1"/>
  <c r="G14" i="77"/>
  <c r="I14" i="77" s="1"/>
  <c r="G13" i="77"/>
  <c r="I13" i="77" s="1"/>
  <c r="G12" i="77"/>
  <c r="I12" i="77" s="1"/>
  <c r="G11" i="77"/>
  <c r="I11" i="77" s="1"/>
  <c r="G10" i="77"/>
  <c r="I10" i="77" s="1"/>
  <c r="G9" i="77"/>
  <c r="I9" i="77" s="1"/>
  <c r="O9" i="77" s="1"/>
  <c r="G8" i="77"/>
  <c r="I8" i="77" s="1"/>
  <c r="G7" i="77"/>
  <c r="I7" i="77" s="1"/>
  <c r="G6" i="77"/>
  <c r="I6" i="77" s="1"/>
  <c r="G5" i="77"/>
  <c r="I5" i="77" s="1"/>
  <c r="G4" i="77"/>
  <c r="I4" i="77" s="1"/>
  <c r="G3" i="77"/>
  <c r="L24" i="74"/>
  <c r="M24" i="74"/>
  <c r="N24" i="74"/>
  <c r="O24" i="74"/>
  <c r="P24" i="74"/>
  <c r="N85" i="78" l="1"/>
  <c r="O85" i="78"/>
  <c r="M85" i="78"/>
  <c r="N116" i="78"/>
  <c r="O14" i="78"/>
  <c r="L14" i="78"/>
  <c r="M25" i="78"/>
  <c r="N25" i="78"/>
  <c r="N133" i="78"/>
  <c r="O133" i="78"/>
  <c r="M133" i="78"/>
  <c r="M130" i="78"/>
  <c r="L100" i="78"/>
  <c r="L10" i="78"/>
  <c r="L70" i="78"/>
  <c r="M74" i="78"/>
  <c r="M70" i="78"/>
  <c r="O60" i="78"/>
  <c r="N100" i="78"/>
  <c r="N60" i="78"/>
  <c r="O30" i="78"/>
  <c r="L30" i="78"/>
  <c r="M30" i="78"/>
  <c r="O38" i="78"/>
  <c r="M38" i="78"/>
  <c r="L38" i="78"/>
  <c r="M17" i="78"/>
  <c r="O17" i="78"/>
  <c r="N17" i="78"/>
  <c r="N75" i="78"/>
  <c r="M75" i="78"/>
  <c r="N18" i="78"/>
  <c r="L18" i="78"/>
  <c r="O18" i="78"/>
  <c r="M33" i="78"/>
  <c r="O33" i="78"/>
  <c r="N33" i="78"/>
  <c r="L48" i="78"/>
  <c r="M48" i="78"/>
  <c r="N48" i="78"/>
  <c r="N117" i="78"/>
  <c r="O117" i="78"/>
  <c r="M117" i="78"/>
  <c r="N125" i="78"/>
  <c r="O125" i="78"/>
  <c r="M125" i="78"/>
  <c r="O46" i="78"/>
  <c r="N46" i="78"/>
  <c r="O86" i="78"/>
  <c r="N86" i="78"/>
  <c r="M86" i="78"/>
  <c r="L86" i="78"/>
  <c r="N93" i="78"/>
  <c r="O93" i="78"/>
  <c r="M93" i="78"/>
  <c r="O6" i="78"/>
  <c r="M6" i="78"/>
  <c r="L6" i="78"/>
  <c r="L40" i="78"/>
  <c r="M40" i="78"/>
  <c r="N26" i="78"/>
  <c r="O26" i="78"/>
  <c r="L26" i="78"/>
  <c r="N34" i="78"/>
  <c r="O34" i="78"/>
  <c r="L34" i="78"/>
  <c r="O22" i="78"/>
  <c r="M22" i="78"/>
  <c r="L22" i="78"/>
  <c r="O73" i="78"/>
  <c r="L73" i="78"/>
  <c r="N123" i="78"/>
  <c r="M123" i="78"/>
  <c r="O54" i="78"/>
  <c r="N54" i="78"/>
  <c r="M54" i="78"/>
  <c r="L54" i="78"/>
  <c r="M9" i="78"/>
  <c r="N9" i="78"/>
  <c r="O9" i="78"/>
  <c r="O62" i="78"/>
  <c r="N62" i="78"/>
  <c r="M62" i="78"/>
  <c r="L62" i="78"/>
  <c r="O78" i="78"/>
  <c r="N78" i="78"/>
  <c r="M78" i="78"/>
  <c r="L78" i="78"/>
  <c r="N101" i="78"/>
  <c r="O101" i="78"/>
  <c r="M101" i="78"/>
  <c r="N124" i="78"/>
  <c r="L58" i="78"/>
  <c r="M109" i="78"/>
  <c r="N70" i="78"/>
  <c r="O10" i="78"/>
  <c r="O25" i="78"/>
  <c r="M39" i="78"/>
  <c r="M55" i="78"/>
  <c r="L102" i="78"/>
  <c r="L42" i="78"/>
  <c r="N55" i="78"/>
  <c r="O77" i="78"/>
  <c r="N83" i="78"/>
  <c r="M94" i="78"/>
  <c r="O100" i="78"/>
  <c r="M42" i="78"/>
  <c r="M98" i="78"/>
  <c r="O71" i="78"/>
  <c r="L76" i="78"/>
  <c r="N84" i="78"/>
  <c r="O132" i="78"/>
  <c r="M14" i="78"/>
  <c r="L53" i="78"/>
  <c r="L94" i="78"/>
  <c r="N39" i="78"/>
  <c r="M53" i="78"/>
  <c r="M102" i="78"/>
  <c r="O109" i="78"/>
  <c r="O39" i="78"/>
  <c r="N94" i="78"/>
  <c r="N102" i="78"/>
  <c r="O42" i="78"/>
  <c r="L84" i="78"/>
  <c r="N132" i="78"/>
  <c r="L60" i="78"/>
  <c r="N76" i="78"/>
  <c r="L116" i="78"/>
  <c r="P116" i="78" s="1"/>
  <c r="L64" i="78"/>
  <c r="O64" i="78"/>
  <c r="M64" i="78"/>
  <c r="N64" i="78"/>
  <c r="L128" i="78"/>
  <c r="O128" i="78"/>
  <c r="N128" i="78"/>
  <c r="M128" i="78"/>
  <c r="O12" i="78"/>
  <c r="N12" i="78"/>
  <c r="M12" i="78"/>
  <c r="L12" i="78"/>
  <c r="L16" i="78"/>
  <c r="N16" i="78"/>
  <c r="O16" i="78"/>
  <c r="M16" i="78"/>
  <c r="O36" i="78"/>
  <c r="N36" i="78"/>
  <c r="M36" i="78"/>
  <c r="L36" i="78"/>
  <c r="O11" i="78"/>
  <c r="N11" i="78"/>
  <c r="M11" i="78"/>
  <c r="L11" i="78"/>
  <c r="L8" i="78"/>
  <c r="O8" i="78"/>
  <c r="N8" i="78"/>
  <c r="M8" i="78"/>
  <c r="O20" i="78"/>
  <c r="N20" i="78"/>
  <c r="M20" i="78"/>
  <c r="L20" i="78"/>
  <c r="L24" i="78"/>
  <c r="N24" i="78"/>
  <c r="O24" i="78"/>
  <c r="M24" i="78"/>
  <c r="O51" i="78"/>
  <c r="L51" i="78"/>
  <c r="N51" i="78"/>
  <c r="M51" i="78"/>
  <c r="O4" i="78"/>
  <c r="N4" i="78"/>
  <c r="M4" i="78"/>
  <c r="L4" i="78"/>
  <c r="M52" i="78"/>
  <c r="O52" i="78"/>
  <c r="N52" i="78"/>
  <c r="L52" i="78"/>
  <c r="L96" i="78"/>
  <c r="O96" i="78"/>
  <c r="N96" i="78"/>
  <c r="M96" i="78"/>
  <c r="L112" i="78"/>
  <c r="O112" i="78"/>
  <c r="N112" i="78"/>
  <c r="M112" i="78"/>
  <c r="N23" i="78"/>
  <c r="M23" i="78"/>
  <c r="L23" i="78"/>
  <c r="O27" i="78"/>
  <c r="N27" i="78"/>
  <c r="M27" i="78"/>
  <c r="L27" i="78"/>
  <c r="O28" i="78"/>
  <c r="N28" i="78"/>
  <c r="M28" i="78"/>
  <c r="L28" i="78"/>
  <c r="L32" i="78"/>
  <c r="N32" i="78"/>
  <c r="O32" i="78"/>
  <c r="M32" i="78"/>
  <c r="M44" i="78"/>
  <c r="O44" i="78"/>
  <c r="N44" i="78"/>
  <c r="L44" i="78"/>
  <c r="L120" i="78"/>
  <c r="O120" i="78"/>
  <c r="N120" i="78"/>
  <c r="M120" i="78"/>
  <c r="O15" i="78"/>
  <c r="N15" i="78"/>
  <c r="M15" i="78"/>
  <c r="L15" i="78"/>
  <c r="L80" i="78"/>
  <c r="O80" i="78"/>
  <c r="M80" i="78"/>
  <c r="N80" i="78"/>
  <c r="O19" i="78"/>
  <c r="N19" i="78"/>
  <c r="M19" i="78"/>
  <c r="L19" i="78"/>
  <c r="M31" i="78"/>
  <c r="O31" i="78"/>
  <c r="N31" i="78"/>
  <c r="L31" i="78"/>
  <c r="N7" i="78"/>
  <c r="M7" i="78"/>
  <c r="O7" i="78"/>
  <c r="L7" i="78"/>
  <c r="O35" i="78"/>
  <c r="N35" i="78"/>
  <c r="M35" i="78"/>
  <c r="L35" i="78"/>
  <c r="N45" i="78"/>
  <c r="M45" i="78"/>
  <c r="O45" i="78"/>
  <c r="L45" i="78"/>
  <c r="N114" i="78"/>
  <c r="O114" i="78"/>
  <c r="L56" i="78"/>
  <c r="O56" i="78"/>
  <c r="M56" i="78"/>
  <c r="N71" i="78"/>
  <c r="L71" i="78"/>
  <c r="M73" i="78"/>
  <c r="N73" i="78"/>
  <c r="O75" i="78"/>
  <c r="L75" i="78"/>
  <c r="N77" i="78"/>
  <c r="L77" i="78"/>
  <c r="O83" i="78"/>
  <c r="L83" i="78"/>
  <c r="M89" i="78"/>
  <c r="O89" i="78"/>
  <c r="N89" i="78"/>
  <c r="N95" i="78"/>
  <c r="M95" i="78"/>
  <c r="L95" i="78"/>
  <c r="N98" i="78"/>
  <c r="O98" i="78"/>
  <c r="O108" i="78"/>
  <c r="O123" i="78"/>
  <c r="L123" i="78"/>
  <c r="G138" i="78"/>
  <c r="L13" i="78"/>
  <c r="L29" i="78"/>
  <c r="L37" i="78"/>
  <c r="N50" i="78"/>
  <c r="O50" i="78"/>
  <c r="L66" i="78"/>
  <c r="L68" i="78"/>
  <c r="N79" i="78"/>
  <c r="L79" i="78"/>
  <c r="M81" i="78"/>
  <c r="O81" i="78"/>
  <c r="N81" i="78"/>
  <c r="N87" i="78"/>
  <c r="M87" i="78"/>
  <c r="L87" i="78"/>
  <c r="N90" i="78"/>
  <c r="O90" i="78"/>
  <c r="L92" i="78"/>
  <c r="O107" i="78"/>
  <c r="L107" i="78"/>
  <c r="L114" i="78"/>
  <c r="M121" i="78"/>
  <c r="O121" i="78"/>
  <c r="N121" i="78"/>
  <c r="N135" i="78"/>
  <c r="M135" i="78"/>
  <c r="L135" i="78"/>
  <c r="L104" i="78"/>
  <c r="O104" i="78"/>
  <c r="N104" i="78"/>
  <c r="M104" i="78"/>
  <c r="O118" i="78"/>
  <c r="M118" i="78"/>
  <c r="L118" i="78"/>
  <c r="L21" i="78"/>
  <c r="I3" i="78"/>
  <c r="M5" i="78"/>
  <c r="N6" i="78"/>
  <c r="M13" i="78"/>
  <c r="N14" i="78"/>
  <c r="M21" i="78"/>
  <c r="N22" i="78"/>
  <c r="M29" i="78"/>
  <c r="N30" i="78"/>
  <c r="M37" i="78"/>
  <c r="N38" i="78"/>
  <c r="L41" i="78"/>
  <c r="L47" i="78"/>
  <c r="O48" i="78"/>
  <c r="L50" i="78"/>
  <c r="O53" i="78"/>
  <c r="N68" i="78"/>
  <c r="N74" i="78"/>
  <c r="O74" i="78"/>
  <c r="M79" i="78"/>
  <c r="L81" i="78"/>
  <c r="O87" i="78"/>
  <c r="L90" i="78"/>
  <c r="N92" i="78"/>
  <c r="M107" i="78"/>
  <c r="M114" i="78"/>
  <c r="O116" i="78"/>
  <c r="L121" i="78"/>
  <c r="O131" i="78"/>
  <c r="L131" i="78"/>
  <c r="O135" i="78"/>
  <c r="N66" i="78"/>
  <c r="O66" i="78"/>
  <c r="N111" i="78"/>
  <c r="M111" i="78"/>
  <c r="L111" i="78"/>
  <c r="L5" i="78"/>
  <c r="N5" i="78"/>
  <c r="N13" i="78"/>
  <c r="N21" i="78"/>
  <c r="N29" i="78"/>
  <c r="N37" i="78"/>
  <c r="N41" i="78"/>
  <c r="M47" i="78"/>
  <c r="M50" i="78"/>
  <c r="M57" i="78"/>
  <c r="N57" i="78"/>
  <c r="O59" i="78"/>
  <c r="L59" i="78"/>
  <c r="N61" i="78"/>
  <c r="L61" i="78"/>
  <c r="O68" i="78"/>
  <c r="L72" i="78"/>
  <c r="O72" i="78"/>
  <c r="M72" i="78"/>
  <c r="O79" i="78"/>
  <c r="N82" i="78"/>
  <c r="O82" i="78"/>
  <c r="M90" i="78"/>
  <c r="O92" i="78"/>
  <c r="O99" i="78"/>
  <c r="L99" i="78"/>
  <c r="M105" i="78"/>
  <c r="O105" i="78"/>
  <c r="N105" i="78"/>
  <c r="N107" i="78"/>
  <c r="N119" i="78"/>
  <c r="M119" i="78"/>
  <c r="L119" i="78"/>
  <c r="N122" i="78"/>
  <c r="O122" i="78"/>
  <c r="L124" i="78"/>
  <c r="O126" i="78"/>
  <c r="M126" i="78"/>
  <c r="L126" i="78"/>
  <c r="M131" i="78"/>
  <c r="O41" i="78"/>
  <c r="O43" i="78"/>
  <c r="L43" i="78"/>
  <c r="N47" i="78"/>
  <c r="L57" i="78"/>
  <c r="M59" i="78"/>
  <c r="M61" i="78"/>
  <c r="L88" i="78"/>
  <c r="O88" i="78"/>
  <c r="N88" i="78"/>
  <c r="M88" i="78"/>
  <c r="O115" i="78"/>
  <c r="L115" i="78"/>
  <c r="M129" i="78"/>
  <c r="O129" i="78"/>
  <c r="N129" i="78"/>
  <c r="O136" i="78"/>
  <c r="N136" i="78"/>
  <c r="M136" i="78"/>
  <c r="L136" i="78"/>
  <c r="L9" i="78"/>
  <c r="M10" i="78"/>
  <c r="L17" i="78"/>
  <c r="M18" i="78"/>
  <c r="L25" i="78"/>
  <c r="M26" i="78"/>
  <c r="L33" i="78"/>
  <c r="M34" i="78"/>
  <c r="N40" i="78"/>
  <c r="M43" i="78"/>
  <c r="L46" i="78"/>
  <c r="M49" i="78"/>
  <c r="N49" i="78"/>
  <c r="O55" i="78"/>
  <c r="O57" i="78"/>
  <c r="N59" i="78"/>
  <c r="O61" i="78"/>
  <c r="N63" i="78"/>
  <c r="L63" i="78"/>
  <c r="M65" i="78"/>
  <c r="N65" i="78"/>
  <c r="O67" i="78"/>
  <c r="L67" i="78"/>
  <c r="N69" i="78"/>
  <c r="L69" i="78"/>
  <c r="O76" i="78"/>
  <c r="M82" i="78"/>
  <c r="O84" i="78"/>
  <c r="O91" i="78"/>
  <c r="L91" i="78"/>
  <c r="M97" i="78"/>
  <c r="O97" i="78"/>
  <c r="N97" i="78"/>
  <c r="N99" i="78"/>
  <c r="N103" i="78"/>
  <c r="M103" i="78"/>
  <c r="L103" i="78"/>
  <c r="N106" i="78"/>
  <c r="O106" i="78"/>
  <c r="L108" i="78"/>
  <c r="O110" i="78"/>
  <c r="M110" i="78"/>
  <c r="L110" i="78"/>
  <c r="M115" i="78"/>
  <c r="M122" i="78"/>
  <c r="O124" i="78"/>
  <c r="L129" i="78"/>
  <c r="O40" i="78"/>
  <c r="N43" i="78"/>
  <c r="M46" i="78"/>
  <c r="L49" i="78"/>
  <c r="N58" i="78"/>
  <c r="O58" i="78"/>
  <c r="M63" i="78"/>
  <c r="L65" i="78"/>
  <c r="M67" i="78"/>
  <c r="M69" i="78"/>
  <c r="M91" i="78"/>
  <c r="L97" i="78"/>
  <c r="O103" i="78"/>
  <c r="L106" i="78"/>
  <c r="N108" i="78"/>
  <c r="M113" i="78"/>
  <c r="O113" i="78"/>
  <c r="N113" i="78"/>
  <c r="N115" i="78"/>
  <c r="N127" i="78"/>
  <c r="M127" i="78"/>
  <c r="L127" i="78"/>
  <c r="N130" i="78"/>
  <c r="O130" i="78"/>
  <c r="L132" i="78"/>
  <c r="O134" i="78"/>
  <c r="M134" i="78"/>
  <c r="L134" i="78"/>
  <c r="L85" i="78"/>
  <c r="P85" i="78" s="1"/>
  <c r="L93" i="78"/>
  <c r="L101" i="78"/>
  <c r="L109" i="78"/>
  <c r="L117" i="78"/>
  <c r="L125" i="78"/>
  <c r="L133" i="78"/>
  <c r="O123" i="77"/>
  <c r="N52" i="77"/>
  <c r="O91" i="77"/>
  <c r="O42" i="77"/>
  <c r="M58" i="77"/>
  <c r="N58" i="77"/>
  <c r="M50" i="77"/>
  <c r="N50" i="77"/>
  <c r="N65" i="77"/>
  <c r="M65" i="77"/>
  <c r="O65" i="77"/>
  <c r="L65" i="77"/>
  <c r="N113" i="77"/>
  <c r="L113" i="77"/>
  <c r="M113" i="77"/>
  <c r="O113" i="77"/>
  <c r="N49" i="77"/>
  <c r="L49" i="77"/>
  <c r="N121" i="77"/>
  <c r="M121" i="77"/>
  <c r="L121" i="77"/>
  <c r="O121" i="77"/>
  <c r="M4" i="77"/>
  <c r="O4" i="77"/>
  <c r="N4" i="77"/>
  <c r="N57" i="77"/>
  <c r="L57" i="77"/>
  <c r="L35" i="77"/>
  <c r="M35" i="77"/>
  <c r="N35" i="77"/>
  <c r="M28" i="77"/>
  <c r="N28" i="77"/>
  <c r="L28" i="77"/>
  <c r="O28" i="77"/>
  <c r="O22" i="77"/>
  <c r="N22" i="77"/>
  <c r="M22" i="77"/>
  <c r="N73" i="77"/>
  <c r="L73" i="77"/>
  <c r="O73" i="77"/>
  <c r="M73" i="77"/>
  <c r="N81" i="77"/>
  <c r="O81" i="77"/>
  <c r="M81" i="77"/>
  <c r="L81" i="77"/>
  <c r="L41" i="77"/>
  <c r="M41" i="77"/>
  <c r="N41" i="77"/>
  <c r="N105" i="77"/>
  <c r="M105" i="77"/>
  <c r="L105" i="77"/>
  <c r="O105" i="77"/>
  <c r="O30" i="77"/>
  <c r="N30" i="77"/>
  <c r="M30" i="77"/>
  <c r="N89" i="77"/>
  <c r="O89" i="77"/>
  <c r="M89" i="77"/>
  <c r="L89" i="77"/>
  <c r="M12" i="77"/>
  <c r="O12" i="77"/>
  <c r="N12" i="77"/>
  <c r="L27" i="77"/>
  <c r="N27" i="77"/>
  <c r="M27" i="77"/>
  <c r="N19" i="77"/>
  <c r="M42" i="77"/>
  <c r="M19" i="77"/>
  <c r="L20" i="77"/>
  <c r="N20" i="77"/>
  <c r="O83" i="77"/>
  <c r="M97" i="77"/>
  <c r="L97" i="77"/>
  <c r="O20" i="77"/>
  <c r="O97" i="77"/>
  <c r="N5" i="77"/>
  <c r="M5" i="77"/>
  <c r="L5" i="77"/>
  <c r="O5" i="77"/>
  <c r="O34" i="77"/>
  <c r="M34" i="77"/>
  <c r="L34" i="77"/>
  <c r="N34" i="77"/>
  <c r="O39" i="77"/>
  <c r="N39" i="77"/>
  <c r="M39" i="77"/>
  <c r="L39" i="77"/>
  <c r="N37" i="77"/>
  <c r="M37" i="77"/>
  <c r="L37" i="77"/>
  <c r="O37" i="77"/>
  <c r="N29" i="77"/>
  <c r="M29" i="77"/>
  <c r="O29" i="77"/>
  <c r="L29" i="77"/>
  <c r="O23" i="77"/>
  <c r="N23" i="77"/>
  <c r="M23" i="77"/>
  <c r="L23" i="77"/>
  <c r="M40" i="77"/>
  <c r="L40" i="77"/>
  <c r="O40" i="77"/>
  <c r="N40" i="77"/>
  <c r="M10" i="77"/>
  <c r="O10" i="77"/>
  <c r="L10" i="77"/>
  <c r="N10" i="77"/>
  <c r="O16" i="77"/>
  <c r="N16" i="77"/>
  <c r="M16" i="77"/>
  <c r="L16" i="77"/>
  <c r="O7" i="77"/>
  <c r="N7" i="77"/>
  <c r="M7" i="77"/>
  <c r="L7" i="77"/>
  <c r="M44" i="77"/>
  <c r="L44" i="77"/>
  <c r="O44" i="77"/>
  <c r="N44" i="77"/>
  <c r="L11" i="77"/>
  <c r="M11" i="77"/>
  <c r="N11" i="77"/>
  <c r="O11" i="77"/>
  <c r="O6" i="77"/>
  <c r="M6" i="77"/>
  <c r="N6" i="77"/>
  <c r="L6" i="77"/>
  <c r="O18" i="77"/>
  <c r="L18" i="77"/>
  <c r="M18" i="77"/>
  <c r="N18" i="77"/>
  <c r="O24" i="77"/>
  <c r="N24" i="77"/>
  <c r="M24" i="77"/>
  <c r="L24" i="77"/>
  <c r="O8" i="77"/>
  <c r="N8" i="77"/>
  <c r="M8" i="77"/>
  <c r="L8" i="77"/>
  <c r="O15" i="77"/>
  <c r="N15" i="77"/>
  <c r="M15" i="77"/>
  <c r="L15" i="77"/>
  <c r="O71" i="77"/>
  <c r="N71" i="77"/>
  <c r="L71" i="77"/>
  <c r="M71" i="77"/>
  <c r="O38" i="77"/>
  <c r="N38" i="77"/>
  <c r="M38" i="77"/>
  <c r="L38" i="77"/>
  <c r="N13" i="77"/>
  <c r="M13" i="77"/>
  <c r="L13" i="77"/>
  <c r="O13" i="77"/>
  <c r="N21" i="77"/>
  <c r="M21" i="77"/>
  <c r="L21" i="77"/>
  <c r="O21" i="77"/>
  <c r="O31" i="77"/>
  <c r="N31" i="77"/>
  <c r="M31" i="77"/>
  <c r="L31" i="77"/>
  <c r="O63" i="77"/>
  <c r="N63" i="77"/>
  <c r="L63" i="77"/>
  <c r="M63" i="77"/>
  <c r="O103" i="77"/>
  <c r="N103" i="77"/>
  <c r="M103" i="77"/>
  <c r="L103" i="77"/>
  <c r="O14" i="77"/>
  <c r="N14" i="77"/>
  <c r="M14" i="77"/>
  <c r="L14" i="77"/>
  <c r="L26" i="77"/>
  <c r="M26" i="77"/>
  <c r="O26" i="77"/>
  <c r="N26" i="77"/>
  <c r="O32" i="77"/>
  <c r="N32" i="77"/>
  <c r="M32" i="77"/>
  <c r="L32" i="77"/>
  <c r="M36" i="77"/>
  <c r="L36" i="77"/>
  <c r="N36" i="77"/>
  <c r="O36" i="77"/>
  <c r="O111" i="77"/>
  <c r="N111" i="77"/>
  <c r="M111" i="77"/>
  <c r="L111" i="77"/>
  <c r="O77" i="77"/>
  <c r="N77" i="77"/>
  <c r="M77" i="77"/>
  <c r="L77" i="77"/>
  <c r="O126" i="77"/>
  <c r="N126" i="77"/>
  <c r="M126" i="77"/>
  <c r="L126" i="77"/>
  <c r="N68" i="77"/>
  <c r="M68" i="77"/>
  <c r="L68" i="77"/>
  <c r="L80" i="77"/>
  <c r="M107" i="77"/>
  <c r="L107" i="77"/>
  <c r="N115" i="77"/>
  <c r="M9" i="77"/>
  <c r="M17" i="77"/>
  <c r="O19" i="77"/>
  <c r="M25" i="77"/>
  <c r="O27" i="77"/>
  <c r="M33" i="77"/>
  <c r="O35" i="77"/>
  <c r="O41" i="77"/>
  <c r="O61" i="77"/>
  <c r="N61" i="77"/>
  <c r="M61" i="77"/>
  <c r="L61" i="77"/>
  <c r="O64" i="77"/>
  <c r="M64" i="77"/>
  <c r="L66" i="77"/>
  <c r="O66" i="77"/>
  <c r="O68" i="77"/>
  <c r="N75" i="77"/>
  <c r="O78" i="77"/>
  <c r="N78" i="77"/>
  <c r="M78" i="77"/>
  <c r="N92" i="77"/>
  <c r="M92" i="77"/>
  <c r="L92" i="77"/>
  <c r="M99" i="77"/>
  <c r="L99" i="77"/>
  <c r="N107" i="77"/>
  <c r="O110" i="77"/>
  <c r="N110" i="77"/>
  <c r="M110" i="77"/>
  <c r="L110" i="77"/>
  <c r="N124" i="77"/>
  <c r="M124" i="77"/>
  <c r="L124" i="77"/>
  <c r="M115" i="77"/>
  <c r="L115" i="77"/>
  <c r="O118" i="77"/>
  <c r="N118" i="77"/>
  <c r="M118" i="77"/>
  <c r="L118" i="77"/>
  <c r="N17" i="77"/>
  <c r="N25" i="77"/>
  <c r="N33" i="77"/>
  <c r="M43" i="77"/>
  <c r="O47" i="77"/>
  <c r="N47" i="77"/>
  <c r="L47" i="77"/>
  <c r="O55" i="77"/>
  <c r="N55" i="77"/>
  <c r="L55" i="77"/>
  <c r="M59" i="77"/>
  <c r="L59" i="77"/>
  <c r="O85" i="77"/>
  <c r="N85" i="77"/>
  <c r="M85" i="77"/>
  <c r="L85" i="77"/>
  <c r="O88" i="77"/>
  <c r="M88" i="77"/>
  <c r="L90" i="77"/>
  <c r="O90" i="77"/>
  <c r="O95" i="77"/>
  <c r="N95" i="77"/>
  <c r="L95" i="77"/>
  <c r="O102" i="77"/>
  <c r="N102" i="77"/>
  <c r="M102" i="77"/>
  <c r="L102" i="77"/>
  <c r="O107" i="77"/>
  <c r="N116" i="77"/>
  <c r="M116" i="77"/>
  <c r="L116" i="77"/>
  <c r="O119" i="77"/>
  <c r="N119" i="77"/>
  <c r="M119" i="77"/>
  <c r="L119" i="77"/>
  <c r="O94" i="77"/>
  <c r="N94" i="77"/>
  <c r="M94" i="77"/>
  <c r="L9" i="77"/>
  <c r="L33" i="77"/>
  <c r="M75" i="77"/>
  <c r="L75" i="77"/>
  <c r="O101" i="77"/>
  <c r="N101" i="77"/>
  <c r="M101" i="77"/>
  <c r="L101" i="77"/>
  <c r="N9" i="77"/>
  <c r="O17" i="77"/>
  <c r="L22" i="77"/>
  <c r="O25" i="77"/>
  <c r="L30" i="77"/>
  <c r="N43" i="77"/>
  <c r="N45" i="77"/>
  <c r="M45" i="77"/>
  <c r="L45" i="77"/>
  <c r="M47" i="77"/>
  <c r="M49" i="77"/>
  <c r="M51" i="77"/>
  <c r="N53" i="77"/>
  <c r="M53" i="77"/>
  <c r="L53" i="77"/>
  <c r="M55" i="77"/>
  <c r="M57" i="77"/>
  <c r="N59" i="77"/>
  <c r="O62" i="77"/>
  <c r="N62" i="77"/>
  <c r="M62" i="77"/>
  <c r="N64" i="77"/>
  <c r="N66" i="77"/>
  <c r="N76" i="77"/>
  <c r="M76" i="77"/>
  <c r="L76" i="77"/>
  <c r="M83" i="77"/>
  <c r="L83" i="77"/>
  <c r="L88" i="77"/>
  <c r="M90" i="77"/>
  <c r="M95" i="77"/>
  <c r="O99" i="77"/>
  <c r="N108" i="77"/>
  <c r="M108" i="77"/>
  <c r="L108" i="77"/>
  <c r="O116" i="77"/>
  <c r="L122" i="77"/>
  <c r="O122" i="77"/>
  <c r="L82" i="77"/>
  <c r="O82" i="77"/>
  <c r="G151" i="77"/>
  <c r="L42" i="77"/>
  <c r="O43" i="77"/>
  <c r="O45" i="77"/>
  <c r="O49" i="77"/>
  <c r="N51" i="77"/>
  <c r="O57" i="77"/>
  <c r="O59" i="77"/>
  <c r="O69" i="77"/>
  <c r="N69" i="77"/>
  <c r="M69" i="77"/>
  <c r="L69" i="77"/>
  <c r="O72" i="77"/>
  <c r="M72" i="77"/>
  <c r="L74" i="77"/>
  <c r="O74" i="77"/>
  <c r="O79" i="77"/>
  <c r="N79" i="77"/>
  <c r="L79" i="77"/>
  <c r="O86" i="77"/>
  <c r="N86" i="77"/>
  <c r="M86" i="77"/>
  <c r="N88" i="77"/>
  <c r="N90" i="77"/>
  <c r="N100" i="77"/>
  <c r="M100" i="77"/>
  <c r="L100" i="77"/>
  <c r="L114" i="77"/>
  <c r="O114" i="77"/>
  <c r="O120" i="77"/>
  <c r="N120" i="77"/>
  <c r="M120" i="77"/>
  <c r="M122" i="77"/>
  <c r="O149" i="77"/>
  <c r="N149" i="77"/>
  <c r="M149" i="77"/>
  <c r="L149" i="77"/>
  <c r="O80" i="77"/>
  <c r="M80" i="77"/>
  <c r="I3" i="77"/>
  <c r="O48" i="77"/>
  <c r="M48" i="77"/>
  <c r="O51" i="77"/>
  <c r="O56" i="77"/>
  <c r="M56" i="77"/>
  <c r="N60" i="77"/>
  <c r="M60" i="77"/>
  <c r="L60" i="77"/>
  <c r="M67" i="77"/>
  <c r="L67" i="77"/>
  <c r="L72" i="77"/>
  <c r="M74" i="77"/>
  <c r="M79" i="77"/>
  <c r="L86" i="77"/>
  <c r="O93" i="77"/>
  <c r="N93" i="77"/>
  <c r="M93" i="77"/>
  <c r="L93" i="77"/>
  <c r="O96" i="77"/>
  <c r="M96" i="77"/>
  <c r="L98" i="77"/>
  <c r="O98" i="77"/>
  <c r="O100" i="77"/>
  <c r="L106" i="77"/>
  <c r="O106" i="77"/>
  <c r="O112" i="77"/>
  <c r="N112" i="77"/>
  <c r="M112" i="77"/>
  <c r="M114" i="77"/>
  <c r="L120" i="77"/>
  <c r="N122" i="77"/>
  <c r="O87" i="77"/>
  <c r="N87" i="77"/>
  <c r="L87" i="77"/>
  <c r="M82" i="77"/>
  <c r="L4" i="77"/>
  <c r="L12" i="77"/>
  <c r="O46" i="77"/>
  <c r="N46" i="77"/>
  <c r="M46" i="77"/>
  <c r="L48" i="77"/>
  <c r="L50" i="77"/>
  <c r="M52" i="77"/>
  <c r="L52" i="77"/>
  <c r="O54" i="77"/>
  <c r="N54" i="77"/>
  <c r="M54" i="77"/>
  <c r="L56" i="77"/>
  <c r="L58" i="77"/>
  <c r="O60" i="77"/>
  <c r="N67" i="77"/>
  <c r="O70" i="77"/>
  <c r="N70" i="77"/>
  <c r="M70" i="77"/>
  <c r="N72" i="77"/>
  <c r="N74" i="77"/>
  <c r="N84" i="77"/>
  <c r="M84" i="77"/>
  <c r="L84" i="77"/>
  <c r="M91" i="77"/>
  <c r="L91" i="77"/>
  <c r="L96" i="77"/>
  <c r="M98" i="77"/>
  <c r="O104" i="77"/>
  <c r="N104" i="77"/>
  <c r="M104" i="77"/>
  <c r="M106" i="77"/>
  <c r="N114" i="77"/>
  <c r="M123" i="77"/>
  <c r="L123" i="77"/>
  <c r="L109" i="77"/>
  <c r="L117" i="77"/>
  <c r="L125" i="77"/>
  <c r="M109" i="77"/>
  <c r="M117" i="77"/>
  <c r="M125" i="77"/>
  <c r="N109" i="77"/>
  <c r="N117" i="77"/>
  <c r="N125" i="77"/>
  <c r="H151" i="74"/>
  <c r="F151" i="74"/>
  <c r="G149" i="74"/>
  <c r="I149" i="74" s="1"/>
  <c r="O149" i="74" s="1"/>
  <c r="G148" i="74"/>
  <c r="I148" i="74" s="1"/>
  <c r="G147" i="74"/>
  <c r="I147" i="74" s="1"/>
  <c r="G146" i="74"/>
  <c r="I146" i="74" s="1"/>
  <c r="G145" i="74"/>
  <c r="I145" i="74" s="1"/>
  <c r="G144" i="74"/>
  <c r="I144" i="74" s="1"/>
  <c r="N144" i="74" s="1"/>
  <c r="G143" i="74"/>
  <c r="I143" i="74" s="1"/>
  <c r="M143" i="74" s="1"/>
  <c r="G142" i="74"/>
  <c r="I142" i="74" s="1"/>
  <c r="G141" i="74"/>
  <c r="I141" i="74" s="1"/>
  <c r="M141" i="74" s="1"/>
  <c r="G140" i="74"/>
  <c r="I140" i="74" s="1"/>
  <c r="G139" i="74"/>
  <c r="I139" i="74" s="1"/>
  <c r="L139" i="74" s="1"/>
  <c r="G138" i="74"/>
  <c r="I138" i="74" s="1"/>
  <c r="G137" i="74"/>
  <c r="I137" i="74" s="1"/>
  <c r="G136" i="74"/>
  <c r="I136" i="74" s="1"/>
  <c r="N136" i="74" s="1"/>
  <c r="G135" i="74"/>
  <c r="I135" i="74" s="1"/>
  <c r="G134" i="74"/>
  <c r="I134" i="74" s="1"/>
  <c r="M134" i="74" s="1"/>
  <c r="G133" i="74"/>
  <c r="I133" i="74" s="1"/>
  <c r="O133" i="74" s="1"/>
  <c r="G132" i="74"/>
  <c r="I132" i="74" s="1"/>
  <c r="G131" i="74"/>
  <c r="I131" i="74" s="1"/>
  <c r="N131" i="74" s="1"/>
  <c r="G130" i="74"/>
  <c r="I130" i="74" s="1"/>
  <c r="G129" i="74"/>
  <c r="I129" i="74" s="1"/>
  <c r="G128" i="74"/>
  <c r="I128" i="74" s="1"/>
  <c r="N128" i="74" s="1"/>
  <c r="G127" i="74"/>
  <c r="I127" i="74" s="1"/>
  <c r="M127" i="74" s="1"/>
  <c r="G126" i="74"/>
  <c r="I126" i="74" s="1"/>
  <c r="G125" i="74"/>
  <c r="I125" i="74" s="1"/>
  <c r="M125" i="74" s="1"/>
  <c r="G124" i="74"/>
  <c r="I124" i="74" s="1"/>
  <c r="N124" i="74" s="1"/>
  <c r="G123" i="74"/>
  <c r="I123" i="74" s="1"/>
  <c r="L123" i="74" s="1"/>
  <c r="G122" i="74"/>
  <c r="I122" i="74" s="1"/>
  <c r="G121" i="74"/>
  <c r="I121" i="74" s="1"/>
  <c r="G120" i="74"/>
  <c r="I120" i="74" s="1"/>
  <c r="N120" i="74" s="1"/>
  <c r="G119" i="74"/>
  <c r="I119" i="74" s="1"/>
  <c r="G118" i="74"/>
  <c r="I118" i="74" s="1"/>
  <c r="M118" i="74" s="1"/>
  <c r="G117" i="74"/>
  <c r="I117" i="74" s="1"/>
  <c r="O117" i="74" s="1"/>
  <c r="G116" i="74"/>
  <c r="I116" i="74" s="1"/>
  <c r="G115" i="74"/>
  <c r="I115" i="74" s="1"/>
  <c r="N115" i="74" s="1"/>
  <c r="G114" i="74"/>
  <c r="I114" i="74" s="1"/>
  <c r="N114" i="74" s="1"/>
  <c r="G113" i="74"/>
  <c r="I113" i="74" s="1"/>
  <c r="G112" i="74"/>
  <c r="I112" i="74" s="1"/>
  <c r="N112" i="74" s="1"/>
  <c r="G111" i="74"/>
  <c r="I111" i="74" s="1"/>
  <c r="M111" i="74" s="1"/>
  <c r="G110" i="74"/>
  <c r="I110" i="74" s="1"/>
  <c r="G109" i="74"/>
  <c r="I109" i="74" s="1"/>
  <c r="M109" i="74" s="1"/>
  <c r="G108" i="74"/>
  <c r="I108" i="74" s="1"/>
  <c r="N108" i="74" s="1"/>
  <c r="G107" i="74"/>
  <c r="I107" i="74" s="1"/>
  <c r="L107" i="74" s="1"/>
  <c r="G106" i="74"/>
  <c r="I106" i="74" s="1"/>
  <c r="G105" i="74"/>
  <c r="I105" i="74" s="1"/>
  <c r="G104" i="74"/>
  <c r="I104" i="74" s="1"/>
  <c r="N104" i="74" s="1"/>
  <c r="G103" i="74"/>
  <c r="I103" i="74" s="1"/>
  <c r="G102" i="74"/>
  <c r="I102" i="74" s="1"/>
  <c r="M102" i="74" s="1"/>
  <c r="G101" i="74"/>
  <c r="I101" i="74" s="1"/>
  <c r="O101" i="74" s="1"/>
  <c r="G100" i="74"/>
  <c r="I100" i="74" s="1"/>
  <c r="G99" i="74"/>
  <c r="I99" i="74" s="1"/>
  <c r="N99" i="74" s="1"/>
  <c r="G98" i="74"/>
  <c r="I98" i="74" s="1"/>
  <c r="G97" i="74"/>
  <c r="I97" i="74" s="1"/>
  <c r="G96" i="74"/>
  <c r="I96" i="74" s="1"/>
  <c r="N96" i="74" s="1"/>
  <c r="G95" i="74"/>
  <c r="I95" i="74" s="1"/>
  <c r="G94" i="74"/>
  <c r="I94" i="74" s="1"/>
  <c r="G93" i="74"/>
  <c r="I93" i="74" s="1"/>
  <c r="M93" i="74" s="1"/>
  <c r="G92" i="74"/>
  <c r="I92" i="74" s="1"/>
  <c r="G91" i="74"/>
  <c r="I91" i="74" s="1"/>
  <c r="L91" i="74" s="1"/>
  <c r="G90" i="74"/>
  <c r="I90" i="74" s="1"/>
  <c r="G89" i="74"/>
  <c r="I89" i="74" s="1"/>
  <c r="G88" i="74"/>
  <c r="I88" i="74" s="1"/>
  <c r="N88" i="74" s="1"/>
  <c r="G87" i="74"/>
  <c r="I87" i="74" s="1"/>
  <c r="G86" i="74"/>
  <c r="I86" i="74" s="1"/>
  <c r="M86" i="74" s="1"/>
  <c r="G85" i="74"/>
  <c r="I85" i="74" s="1"/>
  <c r="O85" i="74" s="1"/>
  <c r="G84" i="74"/>
  <c r="I84" i="74" s="1"/>
  <c r="G83" i="74"/>
  <c r="I83" i="74" s="1"/>
  <c r="G82" i="74"/>
  <c r="I82" i="74" s="1"/>
  <c r="G81" i="74"/>
  <c r="I81" i="74" s="1"/>
  <c r="G80" i="74"/>
  <c r="I80" i="74" s="1"/>
  <c r="N80" i="74" s="1"/>
  <c r="G79" i="74"/>
  <c r="I79" i="74" s="1"/>
  <c r="M79" i="74" s="1"/>
  <c r="G78" i="74"/>
  <c r="I78" i="74" s="1"/>
  <c r="G77" i="74"/>
  <c r="I77" i="74" s="1"/>
  <c r="M77" i="74" s="1"/>
  <c r="G76" i="74"/>
  <c r="I76" i="74" s="1"/>
  <c r="N76" i="74" s="1"/>
  <c r="G75" i="74"/>
  <c r="I75" i="74" s="1"/>
  <c r="L75" i="74" s="1"/>
  <c r="G74" i="74"/>
  <c r="I74" i="74" s="1"/>
  <c r="G73" i="74"/>
  <c r="I73" i="74" s="1"/>
  <c r="G72" i="74"/>
  <c r="I72" i="74" s="1"/>
  <c r="N72" i="74" s="1"/>
  <c r="G71" i="74"/>
  <c r="I71" i="74" s="1"/>
  <c r="M71" i="74" s="1"/>
  <c r="G70" i="74"/>
  <c r="I70" i="74" s="1"/>
  <c r="M70" i="74" s="1"/>
  <c r="G69" i="74"/>
  <c r="I69" i="74" s="1"/>
  <c r="O69" i="74" s="1"/>
  <c r="G68" i="74"/>
  <c r="I68" i="74" s="1"/>
  <c r="G67" i="74"/>
  <c r="I67" i="74" s="1"/>
  <c r="G66" i="74"/>
  <c r="I66" i="74" s="1"/>
  <c r="O66" i="74" s="1"/>
  <c r="G65" i="74"/>
  <c r="I65" i="74" s="1"/>
  <c r="M65" i="74" s="1"/>
  <c r="G64" i="74"/>
  <c r="I64" i="74" s="1"/>
  <c r="G63" i="74"/>
  <c r="I63" i="74" s="1"/>
  <c r="G62" i="74"/>
  <c r="I62" i="74" s="1"/>
  <c r="M62" i="74" s="1"/>
  <c r="G61" i="74"/>
  <c r="I61" i="74" s="1"/>
  <c r="G60" i="74"/>
  <c r="I60" i="74" s="1"/>
  <c r="G59" i="74"/>
  <c r="I59" i="74" s="1"/>
  <c r="G58" i="74"/>
  <c r="I58" i="74" s="1"/>
  <c r="G57" i="74"/>
  <c r="I57" i="74" s="1"/>
  <c r="M57" i="74" s="1"/>
  <c r="G56" i="74"/>
  <c r="I56" i="74" s="1"/>
  <c r="G55" i="74"/>
  <c r="I55" i="74" s="1"/>
  <c r="G54" i="74"/>
  <c r="I54" i="74" s="1"/>
  <c r="N54" i="74" s="1"/>
  <c r="G53" i="74"/>
  <c r="I53" i="74" s="1"/>
  <c r="M53" i="74" s="1"/>
  <c r="G52" i="74"/>
  <c r="I52" i="74" s="1"/>
  <c r="G51" i="74"/>
  <c r="I51" i="74" s="1"/>
  <c r="O51" i="74" s="1"/>
  <c r="G50" i="74"/>
  <c r="I50" i="74" s="1"/>
  <c r="N50" i="74" s="1"/>
  <c r="G49" i="74"/>
  <c r="I49" i="74" s="1"/>
  <c r="N49" i="74" s="1"/>
  <c r="G48" i="74"/>
  <c r="I48" i="74" s="1"/>
  <c r="O48" i="74" s="1"/>
  <c r="G47" i="74"/>
  <c r="I47" i="74" s="1"/>
  <c r="N47" i="74" s="1"/>
  <c r="G46" i="74"/>
  <c r="I46" i="74" s="1"/>
  <c r="G45" i="74"/>
  <c r="I45" i="74" s="1"/>
  <c r="N45" i="74" s="1"/>
  <c r="G44" i="74"/>
  <c r="I44" i="74" s="1"/>
  <c r="G43" i="74"/>
  <c r="I43" i="74" s="1"/>
  <c r="G42" i="74"/>
  <c r="I42" i="74" s="1"/>
  <c r="G41" i="74"/>
  <c r="I41" i="74" s="1"/>
  <c r="M41" i="74" s="1"/>
  <c r="G40" i="74"/>
  <c r="I40" i="74" s="1"/>
  <c r="M40" i="74" s="1"/>
  <c r="G39" i="74"/>
  <c r="I39" i="74" s="1"/>
  <c r="O39" i="74" s="1"/>
  <c r="G38" i="74"/>
  <c r="I38" i="74" s="1"/>
  <c r="O38" i="74" s="1"/>
  <c r="G37" i="74"/>
  <c r="I37" i="74" s="1"/>
  <c r="G36" i="74"/>
  <c r="I36" i="74" s="1"/>
  <c r="G35" i="74"/>
  <c r="I35" i="74" s="1"/>
  <c r="N35" i="74" s="1"/>
  <c r="G34" i="74"/>
  <c r="I34" i="74" s="1"/>
  <c r="N34" i="74" s="1"/>
  <c r="G33" i="74"/>
  <c r="I33" i="74" s="1"/>
  <c r="M33" i="74" s="1"/>
  <c r="G32" i="74"/>
  <c r="I32" i="74" s="1"/>
  <c r="G31" i="74"/>
  <c r="I31" i="74" s="1"/>
  <c r="M31" i="74" s="1"/>
  <c r="G30" i="74"/>
  <c r="I30" i="74" s="1"/>
  <c r="O30" i="74" s="1"/>
  <c r="G29" i="74"/>
  <c r="I29" i="74" s="1"/>
  <c r="G28" i="74"/>
  <c r="I28" i="74" s="1"/>
  <c r="G27" i="74"/>
  <c r="I27" i="74" s="1"/>
  <c r="G26" i="74"/>
  <c r="I26" i="74" s="1"/>
  <c r="N26" i="74" s="1"/>
  <c r="G25" i="74"/>
  <c r="I25" i="74" s="1"/>
  <c r="G24" i="74"/>
  <c r="I24" i="74" s="1"/>
  <c r="G23" i="74"/>
  <c r="I23" i="74" s="1"/>
  <c r="O23" i="74" s="1"/>
  <c r="G22" i="74"/>
  <c r="I22" i="74" s="1"/>
  <c r="G21" i="74"/>
  <c r="I21" i="74" s="1"/>
  <c r="G20" i="74"/>
  <c r="I20" i="74" s="1"/>
  <c r="G19" i="74"/>
  <c r="I19" i="74" s="1"/>
  <c r="N19" i="74" s="1"/>
  <c r="G18" i="74"/>
  <c r="I18" i="74" s="1"/>
  <c r="N18" i="74" s="1"/>
  <c r="G17" i="74"/>
  <c r="I17" i="74" s="1"/>
  <c r="M17" i="74" s="1"/>
  <c r="G16" i="74"/>
  <c r="I16" i="74" s="1"/>
  <c r="L16" i="74" s="1"/>
  <c r="G15" i="74"/>
  <c r="I15" i="74" s="1"/>
  <c r="M15" i="74" s="1"/>
  <c r="G14" i="74"/>
  <c r="I14" i="74" s="1"/>
  <c r="O14" i="74" s="1"/>
  <c r="G13" i="74"/>
  <c r="I13" i="74" s="1"/>
  <c r="G12" i="74"/>
  <c r="I12" i="74" s="1"/>
  <c r="G11" i="74"/>
  <c r="I11" i="74" s="1"/>
  <c r="N11" i="74" s="1"/>
  <c r="G10" i="74"/>
  <c r="I10" i="74" s="1"/>
  <c r="N10" i="74" s="1"/>
  <c r="G9" i="74"/>
  <c r="I9" i="74" s="1"/>
  <c r="G8" i="74"/>
  <c r="I8" i="74" s="1"/>
  <c r="G7" i="74"/>
  <c r="I7" i="74" s="1"/>
  <c r="G6" i="74"/>
  <c r="I6" i="74" s="1"/>
  <c r="L6" i="74" s="1"/>
  <c r="G5" i="74"/>
  <c r="I5" i="74" s="1"/>
  <c r="G4" i="74"/>
  <c r="I4" i="74" s="1"/>
  <c r="G3" i="74"/>
  <c r="I3" i="74" s="1"/>
  <c r="H144" i="73"/>
  <c r="F144" i="73"/>
  <c r="G142" i="73"/>
  <c r="I142" i="73" s="1"/>
  <c r="G141" i="73"/>
  <c r="I141" i="73" s="1"/>
  <c r="G140" i="73"/>
  <c r="I140" i="73" s="1"/>
  <c r="G139" i="73"/>
  <c r="I139" i="73" s="1"/>
  <c r="G138" i="73"/>
  <c r="I138" i="73" s="1"/>
  <c r="L138" i="73" s="1"/>
  <c r="G137" i="73"/>
  <c r="I137" i="73" s="1"/>
  <c r="G136" i="73"/>
  <c r="I136" i="73" s="1"/>
  <c r="G135" i="73"/>
  <c r="I135" i="73" s="1"/>
  <c r="N135" i="73" s="1"/>
  <c r="G134" i="73"/>
  <c r="I134" i="73" s="1"/>
  <c r="G133" i="73"/>
  <c r="I133" i="73" s="1"/>
  <c r="L133" i="73" s="1"/>
  <c r="G132" i="73"/>
  <c r="I132" i="73" s="1"/>
  <c r="G131" i="73"/>
  <c r="I131" i="73" s="1"/>
  <c r="G130" i="73"/>
  <c r="I130" i="73" s="1"/>
  <c r="L130" i="73" s="1"/>
  <c r="G129" i="73"/>
  <c r="I129" i="73" s="1"/>
  <c r="G128" i="73"/>
  <c r="I128" i="73" s="1"/>
  <c r="G127" i="73"/>
  <c r="I127" i="73" s="1"/>
  <c r="N127" i="73" s="1"/>
  <c r="G126" i="73"/>
  <c r="I126" i="73" s="1"/>
  <c r="L126" i="73" s="1"/>
  <c r="G125" i="73"/>
  <c r="I125" i="73" s="1"/>
  <c r="L125" i="73" s="1"/>
  <c r="G124" i="73"/>
  <c r="I124" i="73" s="1"/>
  <c r="G123" i="73"/>
  <c r="I123" i="73" s="1"/>
  <c r="N123" i="73" s="1"/>
  <c r="G122" i="73"/>
  <c r="I122" i="73" s="1"/>
  <c r="L122" i="73" s="1"/>
  <c r="G121" i="73"/>
  <c r="I121" i="73" s="1"/>
  <c r="G120" i="73"/>
  <c r="I120" i="73" s="1"/>
  <c r="G119" i="73"/>
  <c r="I119" i="73" s="1"/>
  <c r="N119" i="73" s="1"/>
  <c r="G118" i="73"/>
  <c r="I118" i="73" s="1"/>
  <c r="L118" i="73" s="1"/>
  <c r="G117" i="73"/>
  <c r="I117" i="73" s="1"/>
  <c r="L117" i="73" s="1"/>
  <c r="G116" i="73"/>
  <c r="I116" i="73" s="1"/>
  <c r="G115" i="73"/>
  <c r="I115" i="73" s="1"/>
  <c r="N115" i="73" s="1"/>
  <c r="G114" i="73"/>
  <c r="I114" i="73" s="1"/>
  <c r="L114" i="73" s="1"/>
  <c r="G113" i="73"/>
  <c r="I113" i="73" s="1"/>
  <c r="G112" i="73"/>
  <c r="I112" i="73" s="1"/>
  <c r="O112" i="73" s="1"/>
  <c r="G111" i="73"/>
  <c r="I111" i="73" s="1"/>
  <c r="N111" i="73" s="1"/>
  <c r="G110" i="73"/>
  <c r="I110" i="73" s="1"/>
  <c r="L110" i="73" s="1"/>
  <c r="G109" i="73"/>
  <c r="I109" i="73" s="1"/>
  <c r="L109" i="73" s="1"/>
  <c r="G108" i="73"/>
  <c r="I108" i="73" s="1"/>
  <c r="G107" i="73"/>
  <c r="I107" i="73" s="1"/>
  <c r="G106" i="73"/>
  <c r="I106" i="73" s="1"/>
  <c r="L106" i="73" s="1"/>
  <c r="G105" i="73"/>
  <c r="I105" i="73" s="1"/>
  <c r="G104" i="73"/>
  <c r="I104" i="73" s="1"/>
  <c r="G103" i="73"/>
  <c r="I103" i="73" s="1"/>
  <c r="N103" i="73" s="1"/>
  <c r="G102" i="73"/>
  <c r="I102" i="73" s="1"/>
  <c r="G101" i="73"/>
  <c r="I101" i="73" s="1"/>
  <c r="L101" i="73" s="1"/>
  <c r="G100" i="73"/>
  <c r="I100" i="73" s="1"/>
  <c r="O100" i="73" s="1"/>
  <c r="G99" i="73"/>
  <c r="I99" i="73" s="1"/>
  <c r="G98" i="73"/>
  <c r="I98" i="73" s="1"/>
  <c r="L98" i="73" s="1"/>
  <c r="G97" i="73"/>
  <c r="I97" i="73" s="1"/>
  <c r="G96" i="73"/>
  <c r="I96" i="73" s="1"/>
  <c r="O96" i="73" s="1"/>
  <c r="G95" i="73"/>
  <c r="I95" i="73" s="1"/>
  <c r="N95" i="73" s="1"/>
  <c r="G94" i="73"/>
  <c r="I94" i="73" s="1"/>
  <c r="G93" i="73"/>
  <c r="I93" i="73" s="1"/>
  <c r="G92" i="73"/>
  <c r="I92" i="73" s="1"/>
  <c r="O92" i="73" s="1"/>
  <c r="G91" i="73"/>
  <c r="I91" i="73" s="1"/>
  <c r="G90" i="73"/>
  <c r="I90" i="73" s="1"/>
  <c r="G89" i="73"/>
  <c r="I89" i="73" s="1"/>
  <c r="G88" i="73"/>
  <c r="I88" i="73" s="1"/>
  <c r="G87" i="73"/>
  <c r="I87" i="73" s="1"/>
  <c r="N87" i="73" s="1"/>
  <c r="G86" i="73"/>
  <c r="I86" i="73" s="1"/>
  <c r="G85" i="73"/>
  <c r="I85" i="73" s="1"/>
  <c r="G84" i="73"/>
  <c r="I84" i="73" s="1"/>
  <c r="O84" i="73" s="1"/>
  <c r="G83" i="73"/>
  <c r="I83" i="73" s="1"/>
  <c r="N83" i="73" s="1"/>
  <c r="G82" i="73"/>
  <c r="I82" i="73" s="1"/>
  <c r="L82" i="73" s="1"/>
  <c r="G81" i="73"/>
  <c r="I81" i="73" s="1"/>
  <c r="L81" i="73" s="1"/>
  <c r="G80" i="73"/>
  <c r="I80" i="73" s="1"/>
  <c r="O80" i="73" s="1"/>
  <c r="G79" i="73"/>
  <c r="I79" i="73" s="1"/>
  <c r="N79" i="73" s="1"/>
  <c r="G78" i="73"/>
  <c r="I78" i="73" s="1"/>
  <c r="N78" i="73" s="1"/>
  <c r="G77" i="73"/>
  <c r="I77" i="73" s="1"/>
  <c r="G76" i="73"/>
  <c r="I76" i="73" s="1"/>
  <c r="O76" i="73" s="1"/>
  <c r="G75" i="73"/>
  <c r="I75" i="73" s="1"/>
  <c r="N75" i="73" s="1"/>
  <c r="G74" i="73"/>
  <c r="I74" i="73" s="1"/>
  <c r="M74" i="73" s="1"/>
  <c r="G73" i="73"/>
  <c r="I73" i="73" s="1"/>
  <c r="G72" i="73"/>
  <c r="I72" i="73" s="1"/>
  <c r="G71" i="73"/>
  <c r="I71" i="73" s="1"/>
  <c r="G70" i="73"/>
  <c r="I70" i="73" s="1"/>
  <c r="N70" i="73" s="1"/>
  <c r="G69" i="73"/>
  <c r="I69" i="73" s="1"/>
  <c r="N69" i="73" s="1"/>
  <c r="G68" i="73"/>
  <c r="I68" i="73" s="1"/>
  <c r="G67" i="73"/>
  <c r="I67" i="73" s="1"/>
  <c r="N67" i="73" s="1"/>
  <c r="G66" i="73"/>
  <c r="I66" i="73" s="1"/>
  <c r="M66" i="73" s="1"/>
  <c r="G65" i="73"/>
  <c r="I65" i="73" s="1"/>
  <c r="G64" i="73"/>
  <c r="I64" i="73" s="1"/>
  <c r="O64" i="73" s="1"/>
  <c r="G63" i="73"/>
  <c r="I63" i="73" s="1"/>
  <c r="N63" i="73" s="1"/>
  <c r="G62" i="73"/>
  <c r="I62" i="73" s="1"/>
  <c r="G61" i="73"/>
  <c r="I61" i="73" s="1"/>
  <c r="G60" i="73"/>
  <c r="I60" i="73" s="1"/>
  <c r="O60" i="73" s="1"/>
  <c r="G59" i="73"/>
  <c r="I59" i="73" s="1"/>
  <c r="N59" i="73" s="1"/>
  <c r="G58" i="73"/>
  <c r="I58" i="73" s="1"/>
  <c r="M58" i="73" s="1"/>
  <c r="G57" i="73"/>
  <c r="I57" i="73" s="1"/>
  <c r="G56" i="73"/>
  <c r="I56" i="73" s="1"/>
  <c r="G55" i="73"/>
  <c r="I55" i="73" s="1"/>
  <c r="N55" i="73" s="1"/>
  <c r="G54" i="73"/>
  <c r="I54" i="73" s="1"/>
  <c r="G53" i="73"/>
  <c r="I53" i="73" s="1"/>
  <c r="N53" i="73" s="1"/>
  <c r="G52" i="73"/>
  <c r="I52" i="73" s="1"/>
  <c r="G51" i="73"/>
  <c r="I51" i="73" s="1"/>
  <c r="N51" i="73" s="1"/>
  <c r="G50" i="73"/>
  <c r="I50" i="73" s="1"/>
  <c r="G49" i="73"/>
  <c r="I49" i="73" s="1"/>
  <c r="L49" i="73" s="1"/>
  <c r="G48" i="73"/>
  <c r="I48" i="73" s="1"/>
  <c r="G47" i="73"/>
  <c r="I47" i="73" s="1"/>
  <c r="L47" i="73" s="1"/>
  <c r="G46" i="73"/>
  <c r="I46" i="73" s="1"/>
  <c r="G45" i="73"/>
  <c r="I45" i="73" s="1"/>
  <c r="N45" i="73" s="1"/>
  <c r="G44" i="73"/>
  <c r="I44" i="73" s="1"/>
  <c r="O44" i="73" s="1"/>
  <c r="G43" i="73"/>
  <c r="I43" i="73" s="1"/>
  <c r="G42" i="73"/>
  <c r="I42" i="73" s="1"/>
  <c r="G41" i="73"/>
  <c r="I41" i="73" s="1"/>
  <c r="N41" i="73" s="1"/>
  <c r="G40" i="73"/>
  <c r="I40" i="73" s="1"/>
  <c r="G39" i="73"/>
  <c r="I39" i="73" s="1"/>
  <c r="M39" i="73" s="1"/>
  <c r="G38" i="73"/>
  <c r="I38" i="73" s="1"/>
  <c r="L38" i="73" s="1"/>
  <c r="G37" i="73"/>
  <c r="I37" i="73" s="1"/>
  <c r="O37" i="73" s="1"/>
  <c r="G36" i="73"/>
  <c r="I36" i="73" s="1"/>
  <c r="G35" i="73"/>
  <c r="I35" i="73" s="1"/>
  <c r="G34" i="73"/>
  <c r="I34" i="73" s="1"/>
  <c r="G33" i="73"/>
  <c r="I33" i="73" s="1"/>
  <c r="M33" i="73" s="1"/>
  <c r="G32" i="73"/>
  <c r="I32" i="73" s="1"/>
  <c r="G31" i="73"/>
  <c r="I31" i="73" s="1"/>
  <c r="O31" i="73" s="1"/>
  <c r="G30" i="73"/>
  <c r="I30" i="73" s="1"/>
  <c r="G29" i="73"/>
  <c r="I29" i="73" s="1"/>
  <c r="G28" i="73"/>
  <c r="I28" i="73" s="1"/>
  <c r="G27" i="73"/>
  <c r="I27" i="73" s="1"/>
  <c r="O27" i="73" s="1"/>
  <c r="G26" i="73"/>
  <c r="I26" i="73" s="1"/>
  <c r="L26" i="73" s="1"/>
  <c r="G25" i="73"/>
  <c r="I25" i="73" s="1"/>
  <c r="G24" i="73"/>
  <c r="I24" i="73" s="1"/>
  <c r="G23" i="73"/>
  <c r="I23" i="73" s="1"/>
  <c r="G22" i="73"/>
  <c r="I22" i="73" s="1"/>
  <c r="G21" i="73"/>
  <c r="I21" i="73" s="1"/>
  <c r="G20" i="73"/>
  <c r="I20" i="73" s="1"/>
  <c r="G19" i="73"/>
  <c r="I19" i="73" s="1"/>
  <c r="O19" i="73" s="1"/>
  <c r="G18" i="73"/>
  <c r="I18" i="73" s="1"/>
  <c r="L18" i="73" s="1"/>
  <c r="G17" i="73"/>
  <c r="I17" i="73" s="1"/>
  <c r="G16" i="73"/>
  <c r="I16" i="73" s="1"/>
  <c r="G15" i="73"/>
  <c r="I15" i="73" s="1"/>
  <c r="G14" i="73"/>
  <c r="I14" i="73" s="1"/>
  <c r="G13" i="73"/>
  <c r="I13" i="73" s="1"/>
  <c r="G12" i="73"/>
  <c r="I12" i="73" s="1"/>
  <c r="M12" i="73" s="1"/>
  <c r="G11" i="73"/>
  <c r="I11" i="73" s="1"/>
  <c r="N11" i="73" s="1"/>
  <c r="G10" i="73"/>
  <c r="I10" i="73" s="1"/>
  <c r="G9" i="73"/>
  <c r="I9" i="73" s="1"/>
  <c r="G8" i="73"/>
  <c r="I8" i="73" s="1"/>
  <c r="G7" i="73"/>
  <c r="I7" i="73" s="1"/>
  <c r="G6" i="73"/>
  <c r="I6" i="73" s="1"/>
  <c r="O6" i="73" s="1"/>
  <c r="G5" i="73"/>
  <c r="I5" i="73" s="1"/>
  <c r="G4" i="73"/>
  <c r="I4" i="73" s="1"/>
  <c r="G3" i="73"/>
  <c r="I3" i="73" s="1"/>
  <c r="H116" i="72"/>
  <c r="F116" i="72"/>
  <c r="G114" i="72"/>
  <c r="I114" i="72" s="1"/>
  <c r="G113" i="72"/>
  <c r="I113" i="72" s="1"/>
  <c r="G112" i="72"/>
  <c r="I112" i="72" s="1"/>
  <c r="M112" i="72" s="1"/>
  <c r="G111" i="72"/>
  <c r="I111" i="72" s="1"/>
  <c r="G110" i="72"/>
  <c r="I110" i="72" s="1"/>
  <c r="L110" i="72" s="1"/>
  <c r="G109" i="72"/>
  <c r="I109" i="72" s="1"/>
  <c r="G108" i="72"/>
  <c r="I108" i="72" s="1"/>
  <c r="G107" i="72"/>
  <c r="I107" i="72" s="1"/>
  <c r="G106" i="72"/>
  <c r="I106" i="72" s="1"/>
  <c r="M106" i="72" s="1"/>
  <c r="G105" i="72"/>
  <c r="I105" i="72" s="1"/>
  <c r="G104" i="72"/>
  <c r="I104" i="72" s="1"/>
  <c r="G103" i="72"/>
  <c r="I103" i="72" s="1"/>
  <c r="G102" i="72"/>
  <c r="I102" i="72" s="1"/>
  <c r="L102" i="72" s="1"/>
  <c r="G101" i="72"/>
  <c r="I101" i="72" s="1"/>
  <c r="G100" i="72"/>
  <c r="I100" i="72" s="1"/>
  <c r="G99" i="72"/>
  <c r="I99" i="72" s="1"/>
  <c r="G98" i="72"/>
  <c r="I98" i="72" s="1"/>
  <c r="G97" i="72"/>
  <c r="I97" i="72" s="1"/>
  <c r="L97" i="72" s="1"/>
  <c r="G96" i="72"/>
  <c r="I96" i="72" s="1"/>
  <c r="M96" i="72" s="1"/>
  <c r="G95" i="72"/>
  <c r="I95" i="72" s="1"/>
  <c r="G94" i="72"/>
  <c r="I94" i="72" s="1"/>
  <c r="L94" i="72" s="1"/>
  <c r="G93" i="72"/>
  <c r="I93" i="72" s="1"/>
  <c r="G92" i="72"/>
  <c r="I92" i="72" s="1"/>
  <c r="G91" i="72"/>
  <c r="I91" i="72" s="1"/>
  <c r="G90" i="72"/>
  <c r="I90" i="72" s="1"/>
  <c r="M90" i="72" s="1"/>
  <c r="G89" i="72"/>
  <c r="I89" i="72" s="1"/>
  <c r="G88" i="72"/>
  <c r="I88" i="72" s="1"/>
  <c r="N88" i="72" s="1"/>
  <c r="G87" i="72"/>
  <c r="I87" i="72" s="1"/>
  <c r="G86" i="72"/>
  <c r="I86" i="72" s="1"/>
  <c r="G85" i="72"/>
  <c r="I85" i="72" s="1"/>
  <c r="G84" i="72"/>
  <c r="I84" i="72" s="1"/>
  <c r="G83" i="72"/>
  <c r="I83" i="72" s="1"/>
  <c r="G82" i="72"/>
  <c r="I82" i="72" s="1"/>
  <c r="G81" i="72"/>
  <c r="I81" i="72" s="1"/>
  <c r="O81" i="72" s="1"/>
  <c r="G80" i="72"/>
  <c r="I80" i="72" s="1"/>
  <c r="N80" i="72" s="1"/>
  <c r="G79" i="72"/>
  <c r="I79" i="72" s="1"/>
  <c r="G78" i="72"/>
  <c r="I78" i="72" s="1"/>
  <c r="G77" i="72"/>
  <c r="I77" i="72" s="1"/>
  <c r="G76" i="72"/>
  <c r="I76" i="72" s="1"/>
  <c r="G75" i="72"/>
  <c r="I75" i="72" s="1"/>
  <c r="M75" i="72" s="1"/>
  <c r="G74" i="72"/>
  <c r="I74" i="72" s="1"/>
  <c r="G73" i="72"/>
  <c r="I73" i="72" s="1"/>
  <c r="G72" i="72"/>
  <c r="I72" i="72" s="1"/>
  <c r="G71" i="72"/>
  <c r="I71" i="72" s="1"/>
  <c r="G70" i="72"/>
  <c r="I70" i="72" s="1"/>
  <c r="L70" i="72" s="1"/>
  <c r="G69" i="72"/>
  <c r="I69" i="72" s="1"/>
  <c r="G68" i="72"/>
  <c r="I68" i="72" s="1"/>
  <c r="G67" i="72"/>
  <c r="I67" i="72" s="1"/>
  <c r="G66" i="72"/>
  <c r="I66" i="72" s="1"/>
  <c r="M66" i="72" s="1"/>
  <c r="G65" i="72"/>
  <c r="I65" i="72" s="1"/>
  <c r="O65" i="72" s="1"/>
  <c r="G64" i="72"/>
  <c r="I64" i="72" s="1"/>
  <c r="N64" i="72" s="1"/>
  <c r="G63" i="72"/>
  <c r="I63" i="72" s="1"/>
  <c r="G62" i="72"/>
  <c r="I62" i="72" s="1"/>
  <c r="L62" i="72" s="1"/>
  <c r="G61" i="72"/>
  <c r="I61" i="72" s="1"/>
  <c r="G60" i="72"/>
  <c r="I60" i="72" s="1"/>
  <c r="N60" i="72" s="1"/>
  <c r="G59" i="72"/>
  <c r="I59" i="72" s="1"/>
  <c r="G58" i="72"/>
  <c r="I58" i="72" s="1"/>
  <c r="G57" i="72"/>
  <c r="I57" i="72" s="1"/>
  <c r="N57" i="72" s="1"/>
  <c r="G56" i="72"/>
  <c r="I56" i="72" s="1"/>
  <c r="M56" i="72" s="1"/>
  <c r="G55" i="72"/>
  <c r="I55" i="72" s="1"/>
  <c r="M55" i="72" s="1"/>
  <c r="G54" i="72"/>
  <c r="I54" i="72" s="1"/>
  <c r="G53" i="72"/>
  <c r="I53" i="72" s="1"/>
  <c r="G52" i="72"/>
  <c r="I52" i="72" s="1"/>
  <c r="G51" i="72"/>
  <c r="I51" i="72" s="1"/>
  <c r="M51" i="72" s="1"/>
  <c r="G50" i="72"/>
  <c r="I50" i="72" s="1"/>
  <c r="G49" i="72"/>
  <c r="I49" i="72" s="1"/>
  <c r="G48" i="72"/>
  <c r="I48" i="72" s="1"/>
  <c r="O48" i="72" s="1"/>
  <c r="G47" i="72"/>
  <c r="I47" i="72" s="1"/>
  <c r="L47" i="72" s="1"/>
  <c r="G46" i="72"/>
  <c r="I46" i="72" s="1"/>
  <c r="L46" i="72" s="1"/>
  <c r="G45" i="72"/>
  <c r="I45" i="72" s="1"/>
  <c r="G44" i="72"/>
  <c r="I44" i="72" s="1"/>
  <c r="N44" i="72" s="1"/>
  <c r="G43" i="72"/>
  <c r="I43" i="72" s="1"/>
  <c r="O43" i="72" s="1"/>
  <c r="G42" i="72"/>
  <c r="I42" i="72" s="1"/>
  <c r="M42" i="72" s="1"/>
  <c r="G41" i="72"/>
  <c r="I41" i="72" s="1"/>
  <c r="G40" i="72"/>
  <c r="I40" i="72" s="1"/>
  <c r="O40" i="72" s="1"/>
  <c r="G39" i="72"/>
  <c r="I39" i="72" s="1"/>
  <c r="G38" i="72"/>
  <c r="I38" i="72" s="1"/>
  <c r="L38" i="72" s="1"/>
  <c r="G37" i="72"/>
  <c r="I37" i="72" s="1"/>
  <c r="O37" i="72" s="1"/>
  <c r="G36" i="72"/>
  <c r="I36" i="72" s="1"/>
  <c r="N36" i="72" s="1"/>
  <c r="G35" i="72"/>
  <c r="I35" i="72" s="1"/>
  <c r="M35" i="72" s="1"/>
  <c r="G34" i="72"/>
  <c r="I34" i="72" s="1"/>
  <c r="G33" i="72"/>
  <c r="I33" i="72" s="1"/>
  <c r="G32" i="72"/>
  <c r="I32" i="72" s="1"/>
  <c r="O32" i="72" s="1"/>
  <c r="G31" i="72"/>
  <c r="I31" i="72" s="1"/>
  <c r="G30" i="72"/>
  <c r="I30" i="72" s="1"/>
  <c r="G29" i="72"/>
  <c r="I29" i="72" s="1"/>
  <c r="O29" i="72" s="1"/>
  <c r="G28" i="72"/>
  <c r="I28" i="72" s="1"/>
  <c r="G27" i="72"/>
  <c r="I27" i="72" s="1"/>
  <c r="G26" i="72"/>
  <c r="I26" i="72" s="1"/>
  <c r="G25" i="72"/>
  <c r="I25" i="72" s="1"/>
  <c r="G24" i="72"/>
  <c r="I24" i="72" s="1"/>
  <c r="L24" i="72" s="1"/>
  <c r="G23" i="72"/>
  <c r="I23" i="72" s="1"/>
  <c r="G22" i="72"/>
  <c r="I22" i="72" s="1"/>
  <c r="O22" i="72" s="1"/>
  <c r="G21" i="72"/>
  <c r="I21" i="72" s="1"/>
  <c r="L21" i="72" s="1"/>
  <c r="G20" i="72"/>
  <c r="I20" i="72" s="1"/>
  <c r="G19" i="72"/>
  <c r="I19" i="72" s="1"/>
  <c r="G18" i="72"/>
  <c r="I18" i="72" s="1"/>
  <c r="G17" i="72"/>
  <c r="I17" i="72" s="1"/>
  <c r="G16" i="72"/>
  <c r="I16" i="72" s="1"/>
  <c r="G15" i="72"/>
  <c r="I15" i="72" s="1"/>
  <c r="G14" i="72"/>
  <c r="I14" i="72" s="1"/>
  <c r="G13" i="72"/>
  <c r="I13" i="72" s="1"/>
  <c r="O13" i="72" s="1"/>
  <c r="G12" i="72"/>
  <c r="I12" i="72" s="1"/>
  <c r="G11" i="72"/>
  <c r="I11" i="72" s="1"/>
  <c r="G10" i="72"/>
  <c r="I10" i="72" s="1"/>
  <c r="G9" i="72"/>
  <c r="I9" i="72" s="1"/>
  <c r="M9" i="72" s="1"/>
  <c r="G8" i="72"/>
  <c r="I8" i="72" s="1"/>
  <c r="G7" i="72"/>
  <c r="I7" i="72" s="1"/>
  <c r="G6" i="72"/>
  <c r="I6" i="72" s="1"/>
  <c r="G5" i="72"/>
  <c r="I5" i="72" s="1"/>
  <c r="O5" i="72" s="1"/>
  <c r="G4" i="72"/>
  <c r="I4" i="72" s="1"/>
  <c r="G3" i="72"/>
  <c r="F107" i="70"/>
  <c r="H107" i="70"/>
  <c r="G105" i="70"/>
  <c r="I105" i="70" s="1"/>
  <c r="G104" i="70"/>
  <c r="I104" i="70" s="1"/>
  <c r="G103" i="70"/>
  <c r="I103" i="70" s="1"/>
  <c r="L103" i="70" s="1"/>
  <c r="G102" i="70"/>
  <c r="I102" i="70" s="1"/>
  <c r="G101" i="70"/>
  <c r="I101" i="70" s="1"/>
  <c r="M101" i="70" s="1"/>
  <c r="G100" i="70"/>
  <c r="I100" i="70" s="1"/>
  <c r="G99" i="70"/>
  <c r="I99" i="70" s="1"/>
  <c r="G98" i="70"/>
  <c r="I98" i="70" s="1"/>
  <c r="N98" i="70" s="1"/>
  <c r="G97" i="70"/>
  <c r="I97" i="70" s="1"/>
  <c r="G96" i="70"/>
  <c r="I96" i="70" s="1"/>
  <c r="G95" i="70"/>
  <c r="I95" i="70" s="1"/>
  <c r="G94" i="70"/>
  <c r="I94" i="70" s="1"/>
  <c r="G93" i="70"/>
  <c r="I93" i="70" s="1"/>
  <c r="G92" i="70"/>
  <c r="I92" i="70" s="1"/>
  <c r="L92" i="70" s="1"/>
  <c r="G91" i="70"/>
  <c r="I91" i="70" s="1"/>
  <c r="G90" i="70"/>
  <c r="I90" i="70" s="1"/>
  <c r="N90" i="70" s="1"/>
  <c r="G89" i="70"/>
  <c r="I89" i="70" s="1"/>
  <c r="M89" i="70" s="1"/>
  <c r="G88" i="70"/>
  <c r="I88" i="70" s="1"/>
  <c r="G87" i="70"/>
  <c r="I87" i="70" s="1"/>
  <c r="L87" i="70" s="1"/>
  <c r="G86" i="70"/>
  <c r="I86" i="70" s="1"/>
  <c r="G85" i="70"/>
  <c r="I85" i="70" s="1"/>
  <c r="M85" i="70" s="1"/>
  <c r="G84" i="70"/>
  <c r="I84" i="70" s="1"/>
  <c r="G83" i="70"/>
  <c r="I83" i="70" s="1"/>
  <c r="O83" i="70" s="1"/>
  <c r="G82" i="70"/>
  <c r="I82" i="70" s="1"/>
  <c r="N82" i="70" s="1"/>
  <c r="G81" i="70"/>
  <c r="I81" i="70" s="1"/>
  <c r="M81" i="70" s="1"/>
  <c r="G80" i="70"/>
  <c r="I80" i="70" s="1"/>
  <c r="G79" i="70"/>
  <c r="I79" i="70" s="1"/>
  <c r="O79" i="70" s="1"/>
  <c r="G78" i="70"/>
  <c r="I78" i="70" s="1"/>
  <c r="G77" i="70"/>
  <c r="I77" i="70" s="1"/>
  <c r="G76" i="70"/>
  <c r="I76" i="70" s="1"/>
  <c r="L76" i="70" s="1"/>
  <c r="G75" i="70"/>
  <c r="I75" i="70" s="1"/>
  <c r="G74" i="70"/>
  <c r="I74" i="70" s="1"/>
  <c r="O74" i="70" s="1"/>
  <c r="G73" i="70"/>
  <c r="I73" i="70" s="1"/>
  <c r="M73" i="70" s="1"/>
  <c r="G72" i="70"/>
  <c r="I72" i="70" s="1"/>
  <c r="G71" i="70"/>
  <c r="I71" i="70" s="1"/>
  <c r="G70" i="70"/>
  <c r="I70" i="70" s="1"/>
  <c r="G69" i="70"/>
  <c r="I69" i="70" s="1"/>
  <c r="G68" i="70"/>
  <c r="I68" i="70" s="1"/>
  <c r="G67" i="70"/>
  <c r="I67" i="70" s="1"/>
  <c r="O67" i="70" s="1"/>
  <c r="G66" i="70"/>
  <c r="I66" i="70" s="1"/>
  <c r="O66" i="70" s="1"/>
  <c r="G65" i="70"/>
  <c r="I65" i="70" s="1"/>
  <c r="L65" i="70" s="1"/>
  <c r="G64" i="70"/>
  <c r="I64" i="70" s="1"/>
  <c r="G63" i="70"/>
  <c r="I63" i="70" s="1"/>
  <c r="G62" i="70"/>
  <c r="I62" i="70" s="1"/>
  <c r="G61" i="70"/>
  <c r="I61" i="70" s="1"/>
  <c r="G60" i="70"/>
  <c r="I60" i="70" s="1"/>
  <c r="G59" i="70"/>
  <c r="I59" i="70" s="1"/>
  <c r="G58" i="70"/>
  <c r="I58" i="70" s="1"/>
  <c r="G57" i="70"/>
  <c r="I57" i="70" s="1"/>
  <c r="L57" i="70" s="1"/>
  <c r="G56" i="70"/>
  <c r="I56" i="70" s="1"/>
  <c r="G55" i="70"/>
  <c r="I55" i="70" s="1"/>
  <c r="G54" i="70"/>
  <c r="I54" i="70" s="1"/>
  <c r="G53" i="70"/>
  <c r="I53" i="70" s="1"/>
  <c r="O53" i="70" s="1"/>
  <c r="G52" i="70"/>
  <c r="I52" i="70" s="1"/>
  <c r="M52" i="70" s="1"/>
  <c r="G51" i="70"/>
  <c r="I51" i="70" s="1"/>
  <c r="O51" i="70" s="1"/>
  <c r="G50" i="70"/>
  <c r="I50" i="70" s="1"/>
  <c r="G49" i="70"/>
  <c r="I49" i="70" s="1"/>
  <c r="L49" i="70" s="1"/>
  <c r="G48" i="70"/>
  <c r="I48" i="70" s="1"/>
  <c r="G47" i="70"/>
  <c r="I47" i="70" s="1"/>
  <c r="G46" i="70"/>
  <c r="I46" i="70" s="1"/>
  <c r="N46" i="70" s="1"/>
  <c r="G45" i="70"/>
  <c r="I45" i="70" s="1"/>
  <c r="O45" i="70" s="1"/>
  <c r="G44" i="70"/>
  <c r="I44" i="70" s="1"/>
  <c r="M44" i="70" s="1"/>
  <c r="G43" i="70"/>
  <c r="I43" i="70" s="1"/>
  <c r="G42" i="70"/>
  <c r="I42" i="70" s="1"/>
  <c r="G41" i="70"/>
  <c r="I41" i="70" s="1"/>
  <c r="L41" i="70" s="1"/>
  <c r="G40" i="70"/>
  <c r="I40" i="70" s="1"/>
  <c r="O40" i="70" s="1"/>
  <c r="G39" i="70"/>
  <c r="I39" i="70" s="1"/>
  <c r="G38" i="70"/>
  <c r="I38" i="70" s="1"/>
  <c r="O38" i="70" s="1"/>
  <c r="G37" i="70"/>
  <c r="I37" i="70" s="1"/>
  <c r="G36" i="70"/>
  <c r="I36" i="70" s="1"/>
  <c r="G35" i="70"/>
  <c r="I35" i="70" s="1"/>
  <c r="G34" i="70"/>
  <c r="I34" i="70" s="1"/>
  <c r="G33" i="70"/>
  <c r="I33" i="70" s="1"/>
  <c r="L33" i="70" s="1"/>
  <c r="G32" i="70"/>
  <c r="I32" i="70" s="1"/>
  <c r="O32" i="70" s="1"/>
  <c r="G31" i="70"/>
  <c r="I31" i="70" s="1"/>
  <c r="G30" i="70"/>
  <c r="I30" i="70" s="1"/>
  <c r="G29" i="70"/>
  <c r="I29" i="70" s="1"/>
  <c r="L29" i="70" s="1"/>
  <c r="G28" i="70"/>
  <c r="I28" i="70" s="1"/>
  <c r="G27" i="70"/>
  <c r="I27" i="70" s="1"/>
  <c r="N27" i="70" s="1"/>
  <c r="G26" i="70"/>
  <c r="I26" i="70" s="1"/>
  <c r="G25" i="70"/>
  <c r="I25" i="70" s="1"/>
  <c r="G24" i="70"/>
  <c r="I24" i="70" s="1"/>
  <c r="O24" i="70" s="1"/>
  <c r="G23" i="70"/>
  <c r="I23" i="70" s="1"/>
  <c r="G22" i="70"/>
  <c r="I22" i="70" s="1"/>
  <c r="G21" i="70"/>
  <c r="I21" i="70" s="1"/>
  <c r="G20" i="70"/>
  <c r="I20" i="70" s="1"/>
  <c r="G19" i="70"/>
  <c r="I19" i="70" s="1"/>
  <c r="N19" i="70" s="1"/>
  <c r="G18" i="70"/>
  <c r="I18" i="70" s="1"/>
  <c r="G17" i="70"/>
  <c r="I17" i="70" s="1"/>
  <c r="G16" i="70"/>
  <c r="I16" i="70" s="1"/>
  <c r="O16" i="70" s="1"/>
  <c r="G15" i="70"/>
  <c r="I15" i="70" s="1"/>
  <c r="G14" i="70"/>
  <c r="I14" i="70" s="1"/>
  <c r="G13" i="70"/>
  <c r="I13" i="70" s="1"/>
  <c r="O13" i="70" s="1"/>
  <c r="G12" i="70"/>
  <c r="I12" i="70" s="1"/>
  <c r="G11" i="70"/>
  <c r="I11" i="70" s="1"/>
  <c r="N11" i="70" s="1"/>
  <c r="G10" i="70"/>
  <c r="I10" i="70" s="1"/>
  <c r="G9" i="70"/>
  <c r="I9" i="70" s="1"/>
  <c r="G8" i="70"/>
  <c r="I8" i="70" s="1"/>
  <c r="O8" i="70" s="1"/>
  <c r="G7" i="70"/>
  <c r="I7" i="70" s="1"/>
  <c r="G6" i="70"/>
  <c r="I6" i="70" s="1"/>
  <c r="G5" i="70"/>
  <c r="I5" i="70" s="1"/>
  <c r="G4" i="70"/>
  <c r="I4" i="70" s="1"/>
  <c r="G3" i="70"/>
  <c r="I3" i="70" s="1"/>
  <c r="O3" i="70" s="1"/>
  <c r="H105" i="68"/>
  <c r="F105" i="68"/>
  <c r="G103" i="68"/>
  <c r="I103" i="68" s="1"/>
  <c r="G102" i="68"/>
  <c r="I102" i="68" s="1"/>
  <c r="G101" i="68"/>
  <c r="I101" i="68" s="1"/>
  <c r="G100" i="68"/>
  <c r="I100" i="68" s="1"/>
  <c r="G99" i="68"/>
  <c r="I99" i="68" s="1"/>
  <c r="G98" i="68"/>
  <c r="I98" i="68" s="1"/>
  <c r="L98" i="68" s="1"/>
  <c r="G97" i="68"/>
  <c r="I97" i="68" s="1"/>
  <c r="M97" i="68" s="1"/>
  <c r="G96" i="68"/>
  <c r="I96" i="68" s="1"/>
  <c r="G95" i="68"/>
  <c r="I95" i="68" s="1"/>
  <c r="M95" i="68" s="1"/>
  <c r="G94" i="68"/>
  <c r="I94" i="68" s="1"/>
  <c r="G93" i="68"/>
  <c r="I93" i="68" s="1"/>
  <c r="G92" i="68"/>
  <c r="I92" i="68" s="1"/>
  <c r="O92" i="68" s="1"/>
  <c r="G91" i="68"/>
  <c r="I91" i="68" s="1"/>
  <c r="G90" i="68"/>
  <c r="I90" i="68" s="1"/>
  <c r="G89" i="68"/>
  <c r="I89" i="68" s="1"/>
  <c r="M89" i="68" s="1"/>
  <c r="G88" i="68"/>
  <c r="I88" i="68" s="1"/>
  <c r="G87" i="68"/>
  <c r="I87" i="68" s="1"/>
  <c r="G86" i="68"/>
  <c r="I86" i="68" s="1"/>
  <c r="L86" i="68" s="1"/>
  <c r="G85" i="68"/>
  <c r="I85" i="68" s="1"/>
  <c r="G84" i="68"/>
  <c r="I84" i="68" s="1"/>
  <c r="G83" i="68"/>
  <c r="I83" i="68" s="1"/>
  <c r="G82" i="68"/>
  <c r="I82" i="68" s="1"/>
  <c r="G81" i="68"/>
  <c r="I81" i="68" s="1"/>
  <c r="N81" i="68" s="1"/>
  <c r="G80" i="68"/>
  <c r="I80" i="68" s="1"/>
  <c r="G79" i="68"/>
  <c r="I79" i="68" s="1"/>
  <c r="G78" i="68"/>
  <c r="I78" i="68" s="1"/>
  <c r="L78" i="68" s="1"/>
  <c r="G77" i="68"/>
  <c r="I77" i="68" s="1"/>
  <c r="G76" i="68"/>
  <c r="I76" i="68" s="1"/>
  <c r="O76" i="68" s="1"/>
  <c r="G75" i="68"/>
  <c r="I75" i="68" s="1"/>
  <c r="G74" i="68"/>
  <c r="I74" i="68" s="1"/>
  <c r="G73" i="68"/>
  <c r="I73" i="68" s="1"/>
  <c r="N73" i="68" s="1"/>
  <c r="G72" i="68"/>
  <c r="I72" i="68" s="1"/>
  <c r="N72" i="68" s="1"/>
  <c r="G71" i="68"/>
  <c r="I71" i="68" s="1"/>
  <c r="G70" i="68"/>
  <c r="I70" i="68" s="1"/>
  <c r="G69" i="68"/>
  <c r="I69" i="68" s="1"/>
  <c r="G68" i="68"/>
  <c r="I68" i="68" s="1"/>
  <c r="O68" i="68" s="1"/>
  <c r="G67" i="68"/>
  <c r="I67" i="68" s="1"/>
  <c r="O67" i="68" s="1"/>
  <c r="G66" i="68"/>
  <c r="I66" i="68" s="1"/>
  <c r="G65" i="68"/>
  <c r="I65" i="68" s="1"/>
  <c r="N65" i="68" s="1"/>
  <c r="G64" i="68"/>
  <c r="I64" i="68" s="1"/>
  <c r="N64" i="68" s="1"/>
  <c r="G63" i="68"/>
  <c r="I63" i="68" s="1"/>
  <c r="M63" i="68" s="1"/>
  <c r="G62" i="68"/>
  <c r="I62" i="68" s="1"/>
  <c r="L62" i="68" s="1"/>
  <c r="G61" i="68"/>
  <c r="I61" i="68" s="1"/>
  <c r="G60" i="68"/>
  <c r="I60" i="68" s="1"/>
  <c r="O60" i="68" s="1"/>
  <c r="G59" i="68"/>
  <c r="I59" i="68" s="1"/>
  <c r="G58" i="68"/>
  <c r="I58" i="68" s="1"/>
  <c r="L58" i="68" s="1"/>
  <c r="G57" i="68"/>
  <c r="I57" i="68" s="1"/>
  <c r="N57" i="68" s="1"/>
  <c r="G56" i="68"/>
  <c r="I56" i="68" s="1"/>
  <c r="N56" i="68" s="1"/>
  <c r="G55" i="68"/>
  <c r="I55" i="68" s="1"/>
  <c r="G54" i="68"/>
  <c r="I54" i="68" s="1"/>
  <c r="G53" i="68"/>
  <c r="I53" i="68" s="1"/>
  <c r="G52" i="68"/>
  <c r="I52" i="68" s="1"/>
  <c r="O52" i="68" s="1"/>
  <c r="G51" i="68"/>
  <c r="I51" i="68" s="1"/>
  <c r="O51" i="68" s="1"/>
  <c r="G50" i="68"/>
  <c r="I50" i="68" s="1"/>
  <c r="L50" i="68" s="1"/>
  <c r="G49" i="68"/>
  <c r="I49" i="68" s="1"/>
  <c r="N49" i="68" s="1"/>
  <c r="G48" i="68"/>
  <c r="I48" i="68" s="1"/>
  <c r="N48" i="68" s="1"/>
  <c r="G47" i="68"/>
  <c r="I47" i="68" s="1"/>
  <c r="M47" i="68" s="1"/>
  <c r="G46" i="68"/>
  <c r="I46" i="68" s="1"/>
  <c r="L46" i="68" s="1"/>
  <c r="G45" i="68"/>
  <c r="I45" i="68" s="1"/>
  <c r="O45" i="68" s="1"/>
  <c r="G44" i="68"/>
  <c r="I44" i="68" s="1"/>
  <c r="O44" i="68" s="1"/>
  <c r="G43" i="68"/>
  <c r="I43" i="68" s="1"/>
  <c r="O43" i="68" s="1"/>
  <c r="G42" i="68"/>
  <c r="I42" i="68" s="1"/>
  <c r="G41" i="68"/>
  <c r="I41" i="68" s="1"/>
  <c r="N41" i="68" s="1"/>
  <c r="G40" i="68"/>
  <c r="I40" i="68" s="1"/>
  <c r="L40" i="68" s="1"/>
  <c r="G39" i="68"/>
  <c r="I39" i="68" s="1"/>
  <c r="G38" i="68"/>
  <c r="I38" i="68" s="1"/>
  <c r="O38" i="68" s="1"/>
  <c r="G37" i="68"/>
  <c r="I37" i="68" s="1"/>
  <c r="N37" i="68" s="1"/>
  <c r="G36" i="68"/>
  <c r="I36" i="68" s="1"/>
  <c r="O36" i="68" s="1"/>
  <c r="G35" i="68"/>
  <c r="I35" i="68" s="1"/>
  <c r="M35" i="68" s="1"/>
  <c r="G34" i="68"/>
  <c r="I34" i="68" s="1"/>
  <c r="G33" i="68"/>
  <c r="I33" i="68" s="1"/>
  <c r="N33" i="68" s="1"/>
  <c r="G32" i="68"/>
  <c r="I32" i="68" s="1"/>
  <c r="G31" i="68"/>
  <c r="I31" i="68" s="1"/>
  <c r="G30" i="68"/>
  <c r="I30" i="68" s="1"/>
  <c r="N30" i="68" s="1"/>
  <c r="G29" i="68"/>
  <c r="I29" i="68" s="1"/>
  <c r="G28" i="68"/>
  <c r="I28" i="68" s="1"/>
  <c r="G27" i="68"/>
  <c r="I27" i="68" s="1"/>
  <c r="O27" i="68" s="1"/>
  <c r="G26" i="68"/>
  <c r="I26" i="68" s="1"/>
  <c r="G25" i="68"/>
  <c r="I25" i="68" s="1"/>
  <c r="G24" i="68"/>
  <c r="I24" i="68" s="1"/>
  <c r="G23" i="68"/>
  <c r="I23" i="68" s="1"/>
  <c r="G22" i="68"/>
  <c r="I22" i="68" s="1"/>
  <c r="N22" i="68" s="1"/>
  <c r="G21" i="68"/>
  <c r="I21" i="68" s="1"/>
  <c r="G20" i="68"/>
  <c r="I20" i="68" s="1"/>
  <c r="G19" i="68"/>
  <c r="I19" i="68" s="1"/>
  <c r="O19" i="68" s="1"/>
  <c r="G18" i="68"/>
  <c r="I18" i="68" s="1"/>
  <c r="G17" i="68"/>
  <c r="I17" i="68" s="1"/>
  <c r="G16" i="68"/>
  <c r="I16" i="68" s="1"/>
  <c r="G15" i="68"/>
  <c r="I15" i="68" s="1"/>
  <c r="G14" i="68"/>
  <c r="I14" i="68" s="1"/>
  <c r="N14" i="68" s="1"/>
  <c r="G13" i="68"/>
  <c r="I13" i="68" s="1"/>
  <c r="G12" i="68"/>
  <c r="I12" i="68" s="1"/>
  <c r="G11" i="68"/>
  <c r="I11" i="68" s="1"/>
  <c r="O11" i="68" s="1"/>
  <c r="G10" i="68"/>
  <c r="I10" i="68" s="1"/>
  <c r="G9" i="68"/>
  <c r="I9" i="68" s="1"/>
  <c r="G8" i="68"/>
  <c r="I8" i="68" s="1"/>
  <c r="G7" i="68"/>
  <c r="I7" i="68" s="1"/>
  <c r="G6" i="68"/>
  <c r="I6" i="68" s="1"/>
  <c r="O6" i="68" s="1"/>
  <c r="G5" i="68"/>
  <c r="I5" i="68" s="1"/>
  <c r="G4" i="68"/>
  <c r="I4" i="68" s="1"/>
  <c r="G3" i="68"/>
  <c r="I3" i="68" s="1"/>
  <c r="H144" i="67"/>
  <c r="F144" i="67"/>
  <c r="G142" i="67"/>
  <c r="I142" i="67" s="1"/>
  <c r="G141" i="67"/>
  <c r="I141" i="67" s="1"/>
  <c r="O141" i="67" s="1"/>
  <c r="G140" i="67"/>
  <c r="I140" i="67" s="1"/>
  <c r="G139" i="67"/>
  <c r="I139" i="67" s="1"/>
  <c r="O139" i="67" s="1"/>
  <c r="G138" i="67"/>
  <c r="I138" i="67" s="1"/>
  <c r="G137" i="67"/>
  <c r="I137" i="67" s="1"/>
  <c r="L137" i="67" s="1"/>
  <c r="G136" i="67"/>
  <c r="I136" i="67" s="1"/>
  <c r="G135" i="67"/>
  <c r="I135" i="67" s="1"/>
  <c r="G134" i="67"/>
  <c r="I134" i="67" s="1"/>
  <c r="G133" i="67"/>
  <c r="I133" i="67" s="1"/>
  <c r="G132" i="67"/>
  <c r="I132" i="67" s="1"/>
  <c r="G131" i="67"/>
  <c r="I131" i="67" s="1"/>
  <c r="G130" i="67"/>
  <c r="I130" i="67" s="1"/>
  <c r="G129" i="67"/>
  <c r="I129" i="67" s="1"/>
  <c r="G128" i="67"/>
  <c r="I128" i="67" s="1"/>
  <c r="G127" i="67"/>
  <c r="I127" i="67" s="1"/>
  <c r="G126" i="67"/>
  <c r="I126" i="67" s="1"/>
  <c r="G125" i="67"/>
  <c r="I125" i="67" s="1"/>
  <c r="G124" i="67"/>
  <c r="I124" i="67" s="1"/>
  <c r="G123" i="67"/>
  <c r="I123" i="67" s="1"/>
  <c r="G122" i="67"/>
  <c r="I122" i="67" s="1"/>
  <c r="O122" i="67" s="1"/>
  <c r="G121" i="67"/>
  <c r="I121" i="67" s="1"/>
  <c r="G120" i="67"/>
  <c r="I120" i="67" s="1"/>
  <c r="G119" i="67"/>
  <c r="I119" i="67" s="1"/>
  <c r="G118" i="67"/>
  <c r="I118" i="67" s="1"/>
  <c r="O118" i="67" s="1"/>
  <c r="G117" i="67"/>
  <c r="I117" i="67" s="1"/>
  <c r="O117" i="67" s="1"/>
  <c r="G116" i="67"/>
  <c r="I116" i="67" s="1"/>
  <c r="N116" i="67" s="1"/>
  <c r="G115" i="67"/>
  <c r="I115" i="67" s="1"/>
  <c r="G114" i="67"/>
  <c r="I114" i="67" s="1"/>
  <c r="G113" i="67"/>
  <c r="I113" i="67" s="1"/>
  <c r="G112" i="67"/>
  <c r="I112" i="67" s="1"/>
  <c r="G111" i="67"/>
  <c r="I111" i="67" s="1"/>
  <c r="G110" i="67"/>
  <c r="I110" i="67" s="1"/>
  <c r="O110" i="67" s="1"/>
  <c r="G109" i="67"/>
  <c r="I109" i="67" s="1"/>
  <c r="G108" i="67"/>
  <c r="I108" i="67" s="1"/>
  <c r="G107" i="67"/>
  <c r="I107" i="67" s="1"/>
  <c r="M107" i="67" s="1"/>
  <c r="G106" i="67"/>
  <c r="I106" i="67" s="1"/>
  <c r="G105" i="67"/>
  <c r="I105" i="67" s="1"/>
  <c r="G104" i="67"/>
  <c r="I104" i="67" s="1"/>
  <c r="G103" i="67"/>
  <c r="I103" i="67" s="1"/>
  <c r="G102" i="67"/>
  <c r="I102" i="67" s="1"/>
  <c r="O102" i="67" s="1"/>
  <c r="G101" i="67"/>
  <c r="I101" i="67" s="1"/>
  <c r="L101" i="67" s="1"/>
  <c r="G100" i="67"/>
  <c r="I100" i="67" s="1"/>
  <c r="N100" i="67" s="1"/>
  <c r="G99" i="67"/>
  <c r="I99" i="67" s="1"/>
  <c r="O99" i="67" s="1"/>
  <c r="G98" i="67"/>
  <c r="I98" i="67" s="1"/>
  <c r="G97" i="67"/>
  <c r="I97" i="67" s="1"/>
  <c r="L97" i="67" s="1"/>
  <c r="G96" i="67"/>
  <c r="I96" i="67" s="1"/>
  <c r="G95" i="67"/>
  <c r="I95" i="67" s="1"/>
  <c r="O95" i="67" s="1"/>
  <c r="G94" i="67"/>
  <c r="I94" i="67" s="1"/>
  <c r="O94" i="67" s="1"/>
  <c r="G93" i="67"/>
  <c r="I93" i="67" s="1"/>
  <c r="N93" i="67" s="1"/>
  <c r="G92" i="67"/>
  <c r="I92" i="67" s="1"/>
  <c r="N92" i="67" s="1"/>
  <c r="G91" i="67"/>
  <c r="I91" i="67" s="1"/>
  <c r="O91" i="67" s="1"/>
  <c r="G90" i="67"/>
  <c r="I90" i="67" s="1"/>
  <c r="G89" i="67"/>
  <c r="I89" i="67" s="1"/>
  <c r="G88" i="67"/>
  <c r="I88" i="67" s="1"/>
  <c r="G87" i="67"/>
  <c r="I87" i="67" s="1"/>
  <c r="O87" i="67" s="1"/>
  <c r="G86" i="67"/>
  <c r="I86" i="67" s="1"/>
  <c r="L86" i="67" s="1"/>
  <c r="G85" i="67"/>
  <c r="I85" i="67" s="1"/>
  <c r="O85" i="67" s="1"/>
  <c r="G84" i="67"/>
  <c r="I84" i="67" s="1"/>
  <c r="L84" i="67" s="1"/>
  <c r="G83" i="67"/>
  <c r="I83" i="67" s="1"/>
  <c r="N83" i="67" s="1"/>
  <c r="G82" i="67"/>
  <c r="I82" i="67" s="1"/>
  <c r="G81" i="67"/>
  <c r="I81" i="67" s="1"/>
  <c r="M81" i="67" s="1"/>
  <c r="G80" i="67"/>
  <c r="I80" i="67" s="1"/>
  <c r="G79" i="67"/>
  <c r="I79" i="67" s="1"/>
  <c r="G78" i="67"/>
  <c r="I78" i="67" s="1"/>
  <c r="L78" i="67" s="1"/>
  <c r="G77" i="67"/>
  <c r="I77" i="67" s="1"/>
  <c r="N77" i="67" s="1"/>
  <c r="G76" i="67"/>
  <c r="I76" i="67" s="1"/>
  <c r="G75" i="67"/>
  <c r="I75" i="67" s="1"/>
  <c r="O75" i="67" s="1"/>
  <c r="G74" i="67"/>
  <c r="I74" i="67" s="1"/>
  <c r="G73" i="67"/>
  <c r="I73" i="67" s="1"/>
  <c r="G72" i="67"/>
  <c r="I72" i="67" s="1"/>
  <c r="G71" i="67"/>
  <c r="I71" i="67" s="1"/>
  <c r="G70" i="67"/>
  <c r="I70" i="67" s="1"/>
  <c r="L70" i="67" s="1"/>
  <c r="G69" i="67"/>
  <c r="I69" i="67" s="1"/>
  <c r="O69" i="67" s="1"/>
  <c r="G68" i="67"/>
  <c r="I68" i="67" s="1"/>
  <c r="G67" i="67"/>
  <c r="I67" i="67" s="1"/>
  <c r="G66" i="67"/>
  <c r="I66" i="67" s="1"/>
  <c r="G65" i="67"/>
  <c r="I65" i="67" s="1"/>
  <c r="G64" i="67"/>
  <c r="I64" i="67" s="1"/>
  <c r="G63" i="67"/>
  <c r="I63" i="67" s="1"/>
  <c r="M63" i="67" s="1"/>
  <c r="G62" i="67"/>
  <c r="I62" i="67" s="1"/>
  <c r="G61" i="67"/>
  <c r="I61" i="67" s="1"/>
  <c r="O61" i="67" s="1"/>
  <c r="G60" i="67"/>
  <c r="I60" i="67" s="1"/>
  <c r="L60" i="67" s="1"/>
  <c r="G59" i="67"/>
  <c r="I59" i="67" s="1"/>
  <c r="G58" i="67"/>
  <c r="I58" i="67" s="1"/>
  <c r="G57" i="67"/>
  <c r="I57" i="67" s="1"/>
  <c r="O57" i="67" s="1"/>
  <c r="G56" i="67"/>
  <c r="I56" i="67" s="1"/>
  <c r="G55" i="67"/>
  <c r="I55" i="67" s="1"/>
  <c r="G54" i="67"/>
  <c r="I54" i="67" s="1"/>
  <c r="O54" i="67" s="1"/>
  <c r="G53" i="67"/>
  <c r="I53" i="67" s="1"/>
  <c r="G52" i="67"/>
  <c r="I52" i="67" s="1"/>
  <c r="L52" i="67" s="1"/>
  <c r="G51" i="67"/>
  <c r="I51" i="67" s="1"/>
  <c r="G50" i="67"/>
  <c r="I50" i="67" s="1"/>
  <c r="G49" i="67"/>
  <c r="I49" i="67" s="1"/>
  <c r="O49" i="67" s="1"/>
  <c r="G48" i="67"/>
  <c r="I48" i="67" s="1"/>
  <c r="G47" i="67"/>
  <c r="I47" i="67" s="1"/>
  <c r="G46" i="67"/>
  <c r="I46" i="67" s="1"/>
  <c r="O46" i="67" s="1"/>
  <c r="G45" i="67"/>
  <c r="I45" i="67" s="1"/>
  <c r="G44" i="67"/>
  <c r="I44" i="67" s="1"/>
  <c r="L44" i="67" s="1"/>
  <c r="G43" i="67"/>
  <c r="I43" i="67" s="1"/>
  <c r="G42" i="67"/>
  <c r="I42" i="67" s="1"/>
  <c r="G41" i="67"/>
  <c r="I41" i="67" s="1"/>
  <c r="G40" i="67"/>
  <c r="I40" i="67" s="1"/>
  <c r="G39" i="67"/>
  <c r="I39" i="67" s="1"/>
  <c r="G38" i="67"/>
  <c r="I38" i="67" s="1"/>
  <c r="G37" i="67"/>
  <c r="I37" i="67" s="1"/>
  <c r="G36" i="67"/>
  <c r="I36" i="67" s="1"/>
  <c r="N36" i="67" s="1"/>
  <c r="G35" i="67"/>
  <c r="I35" i="67" s="1"/>
  <c r="M35" i="67" s="1"/>
  <c r="G34" i="67"/>
  <c r="I34" i="67" s="1"/>
  <c r="O34" i="67" s="1"/>
  <c r="G33" i="67"/>
  <c r="I33" i="67" s="1"/>
  <c r="N33" i="67" s="1"/>
  <c r="G32" i="67"/>
  <c r="I32" i="67" s="1"/>
  <c r="L32" i="67" s="1"/>
  <c r="G31" i="67"/>
  <c r="I31" i="67" s="1"/>
  <c r="O31" i="67" s="1"/>
  <c r="G30" i="67"/>
  <c r="I30" i="67" s="1"/>
  <c r="G29" i="67"/>
  <c r="I29" i="67" s="1"/>
  <c r="G28" i="67"/>
  <c r="I28" i="67" s="1"/>
  <c r="M28" i="67" s="1"/>
  <c r="G27" i="67"/>
  <c r="I27" i="67" s="1"/>
  <c r="G26" i="67"/>
  <c r="I26" i="67" s="1"/>
  <c r="O26" i="67" s="1"/>
  <c r="G25" i="67"/>
  <c r="I25" i="67" s="1"/>
  <c r="N25" i="67" s="1"/>
  <c r="G24" i="67"/>
  <c r="I24" i="67" s="1"/>
  <c r="L24" i="67" s="1"/>
  <c r="G23" i="67"/>
  <c r="I23" i="67" s="1"/>
  <c r="O23" i="67" s="1"/>
  <c r="G22" i="67"/>
  <c r="I22" i="67" s="1"/>
  <c r="G21" i="67"/>
  <c r="I21" i="67" s="1"/>
  <c r="G20" i="67"/>
  <c r="I20" i="67" s="1"/>
  <c r="M20" i="67" s="1"/>
  <c r="G19" i="67"/>
  <c r="I19" i="67" s="1"/>
  <c r="M19" i="67" s="1"/>
  <c r="G18" i="67"/>
  <c r="I18" i="67" s="1"/>
  <c r="G17" i="67"/>
  <c r="I17" i="67" s="1"/>
  <c r="G16" i="67"/>
  <c r="I16" i="67" s="1"/>
  <c r="L16" i="67" s="1"/>
  <c r="G15" i="67"/>
  <c r="I15" i="67" s="1"/>
  <c r="O15" i="67" s="1"/>
  <c r="G14" i="67"/>
  <c r="I14" i="67" s="1"/>
  <c r="N14" i="67" s="1"/>
  <c r="G13" i="67"/>
  <c r="I13" i="67" s="1"/>
  <c r="G12" i="67"/>
  <c r="I12" i="67" s="1"/>
  <c r="G11" i="67"/>
  <c r="I11" i="67" s="1"/>
  <c r="L11" i="67" s="1"/>
  <c r="G10" i="67"/>
  <c r="I10" i="67" s="1"/>
  <c r="O10" i="67" s="1"/>
  <c r="G9" i="67"/>
  <c r="I9" i="67" s="1"/>
  <c r="G8" i="67"/>
  <c r="I8" i="67" s="1"/>
  <c r="L8" i="67" s="1"/>
  <c r="G7" i="67"/>
  <c r="I7" i="67" s="1"/>
  <c r="O7" i="67" s="1"/>
  <c r="G6" i="67"/>
  <c r="I6" i="67" s="1"/>
  <c r="N6" i="67" s="1"/>
  <c r="G5" i="67"/>
  <c r="I5" i="67" s="1"/>
  <c r="G4" i="67"/>
  <c r="I4" i="67" s="1"/>
  <c r="G3" i="67"/>
  <c r="G127" i="61"/>
  <c r="I127" i="61" s="1"/>
  <c r="G126" i="61"/>
  <c r="I126" i="61" s="1"/>
  <c r="G125" i="61"/>
  <c r="I125" i="61" s="1"/>
  <c r="N125" i="61" s="1"/>
  <c r="G124" i="61"/>
  <c r="I124" i="61" s="1"/>
  <c r="G123" i="61"/>
  <c r="I123" i="61" s="1"/>
  <c r="G122" i="61"/>
  <c r="I122" i="61" s="1"/>
  <c r="G121" i="61"/>
  <c r="I121" i="61" s="1"/>
  <c r="G120" i="61"/>
  <c r="I120" i="61" s="1"/>
  <c r="G119" i="61"/>
  <c r="I119" i="61" s="1"/>
  <c r="G118" i="61"/>
  <c r="I118" i="61" s="1"/>
  <c r="O118" i="61" s="1"/>
  <c r="G117" i="61"/>
  <c r="I117" i="61" s="1"/>
  <c r="N117" i="61" s="1"/>
  <c r="G116" i="61"/>
  <c r="I116" i="61" s="1"/>
  <c r="G115" i="61"/>
  <c r="I115" i="61" s="1"/>
  <c r="G114" i="61"/>
  <c r="I114" i="61" s="1"/>
  <c r="G113" i="61"/>
  <c r="I113" i="61" s="1"/>
  <c r="G112" i="61"/>
  <c r="I112" i="61" s="1"/>
  <c r="G111" i="61"/>
  <c r="I111" i="61" s="1"/>
  <c r="G110" i="61"/>
  <c r="I110" i="61" s="1"/>
  <c r="G109" i="61"/>
  <c r="I109" i="61" s="1"/>
  <c r="N109" i="61" s="1"/>
  <c r="G108" i="61"/>
  <c r="I108" i="61" s="1"/>
  <c r="G107" i="61"/>
  <c r="I107" i="61" s="1"/>
  <c r="G106" i="61"/>
  <c r="I106" i="61" s="1"/>
  <c r="G105" i="61"/>
  <c r="I105" i="61" s="1"/>
  <c r="G104" i="61"/>
  <c r="I104" i="61" s="1"/>
  <c r="G103" i="61"/>
  <c r="I103" i="61" s="1"/>
  <c r="G102" i="61"/>
  <c r="I102" i="61" s="1"/>
  <c r="O102" i="61" s="1"/>
  <c r="G101" i="61"/>
  <c r="I101" i="61" s="1"/>
  <c r="N101" i="61" s="1"/>
  <c r="G100" i="61"/>
  <c r="I100" i="61" s="1"/>
  <c r="G99" i="61"/>
  <c r="I99" i="61" s="1"/>
  <c r="G98" i="61"/>
  <c r="I98" i="61" s="1"/>
  <c r="G97" i="61"/>
  <c r="I97" i="61" s="1"/>
  <c r="G96" i="61"/>
  <c r="I96" i="61" s="1"/>
  <c r="M96" i="61" s="1"/>
  <c r="G95" i="61"/>
  <c r="I95" i="61" s="1"/>
  <c r="G94" i="61"/>
  <c r="I94" i="61" s="1"/>
  <c r="G93" i="61"/>
  <c r="I93" i="61" s="1"/>
  <c r="N93" i="61" s="1"/>
  <c r="G92" i="61"/>
  <c r="I92" i="61" s="1"/>
  <c r="G91" i="61"/>
  <c r="I91" i="61" s="1"/>
  <c r="G90" i="61"/>
  <c r="I90" i="61" s="1"/>
  <c r="G89" i="61"/>
  <c r="I89" i="61" s="1"/>
  <c r="G88" i="61"/>
  <c r="I88" i="61" s="1"/>
  <c r="G87" i="61"/>
  <c r="I87" i="61" s="1"/>
  <c r="G86" i="61"/>
  <c r="I86" i="61" s="1"/>
  <c r="G85" i="61"/>
  <c r="I85" i="61" s="1"/>
  <c r="N85" i="61" s="1"/>
  <c r="G84" i="61"/>
  <c r="I84" i="61" s="1"/>
  <c r="G83" i="61"/>
  <c r="I83" i="61" s="1"/>
  <c r="G82" i="61"/>
  <c r="I82" i="61" s="1"/>
  <c r="G81" i="61"/>
  <c r="I81" i="61" s="1"/>
  <c r="G80" i="61"/>
  <c r="I80" i="61" s="1"/>
  <c r="M80" i="61" s="1"/>
  <c r="G79" i="61"/>
  <c r="I79" i="61" s="1"/>
  <c r="G78" i="61"/>
  <c r="I78" i="61" s="1"/>
  <c r="G77" i="61"/>
  <c r="I77" i="61" s="1"/>
  <c r="N77" i="61" s="1"/>
  <c r="G76" i="61"/>
  <c r="I76" i="61" s="1"/>
  <c r="G75" i="61"/>
  <c r="I75" i="61" s="1"/>
  <c r="G74" i="61"/>
  <c r="I74" i="61" s="1"/>
  <c r="G73" i="61"/>
  <c r="I73" i="61" s="1"/>
  <c r="G72" i="61"/>
  <c r="I72" i="61" s="1"/>
  <c r="G71" i="61"/>
  <c r="I71" i="61" s="1"/>
  <c r="G70" i="61"/>
  <c r="I70" i="61" s="1"/>
  <c r="G69" i="61"/>
  <c r="I69" i="61" s="1"/>
  <c r="N69" i="61" s="1"/>
  <c r="G68" i="61"/>
  <c r="I68" i="61" s="1"/>
  <c r="G67" i="61"/>
  <c r="I67" i="61" s="1"/>
  <c r="G66" i="61"/>
  <c r="I66" i="61" s="1"/>
  <c r="G65" i="61"/>
  <c r="I65" i="61" s="1"/>
  <c r="G64" i="61"/>
  <c r="I64" i="61" s="1"/>
  <c r="G63" i="61"/>
  <c r="I63" i="61" s="1"/>
  <c r="G62" i="61"/>
  <c r="I62" i="61" s="1"/>
  <c r="G61" i="61"/>
  <c r="I61" i="61" s="1"/>
  <c r="N61" i="61" s="1"/>
  <c r="G60" i="61"/>
  <c r="I60" i="61" s="1"/>
  <c r="G59" i="61"/>
  <c r="I59" i="61" s="1"/>
  <c r="G58" i="61"/>
  <c r="I58" i="61" s="1"/>
  <c r="G57" i="61"/>
  <c r="I57" i="61" s="1"/>
  <c r="G56" i="61"/>
  <c r="I56" i="61" s="1"/>
  <c r="G55" i="61"/>
  <c r="I55" i="61" s="1"/>
  <c r="G54" i="61"/>
  <c r="I54" i="61" s="1"/>
  <c r="G53" i="61"/>
  <c r="I53" i="61" s="1"/>
  <c r="N53" i="61" s="1"/>
  <c r="G52" i="61"/>
  <c r="I52" i="61" s="1"/>
  <c r="G51" i="61"/>
  <c r="I51" i="61" s="1"/>
  <c r="G50" i="61"/>
  <c r="I50" i="61" s="1"/>
  <c r="G49" i="61"/>
  <c r="I49" i="61" s="1"/>
  <c r="G48" i="61"/>
  <c r="I48" i="61" s="1"/>
  <c r="G47" i="61"/>
  <c r="I47" i="61" s="1"/>
  <c r="G46" i="61"/>
  <c r="I46" i="61" s="1"/>
  <c r="G45" i="61"/>
  <c r="I45" i="61" s="1"/>
  <c r="N45" i="61" s="1"/>
  <c r="G44" i="61"/>
  <c r="I44" i="61" s="1"/>
  <c r="G43" i="61"/>
  <c r="I43" i="61" s="1"/>
  <c r="G42" i="61"/>
  <c r="I42" i="61" s="1"/>
  <c r="G41" i="61"/>
  <c r="I41" i="61" s="1"/>
  <c r="G40" i="61"/>
  <c r="I40" i="61" s="1"/>
  <c r="G39" i="61"/>
  <c r="I39" i="61" s="1"/>
  <c r="G38" i="61"/>
  <c r="I38" i="61" s="1"/>
  <c r="O38" i="61" s="1"/>
  <c r="G37" i="61"/>
  <c r="I37" i="61" s="1"/>
  <c r="G36" i="61"/>
  <c r="I36" i="61" s="1"/>
  <c r="G35" i="61"/>
  <c r="I35" i="61" s="1"/>
  <c r="M35" i="61" s="1"/>
  <c r="G34" i="61"/>
  <c r="I34" i="61" s="1"/>
  <c r="G33" i="61"/>
  <c r="I33" i="61" s="1"/>
  <c r="O33" i="61" s="1"/>
  <c r="G32" i="61"/>
  <c r="I32" i="61" s="1"/>
  <c r="N32" i="61" s="1"/>
  <c r="G31" i="61"/>
  <c r="I31" i="61" s="1"/>
  <c r="L31" i="61" s="1"/>
  <c r="G30" i="61"/>
  <c r="I30" i="61" s="1"/>
  <c r="G29" i="61"/>
  <c r="I29" i="61" s="1"/>
  <c r="O29" i="61" s="1"/>
  <c r="G28" i="61"/>
  <c r="I28" i="61" s="1"/>
  <c r="N28" i="61" s="1"/>
  <c r="G27" i="61"/>
  <c r="I27" i="61" s="1"/>
  <c r="G26" i="61"/>
  <c r="I26" i="61" s="1"/>
  <c r="G25" i="61"/>
  <c r="I25" i="61" s="1"/>
  <c r="O25" i="61" s="1"/>
  <c r="G24" i="61"/>
  <c r="I24" i="61" s="1"/>
  <c r="N24" i="61" s="1"/>
  <c r="G23" i="61"/>
  <c r="I23" i="61" s="1"/>
  <c r="G22" i="61"/>
  <c r="I22" i="61" s="1"/>
  <c r="L22" i="61" s="1"/>
  <c r="G21" i="61"/>
  <c r="I21" i="61" s="1"/>
  <c r="O21" i="61" s="1"/>
  <c r="G20" i="61"/>
  <c r="I20" i="61" s="1"/>
  <c r="G19" i="61"/>
  <c r="I19" i="61" s="1"/>
  <c r="G18" i="61"/>
  <c r="I18" i="61" s="1"/>
  <c r="G17" i="61"/>
  <c r="I17" i="61" s="1"/>
  <c r="O17" i="61" s="1"/>
  <c r="G16" i="61"/>
  <c r="I16" i="61" s="1"/>
  <c r="G15" i="61"/>
  <c r="I15" i="61" s="1"/>
  <c r="G14" i="61"/>
  <c r="I14" i="61" s="1"/>
  <c r="G13" i="61"/>
  <c r="I13" i="61" s="1"/>
  <c r="M13" i="61" s="1"/>
  <c r="G12" i="61"/>
  <c r="I12" i="61" s="1"/>
  <c r="G11" i="61"/>
  <c r="I11" i="61" s="1"/>
  <c r="G10" i="61"/>
  <c r="I10" i="61" s="1"/>
  <c r="G9" i="61"/>
  <c r="I9" i="61" s="1"/>
  <c r="G8" i="61"/>
  <c r="I8" i="61" s="1"/>
  <c r="G7" i="61"/>
  <c r="I7" i="61" s="1"/>
  <c r="G6" i="61"/>
  <c r="I6" i="61" s="1"/>
  <c r="G5" i="61"/>
  <c r="I5" i="61" s="1"/>
  <c r="L5" i="61" s="1"/>
  <c r="G4" i="61"/>
  <c r="I4" i="61" s="1"/>
  <c r="G3" i="61"/>
  <c r="I3" i="61" s="1"/>
  <c r="G130" i="60"/>
  <c r="I130" i="60" s="1"/>
  <c r="G129" i="60"/>
  <c r="I129" i="60" s="1"/>
  <c r="G128" i="60"/>
  <c r="I128" i="60" s="1"/>
  <c r="O128" i="60" s="1"/>
  <c r="G127" i="60"/>
  <c r="I127" i="60" s="1"/>
  <c r="G126" i="60"/>
  <c r="I126" i="60" s="1"/>
  <c r="G125" i="60"/>
  <c r="I125" i="60" s="1"/>
  <c r="M125" i="60" s="1"/>
  <c r="G124" i="60"/>
  <c r="I124" i="60" s="1"/>
  <c r="G123" i="60"/>
  <c r="I123" i="60" s="1"/>
  <c r="O123" i="60" s="1"/>
  <c r="G122" i="60"/>
  <c r="I122" i="60" s="1"/>
  <c r="G121" i="60"/>
  <c r="I121" i="60" s="1"/>
  <c r="G120" i="60"/>
  <c r="I120" i="60" s="1"/>
  <c r="O120" i="60" s="1"/>
  <c r="G119" i="60"/>
  <c r="I119" i="60" s="1"/>
  <c r="O119" i="60" s="1"/>
  <c r="G118" i="60"/>
  <c r="I118" i="60" s="1"/>
  <c r="M118" i="60" s="1"/>
  <c r="G117" i="60"/>
  <c r="I117" i="60" s="1"/>
  <c r="M117" i="60" s="1"/>
  <c r="G116" i="60"/>
  <c r="I116" i="60" s="1"/>
  <c r="G115" i="60"/>
  <c r="I115" i="60" s="1"/>
  <c r="G114" i="60"/>
  <c r="I114" i="60" s="1"/>
  <c r="G113" i="60"/>
  <c r="I113" i="60" s="1"/>
  <c r="G112" i="60"/>
  <c r="I112" i="60" s="1"/>
  <c r="O112" i="60" s="1"/>
  <c r="G111" i="60"/>
  <c r="I111" i="60" s="1"/>
  <c r="G110" i="60"/>
  <c r="I110" i="60" s="1"/>
  <c r="G109" i="60"/>
  <c r="I109" i="60" s="1"/>
  <c r="G108" i="60"/>
  <c r="I108" i="60" s="1"/>
  <c r="L108" i="60" s="1"/>
  <c r="G107" i="60"/>
  <c r="I107" i="60" s="1"/>
  <c r="G106" i="60"/>
  <c r="I106" i="60" s="1"/>
  <c r="G105" i="60"/>
  <c r="I105" i="60" s="1"/>
  <c r="G104" i="60"/>
  <c r="I104" i="60" s="1"/>
  <c r="G103" i="60"/>
  <c r="I103" i="60" s="1"/>
  <c r="G102" i="60"/>
  <c r="I102" i="60" s="1"/>
  <c r="N102" i="60" s="1"/>
  <c r="G101" i="60"/>
  <c r="I101" i="60" s="1"/>
  <c r="G100" i="60"/>
  <c r="I100" i="60" s="1"/>
  <c r="L100" i="60" s="1"/>
  <c r="G99" i="60"/>
  <c r="I99" i="60" s="1"/>
  <c r="G98" i="60"/>
  <c r="I98" i="60" s="1"/>
  <c r="G97" i="60"/>
  <c r="I97" i="60" s="1"/>
  <c r="G96" i="60"/>
  <c r="I96" i="60" s="1"/>
  <c r="O96" i="60" s="1"/>
  <c r="G95" i="60"/>
  <c r="I95" i="60" s="1"/>
  <c r="O95" i="60" s="1"/>
  <c r="G94" i="60"/>
  <c r="I94" i="60" s="1"/>
  <c r="M94" i="60" s="1"/>
  <c r="G93" i="60"/>
  <c r="I93" i="60" s="1"/>
  <c r="G92" i="60"/>
  <c r="I92" i="60" s="1"/>
  <c r="L92" i="60" s="1"/>
  <c r="G91" i="60"/>
  <c r="I91" i="60" s="1"/>
  <c r="G90" i="60"/>
  <c r="I90" i="60" s="1"/>
  <c r="G89" i="60"/>
  <c r="I89" i="60" s="1"/>
  <c r="G88" i="60"/>
  <c r="I88" i="60" s="1"/>
  <c r="G87" i="60"/>
  <c r="I87" i="60" s="1"/>
  <c r="O87" i="60" s="1"/>
  <c r="G86" i="60"/>
  <c r="I86" i="60" s="1"/>
  <c r="G85" i="60"/>
  <c r="I85" i="60" s="1"/>
  <c r="G84" i="60"/>
  <c r="I84" i="60" s="1"/>
  <c r="G83" i="60"/>
  <c r="I83" i="60" s="1"/>
  <c r="G82" i="60"/>
  <c r="I82" i="60" s="1"/>
  <c r="N82" i="60" s="1"/>
  <c r="G81" i="60"/>
  <c r="I81" i="60" s="1"/>
  <c r="G80" i="60"/>
  <c r="I80" i="60" s="1"/>
  <c r="O80" i="60" s="1"/>
  <c r="G79" i="60"/>
  <c r="I79" i="60" s="1"/>
  <c r="O79" i="60" s="1"/>
  <c r="G78" i="60"/>
  <c r="I78" i="60" s="1"/>
  <c r="G77" i="60"/>
  <c r="I77" i="60" s="1"/>
  <c r="N77" i="60" s="1"/>
  <c r="G76" i="60"/>
  <c r="I76" i="60" s="1"/>
  <c r="G75" i="60"/>
  <c r="I75" i="60" s="1"/>
  <c r="G74" i="60"/>
  <c r="I74" i="60" s="1"/>
  <c r="N74" i="60" s="1"/>
  <c r="G73" i="60"/>
  <c r="I73" i="60" s="1"/>
  <c r="O73" i="60" s="1"/>
  <c r="G72" i="60"/>
  <c r="I72" i="60" s="1"/>
  <c r="L72" i="60" s="1"/>
  <c r="G71" i="60"/>
  <c r="I71" i="60" s="1"/>
  <c r="G70" i="60"/>
  <c r="I70" i="60" s="1"/>
  <c r="N70" i="60" s="1"/>
  <c r="G69" i="60"/>
  <c r="I69" i="60" s="1"/>
  <c r="G68" i="60"/>
  <c r="I68" i="60" s="1"/>
  <c r="L68" i="60" s="1"/>
  <c r="G67" i="60"/>
  <c r="I67" i="60" s="1"/>
  <c r="G66" i="60"/>
  <c r="I66" i="60" s="1"/>
  <c r="G65" i="60"/>
  <c r="I65" i="60" s="1"/>
  <c r="G64" i="60"/>
  <c r="I64" i="60" s="1"/>
  <c r="N64" i="60" s="1"/>
  <c r="G63" i="60"/>
  <c r="I63" i="60" s="1"/>
  <c r="G62" i="60"/>
  <c r="I62" i="60" s="1"/>
  <c r="N62" i="60" s="1"/>
  <c r="G61" i="60"/>
  <c r="I61" i="60" s="1"/>
  <c r="N61" i="60" s="1"/>
  <c r="G60" i="60"/>
  <c r="I60" i="60" s="1"/>
  <c r="L60" i="60" s="1"/>
  <c r="G59" i="60"/>
  <c r="I59" i="60" s="1"/>
  <c r="P58" i="60"/>
  <c r="G58" i="60"/>
  <c r="G57" i="60"/>
  <c r="I57" i="60" s="1"/>
  <c r="G56" i="60"/>
  <c r="I56" i="60" s="1"/>
  <c r="G55" i="60"/>
  <c r="I55" i="60" s="1"/>
  <c r="G54" i="60"/>
  <c r="I54" i="60" s="1"/>
  <c r="O54" i="60" s="1"/>
  <c r="G53" i="60"/>
  <c r="I53" i="60" s="1"/>
  <c r="G52" i="60"/>
  <c r="I52" i="60" s="1"/>
  <c r="G51" i="60"/>
  <c r="I51" i="60" s="1"/>
  <c r="N51" i="60" s="1"/>
  <c r="G50" i="60"/>
  <c r="I50" i="60" s="1"/>
  <c r="G49" i="60"/>
  <c r="I49" i="60" s="1"/>
  <c r="G48" i="60"/>
  <c r="I48" i="60" s="1"/>
  <c r="G47" i="60"/>
  <c r="I47" i="60" s="1"/>
  <c r="G46" i="60"/>
  <c r="I46" i="60" s="1"/>
  <c r="G45" i="60"/>
  <c r="I45" i="60" s="1"/>
  <c r="N45" i="60" s="1"/>
  <c r="G44" i="60"/>
  <c r="I44" i="60" s="1"/>
  <c r="O44" i="60" s="1"/>
  <c r="G43" i="60"/>
  <c r="I43" i="60" s="1"/>
  <c r="G42" i="60"/>
  <c r="I42" i="60" s="1"/>
  <c r="O42" i="60" s="1"/>
  <c r="G41" i="60"/>
  <c r="I41" i="60" s="1"/>
  <c r="G40" i="60"/>
  <c r="I40" i="60" s="1"/>
  <c r="G39" i="60"/>
  <c r="I39" i="60" s="1"/>
  <c r="P38" i="60"/>
  <c r="G38" i="60"/>
  <c r="G37" i="60"/>
  <c r="I37" i="60" s="1"/>
  <c r="G36" i="60"/>
  <c r="I36" i="60" s="1"/>
  <c r="G35" i="60"/>
  <c r="I35" i="60" s="1"/>
  <c r="G34" i="60"/>
  <c r="I34" i="60" s="1"/>
  <c r="O34" i="60" s="1"/>
  <c r="G33" i="60"/>
  <c r="I33" i="60" s="1"/>
  <c r="O33" i="60" s="1"/>
  <c r="G32" i="60"/>
  <c r="I32" i="60" s="1"/>
  <c r="N32" i="60" s="1"/>
  <c r="G31" i="60"/>
  <c r="I31" i="60" s="1"/>
  <c r="O31" i="60" s="1"/>
  <c r="G30" i="60"/>
  <c r="I30" i="60" s="1"/>
  <c r="L30" i="60" s="1"/>
  <c r="G29" i="60"/>
  <c r="I29" i="60" s="1"/>
  <c r="G28" i="60"/>
  <c r="I28" i="60" s="1"/>
  <c r="G27" i="60"/>
  <c r="I27" i="60" s="1"/>
  <c r="O27" i="60" s="1"/>
  <c r="G26" i="60"/>
  <c r="I26" i="60" s="1"/>
  <c r="G25" i="60"/>
  <c r="I25" i="60" s="1"/>
  <c r="G24" i="60"/>
  <c r="I24" i="60" s="1"/>
  <c r="O24" i="60" s="1"/>
  <c r="G23" i="60"/>
  <c r="I23" i="60" s="1"/>
  <c r="N23" i="60" s="1"/>
  <c r="G22" i="60"/>
  <c r="I22" i="60" s="1"/>
  <c r="G21" i="60"/>
  <c r="I21" i="60" s="1"/>
  <c r="G20" i="60"/>
  <c r="I20" i="60" s="1"/>
  <c r="N20" i="60" s="1"/>
  <c r="G19" i="60"/>
  <c r="I19" i="60" s="1"/>
  <c r="G18" i="60"/>
  <c r="I18" i="60" s="1"/>
  <c r="G17" i="60"/>
  <c r="I17" i="60" s="1"/>
  <c r="G16" i="60"/>
  <c r="I16" i="60" s="1"/>
  <c r="G15" i="60"/>
  <c r="I15" i="60" s="1"/>
  <c r="G14" i="60"/>
  <c r="I14" i="60" s="1"/>
  <c r="G13" i="60"/>
  <c r="I13" i="60" s="1"/>
  <c r="G12" i="60"/>
  <c r="I12" i="60" s="1"/>
  <c r="G11" i="60"/>
  <c r="I11" i="60" s="1"/>
  <c r="G10" i="60"/>
  <c r="I10" i="60" s="1"/>
  <c r="G9" i="60"/>
  <c r="I9" i="60" s="1"/>
  <c r="L9" i="60" s="1"/>
  <c r="G8" i="60"/>
  <c r="I8" i="60" s="1"/>
  <c r="G7" i="60"/>
  <c r="I7" i="60" s="1"/>
  <c r="G6" i="60"/>
  <c r="I6" i="60" s="1"/>
  <c r="G5" i="60"/>
  <c r="I5" i="60" s="1"/>
  <c r="G4" i="60"/>
  <c r="I4" i="60" s="1"/>
  <c r="G3" i="60"/>
  <c r="I3" i="60" s="1"/>
  <c r="G134" i="60"/>
  <c r="I134" i="60" s="1"/>
  <c r="O134" i="60" s="1"/>
  <c r="G133" i="60"/>
  <c r="I133" i="60" s="1"/>
  <c r="G132" i="60"/>
  <c r="I132" i="60" s="1"/>
  <c r="G131" i="60"/>
  <c r="I131" i="60" s="1"/>
  <c r="H129" i="61"/>
  <c r="F129" i="61"/>
  <c r="P26" i="78" l="1"/>
  <c r="P48" i="78"/>
  <c r="P78" i="78"/>
  <c r="P113" i="78"/>
  <c r="P93" i="78"/>
  <c r="P71" i="78"/>
  <c r="P100" i="78"/>
  <c r="P37" i="78"/>
  <c r="P109" i="78"/>
  <c r="P129" i="78"/>
  <c r="P90" i="78"/>
  <c r="P73" i="78"/>
  <c r="P84" i="78"/>
  <c r="P76" i="78"/>
  <c r="P74" i="78"/>
  <c r="P25" i="78"/>
  <c r="P9" i="78"/>
  <c r="P30" i="78"/>
  <c r="P83" i="78"/>
  <c r="P55" i="78"/>
  <c r="P98" i="78"/>
  <c r="P70" i="78"/>
  <c r="P21" i="78"/>
  <c r="P39" i="78"/>
  <c r="P58" i="78"/>
  <c r="P122" i="78"/>
  <c r="P94" i="78"/>
  <c r="P133" i="78"/>
  <c r="P56" i="78"/>
  <c r="P38" i="78"/>
  <c r="P6" i="78"/>
  <c r="P60" i="78"/>
  <c r="P102" i="78"/>
  <c r="P53" i="78"/>
  <c r="P34" i="78"/>
  <c r="P19" i="78"/>
  <c r="P15" i="78"/>
  <c r="P86" i="78"/>
  <c r="P101" i="78"/>
  <c r="P130" i="78"/>
  <c r="P67" i="78"/>
  <c r="P33" i="78"/>
  <c r="P136" i="78"/>
  <c r="P105" i="78"/>
  <c r="P89" i="78"/>
  <c r="P54" i="78"/>
  <c r="P65" i="78"/>
  <c r="P62" i="78"/>
  <c r="P127" i="78"/>
  <c r="P104" i="78"/>
  <c r="P49" i="78"/>
  <c r="P18" i="78"/>
  <c r="P22" i="78"/>
  <c r="P110" i="78"/>
  <c r="P82" i="78"/>
  <c r="P46" i="78"/>
  <c r="P17" i="78"/>
  <c r="P119" i="78"/>
  <c r="P95" i="78"/>
  <c r="P77" i="78"/>
  <c r="P4" i="78"/>
  <c r="P125" i="78"/>
  <c r="P10" i="78"/>
  <c r="P121" i="78"/>
  <c r="P14" i="78"/>
  <c r="P42" i="78"/>
  <c r="P135" i="78"/>
  <c r="P117" i="78"/>
  <c r="P132" i="78"/>
  <c r="P69" i="78"/>
  <c r="P40" i="78"/>
  <c r="P87" i="78"/>
  <c r="P68" i="78"/>
  <c r="P123" i="78"/>
  <c r="P57" i="78"/>
  <c r="P99" i="78"/>
  <c r="P107" i="78"/>
  <c r="P31" i="78"/>
  <c r="P51" i="78"/>
  <c r="P11" i="78"/>
  <c r="P106" i="78"/>
  <c r="P43" i="78"/>
  <c r="P92" i="78"/>
  <c r="P29" i="78"/>
  <c r="P96" i="78"/>
  <c r="P126" i="78"/>
  <c r="P72" i="78"/>
  <c r="P5" i="78"/>
  <c r="P131" i="78"/>
  <c r="P50" i="78"/>
  <c r="P118" i="78"/>
  <c r="P79" i="78"/>
  <c r="P13" i="78"/>
  <c r="P45" i="78"/>
  <c r="P27" i="78"/>
  <c r="P16" i="78"/>
  <c r="P128" i="78"/>
  <c r="P134" i="78"/>
  <c r="P97" i="78"/>
  <c r="P108" i="78"/>
  <c r="P88" i="78"/>
  <c r="P111" i="78"/>
  <c r="P81" i="78"/>
  <c r="P7" i="78"/>
  <c r="P80" i="78"/>
  <c r="P52" i="78"/>
  <c r="P36" i="78"/>
  <c r="P12" i="78"/>
  <c r="P61" i="78"/>
  <c r="P47" i="78"/>
  <c r="P120" i="78"/>
  <c r="P32" i="78"/>
  <c r="P24" i="78"/>
  <c r="I138" i="78"/>
  <c r="O3" i="78"/>
  <c r="O138" i="78" s="1"/>
  <c r="N3" i="78"/>
  <c r="N138" i="78" s="1"/>
  <c r="M3" i="78"/>
  <c r="M138" i="78" s="1"/>
  <c r="L3" i="78"/>
  <c r="P91" i="78"/>
  <c r="P115" i="78"/>
  <c r="P124" i="78"/>
  <c r="P41" i="78"/>
  <c r="P66" i="78"/>
  <c r="P44" i="78"/>
  <c r="P28" i="78"/>
  <c r="P112" i="78"/>
  <c r="P20" i="78"/>
  <c r="P63" i="78"/>
  <c r="P103" i="78"/>
  <c r="P59" i="78"/>
  <c r="P114" i="78"/>
  <c r="P75" i="78"/>
  <c r="P35" i="78"/>
  <c r="P23" i="78"/>
  <c r="P8" i="78"/>
  <c r="P64" i="78"/>
  <c r="P62" i="77"/>
  <c r="P7" i="77"/>
  <c r="P89" i="77"/>
  <c r="P52" i="77"/>
  <c r="P42" i="77"/>
  <c r="P123" i="77"/>
  <c r="P19" i="77"/>
  <c r="P58" i="77"/>
  <c r="P112" i="77"/>
  <c r="P121" i="77"/>
  <c r="P81" i="77"/>
  <c r="P113" i="77"/>
  <c r="P30" i="77"/>
  <c r="P83" i="77"/>
  <c r="P51" i="77"/>
  <c r="P41" i="77"/>
  <c r="P73" i="77"/>
  <c r="P65" i="77"/>
  <c r="P50" i="77"/>
  <c r="P94" i="77"/>
  <c r="P95" i="77"/>
  <c r="P22" i="77"/>
  <c r="P54" i="77"/>
  <c r="P76" i="77"/>
  <c r="P78" i="77"/>
  <c r="P27" i="77"/>
  <c r="P20" i="77"/>
  <c r="P28" i="77"/>
  <c r="P56" i="77"/>
  <c r="P116" i="77"/>
  <c r="P91" i="77"/>
  <c r="P70" i="77"/>
  <c r="P46" i="77"/>
  <c r="P87" i="77"/>
  <c r="P57" i="77"/>
  <c r="P45" i="77"/>
  <c r="P25" i="77"/>
  <c r="P68" i="77"/>
  <c r="P35" i="77"/>
  <c r="P105" i="77"/>
  <c r="P125" i="77"/>
  <c r="P12" i="77"/>
  <c r="P60" i="77"/>
  <c r="P43" i="77"/>
  <c r="P118" i="77"/>
  <c r="P99" i="77"/>
  <c r="P8" i="77"/>
  <c r="P84" i="77"/>
  <c r="P4" i="77"/>
  <c r="P49" i="77"/>
  <c r="P17" i="77"/>
  <c r="P5" i="77"/>
  <c r="P104" i="77"/>
  <c r="P64" i="77"/>
  <c r="P55" i="77"/>
  <c r="P92" i="77"/>
  <c r="P40" i="77"/>
  <c r="P97" i="77"/>
  <c r="P106" i="77"/>
  <c r="P114" i="77"/>
  <c r="P82" i="77"/>
  <c r="P117" i="77"/>
  <c r="P100" i="77"/>
  <c r="P69" i="77"/>
  <c r="P26" i="77"/>
  <c r="P13" i="77"/>
  <c r="P71" i="77"/>
  <c r="P10" i="77"/>
  <c r="P23" i="77"/>
  <c r="P36" i="77"/>
  <c r="P109" i="77"/>
  <c r="P120" i="77"/>
  <c r="P86" i="77"/>
  <c r="P79" i="77"/>
  <c r="P53" i="77"/>
  <c r="P75" i="77"/>
  <c r="P110" i="77"/>
  <c r="P126" i="77"/>
  <c r="P111" i="77"/>
  <c r="P32" i="77"/>
  <c r="P14" i="77"/>
  <c r="I151" i="77"/>
  <c r="L3" i="77"/>
  <c r="M3" i="77"/>
  <c r="M151" i="77" s="1"/>
  <c r="O3" i="77"/>
  <c r="O151" i="77" s="1"/>
  <c r="N3" i="77"/>
  <c r="N151" i="77" s="1"/>
  <c r="P98" i="77"/>
  <c r="P149" i="77"/>
  <c r="P119" i="77"/>
  <c r="P102" i="77"/>
  <c r="P90" i="77"/>
  <c r="P66" i="77"/>
  <c r="P63" i="77"/>
  <c r="P18" i="77"/>
  <c r="P16" i="77"/>
  <c r="P37" i="77"/>
  <c r="P34" i="77"/>
  <c r="P48" i="77"/>
  <c r="P122" i="77"/>
  <c r="P88" i="77"/>
  <c r="P33" i="77"/>
  <c r="P59" i="77"/>
  <c r="P47" i="77"/>
  <c r="P107" i="77"/>
  <c r="P21" i="77"/>
  <c r="P38" i="77"/>
  <c r="P15" i="77"/>
  <c r="P11" i="77"/>
  <c r="P44" i="77"/>
  <c r="P72" i="77"/>
  <c r="P9" i="77"/>
  <c r="P24" i="77"/>
  <c r="P6" i="77"/>
  <c r="P96" i="77"/>
  <c r="P93" i="77"/>
  <c r="P67" i="77"/>
  <c r="P74" i="77"/>
  <c r="P108" i="77"/>
  <c r="P101" i="77"/>
  <c r="P85" i="77"/>
  <c r="P115" i="77"/>
  <c r="P124" i="77"/>
  <c r="P61" i="77"/>
  <c r="P80" i="77"/>
  <c r="P77" i="77"/>
  <c r="P103" i="77"/>
  <c r="P31" i="77"/>
  <c r="P29" i="77"/>
  <c r="P39" i="77"/>
  <c r="O72" i="74"/>
  <c r="M133" i="74"/>
  <c r="M101" i="74"/>
  <c r="N83" i="74"/>
  <c r="M83" i="74"/>
  <c r="L8" i="74"/>
  <c r="N8" i="74"/>
  <c r="O45" i="74"/>
  <c r="M131" i="74"/>
  <c r="L136" i="74"/>
  <c r="M69" i="74"/>
  <c r="M115" i="74"/>
  <c r="M45" i="74"/>
  <c r="M135" i="74"/>
  <c r="O135" i="74"/>
  <c r="L135" i="74"/>
  <c r="M119" i="74"/>
  <c r="O119" i="74"/>
  <c r="L119" i="74"/>
  <c r="M25" i="74"/>
  <c r="L25" i="74"/>
  <c r="O25" i="74"/>
  <c r="M95" i="74"/>
  <c r="N95" i="74"/>
  <c r="M63" i="74"/>
  <c r="L63" i="74"/>
  <c r="N63" i="74"/>
  <c r="O68" i="74"/>
  <c r="M68" i="74"/>
  <c r="L68" i="74"/>
  <c r="M103" i="74"/>
  <c r="O103" i="74"/>
  <c r="L103" i="74"/>
  <c r="N147" i="74"/>
  <c r="M147" i="74"/>
  <c r="M46" i="74"/>
  <c r="O46" i="74"/>
  <c r="L46" i="74"/>
  <c r="M87" i="74"/>
  <c r="O87" i="74"/>
  <c r="L87" i="74"/>
  <c r="N21" i="74"/>
  <c r="O21" i="74"/>
  <c r="M21" i="74"/>
  <c r="N43" i="74"/>
  <c r="O43" i="74"/>
  <c r="L43" i="74"/>
  <c r="M90" i="74"/>
  <c r="O90" i="74"/>
  <c r="L90" i="74"/>
  <c r="O132" i="74"/>
  <c r="M132" i="74"/>
  <c r="L132" i="74"/>
  <c r="O148" i="74"/>
  <c r="M148" i="74"/>
  <c r="O22" i="74"/>
  <c r="M22" i="74"/>
  <c r="N37" i="74"/>
  <c r="O37" i="74"/>
  <c r="M37" i="74"/>
  <c r="M74" i="74"/>
  <c r="O74" i="74"/>
  <c r="L74" i="74"/>
  <c r="O84" i="74"/>
  <c r="M84" i="74"/>
  <c r="L84" i="74"/>
  <c r="O116" i="74"/>
  <c r="M116" i="74"/>
  <c r="L116" i="74"/>
  <c r="M122" i="74"/>
  <c r="O122" i="74"/>
  <c r="L122" i="74"/>
  <c r="M138" i="74"/>
  <c r="O138" i="74"/>
  <c r="L138" i="74"/>
  <c r="N3" i="74"/>
  <c r="L3" i="74"/>
  <c r="L32" i="74"/>
  <c r="M32" i="74"/>
  <c r="O32" i="74"/>
  <c r="L52" i="74"/>
  <c r="N52" i="74"/>
  <c r="O100" i="74"/>
  <c r="M100" i="74"/>
  <c r="L100" i="74"/>
  <c r="M106" i="74"/>
  <c r="O106" i="74"/>
  <c r="L106" i="74"/>
  <c r="O16" i="74"/>
  <c r="L26" i="74"/>
  <c r="M48" i="74"/>
  <c r="O71" i="74"/>
  <c r="L77" i="74"/>
  <c r="L109" i="74"/>
  <c r="L125" i="74"/>
  <c r="L141" i="74"/>
  <c r="M16" i="74"/>
  <c r="L10" i="74"/>
  <c r="M26" i="74"/>
  <c r="L31" i="74"/>
  <c r="N48" i="74"/>
  <c r="L51" i="74"/>
  <c r="N77" i="74"/>
  <c r="M80" i="74"/>
  <c r="L93" i="74"/>
  <c r="N109" i="74"/>
  <c r="M112" i="74"/>
  <c r="N125" i="74"/>
  <c r="M128" i="74"/>
  <c r="N141" i="74"/>
  <c r="M144" i="74"/>
  <c r="L48" i="74"/>
  <c r="N79" i="74"/>
  <c r="M99" i="74"/>
  <c r="N111" i="74"/>
  <c r="N127" i="74"/>
  <c r="M10" i="74"/>
  <c r="L15" i="74"/>
  <c r="P15" i="74" s="1"/>
  <c r="N31" i="74"/>
  <c r="N40" i="74"/>
  <c r="L72" i="74"/>
  <c r="O77" i="74"/>
  <c r="N93" i="74"/>
  <c r="M96" i="74"/>
  <c r="O109" i="74"/>
  <c r="O125" i="74"/>
  <c r="O141" i="74"/>
  <c r="M38" i="74"/>
  <c r="N143" i="74"/>
  <c r="N15" i="74"/>
  <c r="O31" i="74"/>
  <c r="M34" i="74"/>
  <c r="O40" i="74"/>
  <c r="M54" i="74"/>
  <c r="O93" i="74"/>
  <c r="M149" i="74"/>
  <c r="L71" i="74"/>
  <c r="O15" i="74"/>
  <c r="M18" i="74"/>
  <c r="O34" i="74"/>
  <c r="O54" i="74"/>
  <c r="M85" i="74"/>
  <c r="L88" i="74"/>
  <c r="L104" i="74"/>
  <c r="M117" i="74"/>
  <c r="L120" i="74"/>
  <c r="M8" i="74"/>
  <c r="O18" i="74"/>
  <c r="O88" i="74"/>
  <c r="O4" i="74"/>
  <c r="N4" i="74"/>
  <c r="M4" i="74"/>
  <c r="L4" i="74"/>
  <c r="N13" i="74"/>
  <c r="O13" i="74"/>
  <c r="M13" i="74"/>
  <c r="L13" i="74"/>
  <c r="O5" i="74"/>
  <c r="N5" i="74"/>
  <c r="M5" i="74"/>
  <c r="L5" i="74"/>
  <c r="M9" i="74"/>
  <c r="N9" i="74"/>
  <c r="L9" i="74"/>
  <c r="O9" i="74"/>
  <c r="M20" i="74"/>
  <c r="O20" i="74"/>
  <c r="N20" i="74"/>
  <c r="L20" i="74"/>
  <c r="L7" i="74"/>
  <c r="O7" i="74"/>
  <c r="M7" i="74"/>
  <c r="N7" i="74"/>
  <c r="M36" i="74"/>
  <c r="O36" i="74"/>
  <c r="N36" i="74"/>
  <c r="L36" i="74"/>
  <c r="M58" i="74"/>
  <c r="L58" i="74"/>
  <c r="O58" i="74"/>
  <c r="N58" i="74"/>
  <c r="M28" i="74"/>
  <c r="N28" i="74"/>
  <c r="L28" i="74"/>
  <c r="O28" i="74"/>
  <c r="O44" i="74"/>
  <c r="L44" i="74"/>
  <c r="N44" i="74"/>
  <c r="M44" i="74"/>
  <c r="M12" i="74"/>
  <c r="N12" i="74"/>
  <c r="L12" i="74"/>
  <c r="O12" i="74"/>
  <c r="N29" i="74"/>
  <c r="O29" i="74"/>
  <c r="M29" i="74"/>
  <c r="L29" i="74"/>
  <c r="O27" i="74"/>
  <c r="L27" i="74"/>
  <c r="M42" i="74"/>
  <c r="N42" i="74"/>
  <c r="N56" i="74"/>
  <c r="L56" i="74"/>
  <c r="L113" i="74"/>
  <c r="O113" i="74"/>
  <c r="N113" i="74"/>
  <c r="M113" i="74"/>
  <c r="M11" i="74"/>
  <c r="M27" i="74"/>
  <c r="L30" i="74"/>
  <c r="L42" i="74"/>
  <c r="G151" i="74"/>
  <c r="M6" i="74"/>
  <c r="O8" i="74"/>
  <c r="M14" i="74"/>
  <c r="L17" i="74"/>
  <c r="L23" i="74"/>
  <c r="N27" i="74"/>
  <c r="M30" i="74"/>
  <c r="L33" i="74"/>
  <c r="L39" i="74"/>
  <c r="O42" i="74"/>
  <c r="M47" i="74"/>
  <c r="N51" i="74"/>
  <c r="M51" i="74"/>
  <c r="O56" i="74"/>
  <c r="L86" i="74"/>
  <c r="O86" i="74"/>
  <c r="N86" i="74"/>
  <c r="L105" i="74"/>
  <c r="O105" i="74"/>
  <c r="N105" i="74"/>
  <c r="M105" i="74"/>
  <c r="L110" i="74"/>
  <c r="O110" i="74"/>
  <c r="N110" i="74"/>
  <c r="M110" i="74"/>
  <c r="L134" i="74"/>
  <c r="O134" i="74"/>
  <c r="N134" i="74"/>
  <c r="N139" i="74"/>
  <c r="O139" i="74"/>
  <c r="M139" i="74"/>
  <c r="L145" i="74"/>
  <c r="O145" i="74"/>
  <c r="N145" i="74"/>
  <c r="M145" i="74"/>
  <c r="O60" i="74"/>
  <c r="N60" i="74"/>
  <c r="M60" i="74"/>
  <c r="N107" i="74"/>
  <c r="O107" i="74"/>
  <c r="M107" i="74"/>
  <c r="L65" i="74"/>
  <c r="O65" i="74"/>
  <c r="N65" i="74"/>
  <c r="I151" i="74"/>
  <c r="N6" i="74"/>
  <c r="N14" i="74"/>
  <c r="N17" i="74"/>
  <c r="M23" i="74"/>
  <c r="N30" i="74"/>
  <c r="N33" i="74"/>
  <c r="M39" i="74"/>
  <c r="L41" i="74"/>
  <c r="O41" i="74"/>
  <c r="O47" i="74"/>
  <c r="L49" i="74"/>
  <c r="M49" i="74"/>
  <c r="L53" i="74"/>
  <c r="O53" i="74"/>
  <c r="N75" i="74"/>
  <c r="O75" i="74"/>
  <c r="M75" i="74"/>
  <c r="N91" i="74"/>
  <c r="O91" i="74"/>
  <c r="M91" i="74"/>
  <c r="L97" i="74"/>
  <c r="O97" i="74"/>
  <c r="N97" i="74"/>
  <c r="M97" i="74"/>
  <c r="O108" i="74"/>
  <c r="M108" i="74"/>
  <c r="L108" i="74"/>
  <c r="M146" i="74"/>
  <c r="O146" i="74"/>
  <c r="L146" i="74"/>
  <c r="O6" i="74"/>
  <c r="O17" i="74"/>
  <c r="O19" i="74"/>
  <c r="L19" i="74"/>
  <c r="N23" i="74"/>
  <c r="O33" i="74"/>
  <c r="O35" i="74"/>
  <c r="L35" i="74"/>
  <c r="N39" i="74"/>
  <c r="O55" i="74"/>
  <c r="L55" i="74"/>
  <c r="N59" i="74"/>
  <c r="O59" i="74"/>
  <c r="O61" i="74"/>
  <c r="M61" i="74"/>
  <c r="L61" i="74"/>
  <c r="M98" i="74"/>
  <c r="O98" i="74"/>
  <c r="L98" i="74"/>
  <c r="L137" i="74"/>
  <c r="O137" i="74"/>
  <c r="N137" i="74"/>
  <c r="M137" i="74"/>
  <c r="L142" i="74"/>
  <c r="O142" i="74"/>
  <c r="N142" i="74"/>
  <c r="M142" i="74"/>
  <c r="N146" i="74"/>
  <c r="L14" i="74"/>
  <c r="L70" i="74"/>
  <c r="O70" i="74"/>
  <c r="N70" i="74"/>
  <c r="M114" i="74"/>
  <c r="O114" i="74"/>
  <c r="L114" i="74"/>
  <c r="M3" i="74"/>
  <c r="O10" i="74"/>
  <c r="N16" i="74"/>
  <c r="P16" i="74" s="1"/>
  <c r="M19" i="74"/>
  <c r="L22" i="74"/>
  <c r="O26" i="74"/>
  <c r="N32" i="74"/>
  <c r="M35" i="74"/>
  <c r="L38" i="74"/>
  <c r="N41" i="74"/>
  <c r="N46" i="74"/>
  <c r="O49" i="74"/>
  <c r="N53" i="74"/>
  <c r="M55" i="74"/>
  <c r="L57" i="74"/>
  <c r="N57" i="74"/>
  <c r="L59" i="74"/>
  <c r="N61" i="74"/>
  <c r="M66" i="74"/>
  <c r="N66" i="74"/>
  <c r="L66" i="74"/>
  <c r="L73" i="74"/>
  <c r="O73" i="74"/>
  <c r="N73" i="74"/>
  <c r="M73" i="74"/>
  <c r="L81" i="74"/>
  <c r="O81" i="74"/>
  <c r="N81" i="74"/>
  <c r="M81" i="74"/>
  <c r="L89" i="74"/>
  <c r="O89" i="74"/>
  <c r="N89" i="74"/>
  <c r="M89" i="74"/>
  <c r="L94" i="74"/>
  <c r="O94" i="74"/>
  <c r="N94" i="74"/>
  <c r="M94" i="74"/>
  <c r="N98" i="74"/>
  <c r="L118" i="74"/>
  <c r="O118" i="74"/>
  <c r="N118" i="74"/>
  <c r="N123" i="74"/>
  <c r="O123" i="74"/>
  <c r="M123" i="74"/>
  <c r="L129" i="74"/>
  <c r="O129" i="74"/>
  <c r="N129" i="74"/>
  <c r="M129" i="74"/>
  <c r="O140" i="74"/>
  <c r="M140" i="74"/>
  <c r="L140" i="74"/>
  <c r="N67" i="74"/>
  <c r="L67" i="74"/>
  <c r="O67" i="74"/>
  <c r="L47" i="74"/>
  <c r="M56" i="74"/>
  <c r="M67" i="74"/>
  <c r="M50" i="74"/>
  <c r="O50" i="74"/>
  <c r="N55" i="74"/>
  <c r="M59" i="74"/>
  <c r="O64" i="74"/>
  <c r="M64" i="74"/>
  <c r="L64" i="74"/>
  <c r="L78" i="74"/>
  <c r="N78" i="74"/>
  <c r="M78" i="74"/>
  <c r="M82" i="74"/>
  <c r="O82" i="74"/>
  <c r="L82" i="74"/>
  <c r="O92" i="74"/>
  <c r="M92" i="74"/>
  <c r="L92" i="74"/>
  <c r="M130" i="74"/>
  <c r="O130" i="74"/>
  <c r="L130" i="74"/>
  <c r="N140" i="74"/>
  <c r="O11" i="74"/>
  <c r="L11" i="74"/>
  <c r="L102" i="74"/>
  <c r="O102" i="74"/>
  <c r="N102" i="74"/>
  <c r="O124" i="74"/>
  <c r="M124" i="74"/>
  <c r="L124" i="74"/>
  <c r="L60" i="74"/>
  <c r="O3" i="74"/>
  <c r="L18" i="74"/>
  <c r="L21" i="74"/>
  <c r="N22" i="74"/>
  <c r="N25" i="74"/>
  <c r="L34" i="74"/>
  <c r="L37" i="74"/>
  <c r="N38" i="74"/>
  <c r="L40" i="74"/>
  <c r="M43" i="74"/>
  <c r="L45" i="74"/>
  <c r="L50" i="74"/>
  <c r="O52" i="74"/>
  <c r="M52" i="74"/>
  <c r="L54" i="74"/>
  <c r="O57" i="74"/>
  <c r="L62" i="74"/>
  <c r="O62" i="74"/>
  <c r="N62" i="74"/>
  <c r="N64" i="74"/>
  <c r="O76" i="74"/>
  <c r="M76" i="74"/>
  <c r="L76" i="74"/>
  <c r="O78" i="74"/>
  <c r="N82" i="74"/>
  <c r="N92" i="74"/>
  <c r="L121" i="74"/>
  <c r="O121" i="74"/>
  <c r="N121" i="74"/>
  <c r="M121" i="74"/>
  <c r="L126" i="74"/>
  <c r="O126" i="74"/>
  <c r="N126" i="74"/>
  <c r="M126" i="74"/>
  <c r="N130" i="74"/>
  <c r="O63" i="74"/>
  <c r="O80" i="74"/>
  <c r="O83" i="74"/>
  <c r="O96" i="74"/>
  <c r="O99" i="74"/>
  <c r="O112" i="74"/>
  <c r="O115" i="74"/>
  <c r="O128" i="74"/>
  <c r="O131" i="74"/>
  <c r="O144" i="74"/>
  <c r="O147" i="74"/>
  <c r="L69" i="74"/>
  <c r="L79" i="74"/>
  <c r="L85" i="74"/>
  <c r="L95" i="74"/>
  <c r="L101" i="74"/>
  <c r="L111" i="74"/>
  <c r="L117" i="74"/>
  <c r="L127" i="74"/>
  <c r="L133" i="74"/>
  <c r="L143" i="74"/>
  <c r="L149" i="74"/>
  <c r="N69" i="74"/>
  <c r="M72" i="74"/>
  <c r="P72" i="74" s="1"/>
  <c r="O79" i="74"/>
  <c r="N85" i="74"/>
  <c r="M88" i="74"/>
  <c r="O95" i="74"/>
  <c r="N101" i="74"/>
  <c r="M104" i="74"/>
  <c r="O111" i="74"/>
  <c r="N117" i="74"/>
  <c r="M120" i="74"/>
  <c r="O127" i="74"/>
  <c r="N133" i="74"/>
  <c r="M136" i="74"/>
  <c r="O143" i="74"/>
  <c r="N149" i="74"/>
  <c r="O104" i="74"/>
  <c r="O120" i="74"/>
  <c r="O136" i="74"/>
  <c r="L148" i="74"/>
  <c r="N68" i="74"/>
  <c r="N71" i="74"/>
  <c r="N74" i="74"/>
  <c r="L80" i="74"/>
  <c r="L83" i="74"/>
  <c r="N84" i="74"/>
  <c r="N87" i="74"/>
  <c r="N90" i="74"/>
  <c r="L96" i="74"/>
  <c r="L99" i="74"/>
  <c r="N100" i="74"/>
  <c r="N103" i="74"/>
  <c r="N106" i="74"/>
  <c r="L112" i="74"/>
  <c r="L115" i="74"/>
  <c r="N116" i="74"/>
  <c r="N119" i="74"/>
  <c r="N122" i="74"/>
  <c r="L128" i="74"/>
  <c r="L131" i="74"/>
  <c r="N132" i="74"/>
  <c r="N135" i="74"/>
  <c r="N138" i="74"/>
  <c r="L144" i="74"/>
  <c r="L147" i="74"/>
  <c r="N148" i="74"/>
  <c r="N49" i="73"/>
  <c r="M52" i="73"/>
  <c r="O52" i="73"/>
  <c r="M48" i="73"/>
  <c r="O48" i="73"/>
  <c r="L27" i="73"/>
  <c r="N33" i="73"/>
  <c r="M27" i="73"/>
  <c r="L134" i="73"/>
  <c r="O134" i="73"/>
  <c r="N134" i="73"/>
  <c r="L43" i="73"/>
  <c r="N43" i="73"/>
  <c r="O3" i="73"/>
  <c r="L3" i="73"/>
  <c r="N47" i="73"/>
  <c r="L41" i="73"/>
  <c r="L45" i="73"/>
  <c r="L53" i="73"/>
  <c r="O126" i="73"/>
  <c r="L19" i="73"/>
  <c r="M126" i="73"/>
  <c r="M122" i="73"/>
  <c r="M19" i="73"/>
  <c r="N126" i="73"/>
  <c r="L11" i="73"/>
  <c r="N110" i="73"/>
  <c r="N54" i="73"/>
  <c r="O54" i="73"/>
  <c r="M54" i="73"/>
  <c r="L29" i="73"/>
  <c r="M29" i="73"/>
  <c r="O29" i="73"/>
  <c r="N29" i="73"/>
  <c r="L90" i="73"/>
  <c r="M90" i="73"/>
  <c r="M50" i="73"/>
  <c r="O50" i="73"/>
  <c r="N62" i="73"/>
  <c r="M62" i="73"/>
  <c r="O62" i="73"/>
  <c r="N102" i="73"/>
  <c r="M102" i="73"/>
  <c r="O102" i="73"/>
  <c r="L21" i="73"/>
  <c r="M21" i="73"/>
  <c r="O21" i="73"/>
  <c r="N21" i="73"/>
  <c r="O46" i="73"/>
  <c r="M46" i="73"/>
  <c r="L5" i="73"/>
  <c r="M5" i="73"/>
  <c r="O5" i="73"/>
  <c r="N5" i="73"/>
  <c r="N86" i="73"/>
  <c r="O86" i="73"/>
  <c r="M86" i="73"/>
  <c r="L13" i="73"/>
  <c r="M13" i="73"/>
  <c r="O13" i="73"/>
  <c r="N13" i="73"/>
  <c r="N94" i="73"/>
  <c r="O94" i="73"/>
  <c r="M94" i="73"/>
  <c r="L33" i="73"/>
  <c r="M106" i="73"/>
  <c r="M110" i="73"/>
  <c r="M138" i="73"/>
  <c r="O33" i="73"/>
  <c r="L39" i="73"/>
  <c r="M44" i="73"/>
  <c r="L51" i="73"/>
  <c r="M60" i="73"/>
  <c r="L67" i="73"/>
  <c r="M70" i="73"/>
  <c r="M78" i="73"/>
  <c r="O110" i="73"/>
  <c r="M114" i="73"/>
  <c r="M118" i="73"/>
  <c r="N39" i="73"/>
  <c r="O70" i="73"/>
  <c r="O78" i="73"/>
  <c r="N118" i="73"/>
  <c r="O39" i="73"/>
  <c r="M82" i="73"/>
  <c r="O118" i="73"/>
  <c r="M98" i="73"/>
  <c r="M130" i="73"/>
  <c r="M134" i="73"/>
  <c r="L4" i="73"/>
  <c r="N4" i="73"/>
  <c r="O4" i="73"/>
  <c r="M4" i="73"/>
  <c r="O7" i="73"/>
  <c r="N7" i="73"/>
  <c r="M7" i="73"/>
  <c r="L7" i="73"/>
  <c r="N14" i="73"/>
  <c r="M14" i="73"/>
  <c r="L14" i="73"/>
  <c r="L34" i="73"/>
  <c r="N34" i="73"/>
  <c r="O34" i="73"/>
  <c r="M34" i="73"/>
  <c r="L42" i="73"/>
  <c r="N42" i="73"/>
  <c r="O42" i="73"/>
  <c r="M42" i="73"/>
  <c r="L10" i="73"/>
  <c r="O10" i="73"/>
  <c r="N10" i="73"/>
  <c r="M10" i="73"/>
  <c r="N6" i="73"/>
  <c r="M6" i="73"/>
  <c r="L6" i="73"/>
  <c r="M139" i="73"/>
  <c r="L139" i="73"/>
  <c r="O139" i="73"/>
  <c r="N139" i="73"/>
  <c r="O89" i="73"/>
  <c r="N89" i="73"/>
  <c r="M89" i="73"/>
  <c r="L89" i="73"/>
  <c r="L12" i="73"/>
  <c r="N12" i="73"/>
  <c r="O12" i="73"/>
  <c r="O14" i="73"/>
  <c r="N22" i="73"/>
  <c r="M22" i="73"/>
  <c r="L22" i="73"/>
  <c r="O22" i="73"/>
  <c r="N30" i="73"/>
  <c r="M30" i="73"/>
  <c r="L30" i="73"/>
  <c r="O30" i="73"/>
  <c r="M35" i="73"/>
  <c r="O35" i="73"/>
  <c r="N35" i="73"/>
  <c r="L35" i="73"/>
  <c r="O8" i="73"/>
  <c r="N8" i="73"/>
  <c r="M8" i="73"/>
  <c r="L8" i="73"/>
  <c r="O23" i="73"/>
  <c r="N23" i="73"/>
  <c r="M23" i="73"/>
  <c r="L23" i="73"/>
  <c r="N36" i="73"/>
  <c r="L36" i="73"/>
  <c r="M36" i="73"/>
  <c r="O36" i="73"/>
  <c r="O9" i="73"/>
  <c r="N9" i="73"/>
  <c r="L9" i="73"/>
  <c r="M9" i="73"/>
  <c r="O16" i="73"/>
  <c r="N16" i="73"/>
  <c r="M16" i="73"/>
  <c r="L16" i="73"/>
  <c r="L20" i="73"/>
  <c r="M20" i="73"/>
  <c r="O20" i="73"/>
  <c r="N20" i="73"/>
  <c r="O24" i="73"/>
  <c r="N24" i="73"/>
  <c r="M24" i="73"/>
  <c r="L24" i="73"/>
  <c r="L28" i="73"/>
  <c r="N28" i="73"/>
  <c r="O28" i="73"/>
  <c r="M28" i="73"/>
  <c r="L32" i="73"/>
  <c r="O32" i="73"/>
  <c r="N32" i="73"/>
  <c r="M32" i="73"/>
  <c r="O15" i="73"/>
  <c r="N15" i="73"/>
  <c r="M15" i="73"/>
  <c r="L15" i="73"/>
  <c r="O142" i="73"/>
  <c r="N142" i="73"/>
  <c r="M142" i="73"/>
  <c r="L142" i="73"/>
  <c r="O17" i="73"/>
  <c r="N17" i="73"/>
  <c r="L17" i="73"/>
  <c r="M17" i="73"/>
  <c r="O25" i="73"/>
  <c r="N25" i="73"/>
  <c r="L25" i="73"/>
  <c r="M25" i="73"/>
  <c r="O77" i="73"/>
  <c r="M77" i="73"/>
  <c r="O93" i="73"/>
  <c r="N93" i="73"/>
  <c r="M93" i="73"/>
  <c r="M3" i="73"/>
  <c r="M11" i="73"/>
  <c r="N72" i="73"/>
  <c r="M72" i="73"/>
  <c r="L72" i="73"/>
  <c r="L77" i="73"/>
  <c r="O85" i="73"/>
  <c r="N85" i="73"/>
  <c r="M85" i="73"/>
  <c r="L93" i="73"/>
  <c r="M107" i="73"/>
  <c r="L107" i="73"/>
  <c r="O107" i="73"/>
  <c r="N120" i="73"/>
  <c r="M120" i="73"/>
  <c r="L120" i="73"/>
  <c r="M131" i="73"/>
  <c r="L131" i="73"/>
  <c r="O131" i="73"/>
  <c r="N3" i="73"/>
  <c r="M18" i="73"/>
  <c r="N19" i="73"/>
  <c r="N27" i="73"/>
  <c r="N40" i="73"/>
  <c r="L40" i="73"/>
  <c r="O61" i="73"/>
  <c r="M61" i="73"/>
  <c r="N68" i="73"/>
  <c r="L68" i="73"/>
  <c r="L75" i="73"/>
  <c r="M99" i="73"/>
  <c r="L99" i="73"/>
  <c r="O99" i="73"/>
  <c r="O120" i="73"/>
  <c r="N131" i="73"/>
  <c r="O11" i="73"/>
  <c r="N18" i="73"/>
  <c r="N26" i="73"/>
  <c r="L31" i="73"/>
  <c r="L37" i="73"/>
  <c r="O38" i="73"/>
  <c r="M40" i="73"/>
  <c r="N56" i="73"/>
  <c r="M56" i="73"/>
  <c r="L56" i="73"/>
  <c r="M59" i="73"/>
  <c r="O59" i="73"/>
  <c r="L61" i="73"/>
  <c r="M68" i="73"/>
  <c r="O73" i="73"/>
  <c r="N73" i="73"/>
  <c r="M73" i="73"/>
  <c r="N88" i="73"/>
  <c r="M88" i="73"/>
  <c r="L88" i="73"/>
  <c r="M91" i="73"/>
  <c r="L91" i="73"/>
  <c r="O91" i="73"/>
  <c r="N99" i="73"/>
  <c r="O105" i="73"/>
  <c r="N105" i="73"/>
  <c r="M105" i="73"/>
  <c r="O113" i="73"/>
  <c r="N113" i="73"/>
  <c r="M113" i="73"/>
  <c r="O121" i="73"/>
  <c r="N121" i="73"/>
  <c r="M121" i="73"/>
  <c r="O129" i="73"/>
  <c r="N129" i="73"/>
  <c r="M129" i="73"/>
  <c r="O137" i="73"/>
  <c r="N137" i="73"/>
  <c r="M137" i="73"/>
  <c r="O65" i="73"/>
  <c r="N65" i="73"/>
  <c r="M65" i="73"/>
  <c r="L58" i="73"/>
  <c r="O58" i="73"/>
  <c r="N58" i="73"/>
  <c r="M75" i="73"/>
  <c r="O75" i="73"/>
  <c r="N104" i="73"/>
  <c r="M104" i="73"/>
  <c r="L104" i="73"/>
  <c r="M115" i="73"/>
  <c r="L115" i="73"/>
  <c r="O115" i="73"/>
  <c r="M123" i="73"/>
  <c r="L123" i="73"/>
  <c r="O123" i="73"/>
  <c r="N128" i="73"/>
  <c r="M128" i="73"/>
  <c r="L128" i="73"/>
  <c r="N136" i="73"/>
  <c r="M136" i="73"/>
  <c r="L136" i="73"/>
  <c r="M26" i="73"/>
  <c r="N38" i="73"/>
  <c r="O63" i="73"/>
  <c r="M63" i="73"/>
  <c r="L63" i="73"/>
  <c r="O72" i="73"/>
  <c r="N77" i="73"/>
  <c r="L85" i="73"/>
  <c r="N96" i="73"/>
  <c r="M96" i="73"/>
  <c r="L96" i="73"/>
  <c r="O104" i="73"/>
  <c r="N107" i="73"/>
  <c r="O128" i="73"/>
  <c r="O18" i="73"/>
  <c r="O26" i="73"/>
  <c r="M31" i="73"/>
  <c r="M37" i="73"/>
  <c r="O40" i="73"/>
  <c r="N44" i="73"/>
  <c r="L44" i="73"/>
  <c r="N46" i="73"/>
  <c r="L46" i="73"/>
  <c r="N48" i="73"/>
  <c r="L48" i="73"/>
  <c r="L50" i="73"/>
  <c r="N50" i="73"/>
  <c r="N52" i="73"/>
  <c r="L52" i="73"/>
  <c r="O56" i="73"/>
  <c r="L59" i="73"/>
  <c r="N61" i="73"/>
  <c r="L66" i="73"/>
  <c r="O66" i="73"/>
  <c r="N66" i="73"/>
  <c r="O68" i="73"/>
  <c r="L73" i="73"/>
  <c r="N80" i="73"/>
  <c r="M80" i="73"/>
  <c r="L80" i="73"/>
  <c r="M83" i="73"/>
  <c r="L83" i="73"/>
  <c r="O83" i="73"/>
  <c r="O88" i="73"/>
  <c r="N91" i="73"/>
  <c r="O97" i="73"/>
  <c r="N97" i="73"/>
  <c r="M97" i="73"/>
  <c r="L105" i="73"/>
  <c r="N108" i="73"/>
  <c r="M108" i="73"/>
  <c r="L108" i="73"/>
  <c r="L113" i="73"/>
  <c r="N116" i="73"/>
  <c r="M116" i="73"/>
  <c r="L116" i="73"/>
  <c r="L121" i="73"/>
  <c r="N124" i="73"/>
  <c r="M124" i="73"/>
  <c r="L124" i="73"/>
  <c r="L129" i="73"/>
  <c r="N132" i="73"/>
  <c r="M132" i="73"/>
  <c r="L132" i="73"/>
  <c r="L137" i="73"/>
  <c r="N140" i="73"/>
  <c r="M140" i="73"/>
  <c r="L140" i="73"/>
  <c r="L97" i="73"/>
  <c r="N100" i="73"/>
  <c r="M100" i="73"/>
  <c r="L100" i="73"/>
  <c r="O108" i="73"/>
  <c r="O116" i="73"/>
  <c r="O124" i="73"/>
  <c r="O132" i="73"/>
  <c r="O140" i="73"/>
  <c r="O79" i="73"/>
  <c r="M79" i="73"/>
  <c r="L79" i="73"/>
  <c r="O87" i="73"/>
  <c r="M87" i="73"/>
  <c r="L87" i="73"/>
  <c r="M38" i="73"/>
  <c r="L65" i="73"/>
  <c r="N112" i="73"/>
  <c r="M112" i="73"/>
  <c r="L112" i="73"/>
  <c r="N31" i="73"/>
  <c r="N37" i="73"/>
  <c r="O57" i="73"/>
  <c r="N57" i="73"/>
  <c r="M57" i="73"/>
  <c r="O69" i="73"/>
  <c r="M69" i="73"/>
  <c r="O71" i="73"/>
  <c r="M71" i="73"/>
  <c r="L71" i="73"/>
  <c r="N76" i="73"/>
  <c r="L76" i="73"/>
  <c r="G144" i="73"/>
  <c r="O41" i="73"/>
  <c r="M41" i="73"/>
  <c r="L57" i="73"/>
  <c r="N64" i="73"/>
  <c r="M64" i="73"/>
  <c r="L64" i="73"/>
  <c r="M67" i="73"/>
  <c r="O67" i="73"/>
  <c r="L69" i="73"/>
  <c r="N71" i="73"/>
  <c r="M76" i="73"/>
  <c r="O81" i="73"/>
  <c r="N81" i="73"/>
  <c r="M81" i="73"/>
  <c r="N92" i="73"/>
  <c r="M92" i="73"/>
  <c r="L92" i="73"/>
  <c r="O103" i="73"/>
  <c r="M103" i="73"/>
  <c r="L103" i="73"/>
  <c r="O109" i="73"/>
  <c r="N109" i="73"/>
  <c r="M109" i="73"/>
  <c r="O111" i="73"/>
  <c r="M111" i="73"/>
  <c r="L111" i="73"/>
  <c r="O117" i="73"/>
  <c r="N117" i="73"/>
  <c r="M117" i="73"/>
  <c r="O119" i="73"/>
  <c r="M119" i="73"/>
  <c r="L119" i="73"/>
  <c r="O125" i="73"/>
  <c r="N125" i="73"/>
  <c r="M125" i="73"/>
  <c r="O127" i="73"/>
  <c r="M127" i="73"/>
  <c r="L127" i="73"/>
  <c r="O133" i="73"/>
  <c r="N133" i="73"/>
  <c r="M133" i="73"/>
  <c r="O135" i="73"/>
  <c r="M135" i="73"/>
  <c r="L135" i="73"/>
  <c r="O141" i="73"/>
  <c r="N141" i="73"/>
  <c r="M141" i="73"/>
  <c r="I144" i="73"/>
  <c r="M43" i="73"/>
  <c r="O43" i="73"/>
  <c r="O45" i="73"/>
  <c r="M45" i="73"/>
  <c r="O47" i="73"/>
  <c r="M47" i="73"/>
  <c r="O49" i="73"/>
  <c r="M49" i="73"/>
  <c r="M51" i="73"/>
  <c r="O51" i="73"/>
  <c r="O53" i="73"/>
  <c r="M53" i="73"/>
  <c r="O55" i="73"/>
  <c r="M55" i="73"/>
  <c r="L55" i="73"/>
  <c r="N60" i="73"/>
  <c r="L60" i="73"/>
  <c r="L74" i="73"/>
  <c r="O74" i="73"/>
  <c r="N74" i="73"/>
  <c r="N84" i="73"/>
  <c r="M84" i="73"/>
  <c r="L84" i="73"/>
  <c r="O95" i="73"/>
  <c r="M95" i="73"/>
  <c r="L95" i="73"/>
  <c r="O101" i="73"/>
  <c r="N101" i="73"/>
  <c r="M101" i="73"/>
  <c r="L141" i="73"/>
  <c r="O136" i="73"/>
  <c r="N82" i="73"/>
  <c r="N90" i="73"/>
  <c r="N98" i="73"/>
  <c r="N106" i="73"/>
  <c r="N114" i="73"/>
  <c r="N122" i="73"/>
  <c r="N130" i="73"/>
  <c r="N138" i="73"/>
  <c r="O82" i="73"/>
  <c r="O90" i="73"/>
  <c r="O98" i="73"/>
  <c r="O106" i="73"/>
  <c r="O114" i="73"/>
  <c r="O122" i="73"/>
  <c r="O130" i="73"/>
  <c r="O138" i="73"/>
  <c r="L54" i="73"/>
  <c r="L62" i="73"/>
  <c r="L70" i="73"/>
  <c r="L78" i="73"/>
  <c r="L86" i="73"/>
  <c r="L94" i="73"/>
  <c r="L102" i="73"/>
  <c r="M40" i="72"/>
  <c r="N40" i="72"/>
  <c r="M74" i="72"/>
  <c r="O74" i="72"/>
  <c r="L16" i="72"/>
  <c r="O16" i="72"/>
  <c r="M34" i="72"/>
  <c r="O34" i="72"/>
  <c r="M50" i="72"/>
  <c r="O50" i="72"/>
  <c r="M32" i="72"/>
  <c r="N32" i="72"/>
  <c r="N48" i="72"/>
  <c r="M80" i="72"/>
  <c r="O30" i="72"/>
  <c r="M30" i="72"/>
  <c r="L30" i="72"/>
  <c r="L89" i="72"/>
  <c r="N89" i="72"/>
  <c r="O89" i="72"/>
  <c r="O95" i="72"/>
  <c r="M95" i="72"/>
  <c r="L95" i="72"/>
  <c r="M58" i="72"/>
  <c r="O58" i="72"/>
  <c r="L58" i="72"/>
  <c r="N58" i="72"/>
  <c r="N73" i="72"/>
  <c r="O73" i="72"/>
  <c r="O103" i="72"/>
  <c r="M103" i="72"/>
  <c r="L103" i="72"/>
  <c r="O6" i="72"/>
  <c r="M6" i="72"/>
  <c r="L6" i="72"/>
  <c r="M25" i="72"/>
  <c r="L25" i="72"/>
  <c r="O25" i="72"/>
  <c r="O79" i="72"/>
  <c r="L79" i="72"/>
  <c r="M79" i="72"/>
  <c r="O111" i="72"/>
  <c r="M111" i="72"/>
  <c r="L111" i="72"/>
  <c r="L41" i="72"/>
  <c r="O41" i="72"/>
  <c r="N41" i="72"/>
  <c r="M41" i="72"/>
  <c r="L8" i="72"/>
  <c r="N8" i="72"/>
  <c r="O8" i="72"/>
  <c r="M98" i="72"/>
  <c r="O98" i="72"/>
  <c r="N98" i="72"/>
  <c r="L98" i="72"/>
  <c r="L113" i="72"/>
  <c r="O113" i="72"/>
  <c r="N113" i="72"/>
  <c r="M17" i="72"/>
  <c r="O17" i="72"/>
  <c r="L17" i="72"/>
  <c r="O14" i="72"/>
  <c r="L14" i="72"/>
  <c r="M14" i="72"/>
  <c r="L49" i="72"/>
  <c r="M49" i="72"/>
  <c r="O63" i="72"/>
  <c r="L63" i="72"/>
  <c r="M63" i="72"/>
  <c r="O87" i="72"/>
  <c r="L87" i="72"/>
  <c r="M87" i="72"/>
  <c r="M82" i="72"/>
  <c r="O82" i="72"/>
  <c r="L82" i="72"/>
  <c r="N82" i="72"/>
  <c r="L105" i="72"/>
  <c r="O105" i="72"/>
  <c r="N105" i="72"/>
  <c r="M39" i="72"/>
  <c r="L39" i="72"/>
  <c r="O71" i="72"/>
  <c r="L71" i="72"/>
  <c r="M71" i="72"/>
  <c r="L22" i="72"/>
  <c r="L90" i="72"/>
  <c r="N97" i="72"/>
  <c r="O42" i="72"/>
  <c r="O51" i="72"/>
  <c r="O66" i="72"/>
  <c r="O90" i="72"/>
  <c r="N106" i="72"/>
  <c r="L106" i="72"/>
  <c r="N16" i="72"/>
  <c r="O106" i="72"/>
  <c r="L9" i="72"/>
  <c r="N24" i="72"/>
  <c r="L34" i="72"/>
  <c r="L48" i="72"/>
  <c r="L50" i="72"/>
  <c r="L74" i="72"/>
  <c r="O9" i="72"/>
  <c r="O24" i="72"/>
  <c r="L32" i="72"/>
  <c r="N34" i="72"/>
  <c r="L40" i="72"/>
  <c r="M48" i="72"/>
  <c r="N50" i="72"/>
  <c r="N74" i="72"/>
  <c r="L42" i="72"/>
  <c r="L66" i="72"/>
  <c r="N81" i="72"/>
  <c r="M22" i="72"/>
  <c r="N42" i="72"/>
  <c r="N66" i="72"/>
  <c r="N90" i="72"/>
  <c r="O97" i="72"/>
  <c r="O11" i="72"/>
  <c r="N11" i="72"/>
  <c r="M11" i="72"/>
  <c r="L11" i="72"/>
  <c r="O15" i="72"/>
  <c r="N15" i="72"/>
  <c r="M15" i="72"/>
  <c r="L15" i="72"/>
  <c r="N18" i="72"/>
  <c r="M18" i="72"/>
  <c r="L18" i="72"/>
  <c r="O18" i="72"/>
  <c r="M23" i="72"/>
  <c r="N23" i="72"/>
  <c r="O23" i="72"/>
  <c r="L23" i="72"/>
  <c r="O20" i="72"/>
  <c r="N20" i="72"/>
  <c r="M20" i="72"/>
  <c r="L20" i="72"/>
  <c r="N26" i="72"/>
  <c r="M26" i="72"/>
  <c r="L26" i="72"/>
  <c r="O26" i="72"/>
  <c r="N61" i="72"/>
  <c r="M61" i="72"/>
  <c r="L61" i="72"/>
  <c r="O61" i="72"/>
  <c r="O12" i="72"/>
  <c r="N12" i="72"/>
  <c r="M12" i="72"/>
  <c r="L12" i="72"/>
  <c r="O27" i="72"/>
  <c r="N27" i="72"/>
  <c r="M27" i="72"/>
  <c r="L27" i="72"/>
  <c r="O31" i="72"/>
  <c r="N31" i="72"/>
  <c r="M31" i="72"/>
  <c r="L31" i="72"/>
  <c r="N53" i="72"/>
  <c r="M53" i="72"/>
  <c r="L53" i="72"/>
  <c r="O53" i="72"/>
  <c r="O101" i="72"/>
  <c r="N101" i="72"/>
  <c r="M101" i="72"/>
  <c r="L101" i="72"/>
  <c r="L33" i="72"/>
  <c r="O33" i="72"/>
  <c r="N33" i="72"/>
  <c r="M33" i="72"/>
  <c r="O28" i="72"/>
  <c r="N28" i="72"/>
  <c r="M28" i="72"/>
  <c r="L28" i="72"/>
  <c r="O54" i="72"/>
  <c r="N54" i="72"/>
  <c r="M54" i="72"/>
  <c r="L54" i="72"/>
  <c r="O93" i="72"/>
  <c r="N93" i="72"/>
  <c r="M93" i="72"/>
  <c r="L93" i="72"/>
  <c r="O19" i="72"/>
  <c r="N19" i="72"/>
  <c r="M19" i="72"/>
  <c r="L19" i="72"/>
  <c r="N7" i="72"/>
  <c r="M7" i="72"/>
  <c r="O7" i="72"/>
  <c r="L7" i="72"/>
  <c r="O4" i="72"/>
  <c r="N4" i="72"/>
  <c r="M4" i="72"/>
  <c r="L4" i="72"/>
  <c r="N10" i="72"/>
  <c r="M10" i="72"/>
  <c r="L10" i="72"/>
  <c r="O10" i="72"/>
  <c r="N69" i="72"/>
  <c r="M69" i="72"/>
  <c r="L69" i="72"/>
  <c r="O85" i="72"/>
  <c r="N85" i="72"/>
  <c r="M85" i="72"/>
  <c r="L85" i="72"/>
  <c r="G116" i="72"/>
  <c r="O69" i="72"/>
  <c r="M88" i="72"/>
  <c r="M8" i="72"/>
  <c r="N9" i="72"/>
  <c r="M16" i="72"/>
  <c r="N17" i="72"/>
  <c r="M24" i="72"/>
  <c r="N25" i="72"/>
  <c r="O38" i="72"/>
  <c r="N38" i="72"/>
  <c r="M38" i="72"/>
  <c r="O49" i="72"/>
  <c r="N75" i="72"/>
  <c r="L75" i="72"/>
  <c r="O75" i="72"/>
  <c r="O80" i="72"/>
  <c r="L80" i="72"/>
  <c r="O92" i="72"/>
  <c r="N92" i="72"/>
  <c r="M92" i="72"/>
  <c r="L92" i="72"/>
  <c r="O60" i="72"/>
  <c r="M60" i="72"/>
  <c r="L60" i="72"/>
  <c r="L5" i="72"/>
  <c r="I3" i="72"/>
  <c r="M5" i="72"/>
  <c r="N6" i="72"/>
  <c r="M13" i="72"/>
  <c r="N14" i="72"/>
  <c r="M21" i="72"/>
  <c r="N22" i="72"/>
  <c r="M29" i="72"/>
  <c r="N30" i="72"/>
  <c r="O52" i="72"/>
  <c r="M52" i="72"/>
  <c r="L52" i="72"/>
  <c r="N56" i="72"/>
  <c r="N65" i="72"/>
  <c r="N67" i="72"/>
  <c r="L67" i="72"/>
  <c r="O67" i="72"/>
  <c r="O72" i="72"/>
  <c r="L72" i="72"/>
  <c r="O76" i="72"/>
  <c r="M76" i="72"/>
  <c r="L76" i="72"/>
  <c r="O86" i="72"/>
  <c r="N86" i="72"/>
  <c r="M86" i="72"/>
  <c r="O104" i="72"/>
  <c r="L104" i="72"/>
  <c r="O108" i="72"/>
  <c r="N108" i="72"/>
  <c r="M108" i="72"/>
  <c r="L108" i="72"/>
  <c r="O114" i="72"/>
  <c r="N114" i="72"/>
  <c r="M114" i="72"/>
  <c r="O96" i="72"/>
  <c r="L96" i="72"/>
  <c r="N5" i="72"/>
  <c r="N13" i="72"/>
  <c r="N21" i="72"/>
  <c r="N29" i="72"/>
  <c r="O39" i="72"/>
  <c r="N39" i="72"/>
  <c r="N52" i="72"/>
  <c r="M67" i="72"/>
  <c r="O70" i="72"/>
  <c r="N70" i="72"/>
  <c r="M70" i="72"/>
  <c r="M72" i="72"/>
  <c r="N76" i="72"/>
  <c r="L81" i="72"/>
  <c r="M81" i="72"/>
  <c r="L86" i="72"/>
  <c r="O94" i="72"/>
  <c r="N94" i="72"/>
  <c r="M94" i="72"/>
  <c r="N96" i="72"/>
  <c r="M104" i="72"/>
  <c r="L114" i="72"/>
  <c r="O36" i="72"/>
  <c r="M36" i="72"/>
  <c r="L36" i="72"/>
  <c r="O88" i="72"/>
  <c r="L88" i="72"/>
  <c r="L13" i="72"/>
  <c r="L29" i="72"/>
  <c r="O21" i="72"/>
  <c r="N35" i="72"/>
  <c r="L35" i="72"/>
  <c r="N37" i="72"/>
  <c r="M37" i="72"/>
  <c r="L37" i="72"/>
  <c r="O47" i="72"/>
  <c r="N47" i="72"/>
  <c r="L57" i="72"/>
  <c r="M57" i="72"/>
  <c r="N72" i="72"/>
  <c r="N83" i="72"/>
  <c r="M83" i="72"/>
  <c r="L83" i="72"/>
  <c r="O83" i="72"/>
  <c r="O102" i="72"/>
  <c r="N102" i="72"/>
  <c r="M102" i="72"/>
  <c r="N104" i="72"/>
  <c r="O109" i="72"/>
  <c r="N109" i="72"/>
  <c r="M109" i="72"/>
  <c r="L109" i="72"/>
  <c r="O112" i="72"/>
  <c r="L112" i="72"/>
  <c r="O56" i="72"/>
  <c r="L56" i="72"/>
  <c r="O78" i="72"/>
  <c r="N78" i="72"/>
  <c r="M78" i="72"/>
  <c r="N107" i="72"/>
  <c r="M107" i="72"/>
  <c r="L107" i="72"/>
  <c r="O107" i="72"/>
  <c r="N43" i="72"/>
  <c r="L43" i="72"/>
  <c r="N45" i="72"/>
  <c r="M45" i="72"/>
  <c r="L45" i="72"/>
  <c r="O55" i="72"/>
  <c r="N55" i="72"/>
  <c r="N59" i="72"/>
  <c r="L59" i="72"/>
  <c r="O59" i="72"/>
  <c r="O64" i="72"/>
  <c r="L64" i="72"/>
  <c r="O68" i="72"/>
  <c r="M68" i="72"/>
  <c r="L68" i="72"/>
  <c r="N77" i="72"/>
  <c r="M77" i="72"/>
  <c r="L77" i="72"/>
  <c r="N91" i="72"/>
  <c r="M91" i="72"/>
  <c r="L91" i="72"/>
  <c r="O91" i="72"/>
  <c r="O46" i="72"/>
  <c r="N46" i="72"/>
  <c r="M46" i="72"/>
  <c r="O100" i="72"/>
  <c r="N100" i="72"/>
  <c r="M100" i="72"/>
  <c r="L100" i="72"/>
  <c r="O44" i="72"/>
  <c r="M44" i="72"/>
  <c r="L44" i="72"/>
  <c r="L65" i="72"/>
  <c r="M65" i="72"/>
  <c r="L78" i="72"/>
  <c r="O35" i="72"/>
  <c r="M43" i="72"/>
  <c r="O45" i="72"/>
  <c r="M47" i="72"/>
  <c r="N49" i="72"/>
  <c r="N51" i="72"/>
  <c r="L51" i="72"/>
  <c r="L55" i="72"/>
  <c r="O57" i="72"/>
  <c r="M59" i="72"/>
  <c r="O62" i="72"/>
  <c r="N62" i="72"/>
  <c r="M62" i="72"/>
  <c r="M64" i="72"/>
  <c r="N68" i="72"/>
  <c r="L73" i="72"/>
  <c r="M73" i="72"/>
  <c r="O77" i="72"/>
  <c r="O84" i="72"/>
  <c r="N84" i="72"/>
  <c r="M84" i="72"/>
  <c r="L84" i="72"/>
  <c r="N99" i="72"/>
  <c r="M99" i="72"/>
  <c r="L99" i="72"/>
  <c r="O99" i="72"/>
  <c r="O110" i="72"/>
  <c r="N110" i="72"/>
  <c r="M110" i="72"/>
  <c r="N112" i="72"/>
  <c r="M89" i="72"/>
  <c r="M97" i="72"/>
  <c r="M105" i="72"/>
  <c r="M113" i="72"/>
  <c r="N63" i="72"/>
  <c r="N71" i="72"/>
  <c r="N79" i="72"/>
  <c r="N87" i="72"/>
  <c r="N95" i="72"/>
  <c r="N103" i="72"/>
  <c r="N111" i="72"/>
  <c r="O64" i="70"/>
  <c r="L64" i="70"/>
  <c r="L5" i="70"/>
  <c r="N5" i="70"/>
  <c r="O37" i="70"/>
  <c r="N37" i="70"/>
  <c r="M37" i="70"/>
  <c r="L40" i="70"/>
  <c r="M57" i="70"/>
  <c r="N57" i="70"/>
  <c r="L13" i="70"/>
  <c r="N13" i="70"/>
  <c r="M13" i="70"/>
  <c r="L21" i="70"/>
  <c r="O21" i="70"/>
  <c r="N21" i="70"/>
  <c r="M21" i="70"/>
  <c r="M104" i="70"/>
  <c r="L104" i="70"/>
  <c r="N104" i="70"/>
  <c r="O104" i="70"/>
  <c r="O39" i="70"/>
  <c r="M39" i="70"/>
  <c r="O96" i="70"/>
  <c r="N96" i="70"/>
  <c r="M96" i="70"/>
  <c r="L96" i="70"/>
  <c r="O55" i="70"/>
  <c r="L55" i="70"/>
  <c r="O56" i="70"/>
  <c r="N56" i="70"/>
  <c r="M56" i="70"/>
  <c r="L56" i="70"/>
  <c r="M80" i="70"/>
  <c r="L80" i="70"/>
  <c r="N80" i="70"/>
  <c r="O80" i="70"/>
  <c r="L47" i="70"/>
  <c r="O47" i="70"/>
  <c r="N47" i="70"/>
  <c r="M47" i="70"/>
  <c r="L48" i="70"/>
  <c r="M48" i="70"/>
  <c r="O48" i="70"/>
  <c r="N48" i="70"/>
  <c r="N63" i="70"/>
  <c r="O63" i="70"/>
  <c r="M63" i="70"/>
  <c r="L63" i="70"/>
  <c r="O72" i="70"/>
  <c r="N72" i="70"/>
  <c r="M72" i="70"/>
  <c r="L72" i="70"/>
  <c r="O88" i="70"/>
  <c r="N88" i="70"/>
  <c r="M88" i="70"/>
  <c r="L88" i="70"/>
  <c r="O5" i="70"/>
  <c r="M29" i="70"/>
  <c r="N33" i="70"/>
  <c r="M40" i="70"/>
  <c r="O57" i="70"/>
  <c r="M64" i="70"/>
  <c r="N29" i="70"/>
  <c r="N40" i="70"/>
  <c r="N64" i="70"/>
  <c r="O29" i="70"/>
  <c r="N41" i="70"/>
  <c r="O41" i="70"/>
  <c r="M5" i="70"/>
  <c r="N23" i="70"/>
  <c r="M23" i="70"/>
  <c r="L23" i="70"/>
  <c r="O23" i="70"/>
  <c r="N43" i="70"/>
  <c r="M43" i="70"/>
  <c r="O43" i="70"/>
  <c r="L43" i="70"/>
  <c r="O62" i="70"/>
  <c r="M62" i="70"/>
  <c r="N62" i="70"/>
  <c r="L62" i="70"/>
  <c r="O78" i="70"/>
  <c r="M78" i="70"/>
  <c r="L78" i="70"/>
  <c r="N78" i="70"/>
  <c r="O102" i="70"/>
  <c r="M102" i="70"/>
  <c r="L102" i="70"/>
  <c r="N102" i="70"/>
  <c r="O20" i="70"/>
  <c r="L20" i="70"/>
  <c r="N20" i="70"/>
  <c r="M20" i="70"/>
  <c r="N15" i="70"/>
  <c r="M15" i="70"/>
  <c r="L15" i="70"/>
  <c r="O15" i="70"/>
  <c r="O25" i="70"/>
  <c r="L25" i="70"/>
  <c r="N25" i="70"/>
  <c r="M25" i="70"/>
  <c r="N7" i="70"/>
  <c r="M7" i="70"/>
  <c r="L7" i="70"/>
  <c r="O7" i="70"/>
  <c r="O26" i="70"/>
  <c r="M26" i="70"/>
  <c r="N26" i="70"/>
  <c r="L26" i="70"/>
  <c r="N35" i="70"/>
  <c r="M35" i="70"/>
  <c r="O35" i="70"/>
  <c r="L35" i="70"/>
  <c r="M6" i="70"/>
  <c r="L6" i="70"/>
  <c r="N6" i="70"/>
  <c r="O6" i="70"/>
  <c r="M34" i="70"/>
  <c r="L34" i="70"/>
  <c r="N34" i="70"/>
  <c r="O34" i="70"/>
  <c r="L4" i="70"/>
  <c r="O4" i="70"/>
  <c r="N4" i="70"/>
  <c r="M4" i="70"/>
  <c r="O17" i="70"/>
  <c r="L17" i="70"/>
  <c r="N17" i="70"/>
  <c r="M17" i="70"/>
  <c r="M30" i="70"/>
  <c r="L30" i="70"/>
  <c r="O30" i="70"/>
  <c r="N30" i="70"/>
  <c r="O36" i="70"/>
  <c r="N36" i="70"/>
  <c r="M36" i="70"/>
  <c r="L36" i="70"/>
  <c r="M50" i="70"/>
  <c r="L50" i="70"/>
  <c r="O50" i="70"/>
  <c r="N50" i="70"/>
  <c r="M54" i="70"/>
  <c r="L54" i="70"/>
  <c r="N54" i="70"/>
  <c r="O54" i="70"/>
  <c r="O69" i="70"/>
  <c r="N69" i="70"/>
  <c r="L69" i="70"/>
  <c r="M69" i="70"/>
  <c r="O105" i="70"/>
  <c r="M105" i="70"/>
  <c r="L105" i="70"/>
  <c r="N105" i="70"/>
  <c r="M42" i="70"/>
  <c r="L42" i="70"/>
  <c r="O42" i="70"/>
  <c r="N42" i="70"/>
  <c r="M18" i="70"/>
  <c r="O18" i="70"/>
  <c r="N18" i="70"/>
  <c r="L18" i="70"/>
  <c r="N31" i="70"/>
  <c r="M31" i="70"/>
  <c r="L31" i="70"/>
  <c r="O31" i="70"/>
  <c r="O70" i="70"/>
  <c r="M70" i="70"/>
  <c r="N70" i="70"/>
  <c r="L70" i="70"/>
  <c r="M10" i="70"/>
  <c r="O10" i="70"/>
  <c r="N10" i="70"/>
  <c r="L10" i="70"/>
  <c r="M14" i="70"/>
  <c r="L14" i="70"/>
  <c r="N14" i="70"/>
  <c r="O14" i="70"/>
  <c r="O12" i="70"/>
  <c r="L12" i="70"/>
  <c r="N12" i="70"/>
  <c r="M12" i="70"/>
  <c r="O9" i="70"/>
  <c r="N9" i="70"/>
  <c r="M9" i="70"/>
  <c r="L9" i="70"/>
  <c r="M22" i="70"/>
  <c r="L22" i="70"/>
  <c r="N22" i="70"/>
  <c r="O22" i="70"/>
  <c r="O28" i="70"/>
  <c r="L28" i="70"/>
  <c r="N28" i="70"/>
  <c r="M28" i="70"/>
  <c r="O94" i="70"/>
  <c r="M94" i="70"/>
  <c r="L94" i="70"/>
  <c r="N94" i="70"/>
  <c r="O61" i="70"/>
  <c r="N61" i="70"/>
  <c r="L61" i="70"/>
  <c r="O77" i="70"/>
  <c r="N77" i="70"/>
  <c r="L77" i="70"/>
  <c r="O86" i="70"/>
  <c r="M86" i="70"/>
  <c r="L86" i="70"/>
  <c r="N95" i="70"/>
  <c r="M95" i="70"/>
  <c r="L3" i="70"/>
  <c r="L11" i="70"/>
  <c r="L19" i="70"/>
  <c r="L27" i="70"/>
  <c r="L46" i="70"/>
  <c r="L53" i="70"/>
  <c r="N59" i="70"/>
  <c r="M59" i="70"/>
  <c r="L59" i="70"/>
  <c r="M61" i="70"/>
  <c r="N71" i="70"/>
  <c r="M71" i="70"/>
  <c r="M77" i="70"/>
  <c r="N86" i="70"/>
  <c r="L95" i="70"/>
  <c r="N99" i="70"/>
  <c r="M99" i="70"/>
  <c r="L99" i="70"/>
  <c r="L81" i="70"/>
  <c r="O81" i="70"/>
  <c r="M90" i="70"/>
  <c r="L90" i="70"/>
  <c r="M3" i="70"/>
  <c r="M11" i="70"/>
  <c r="M19" i="70"/>
  <c r="M27" i="70"/>
  <c r="M33" i="70"/>
  <c r="L39" i="70"/>
  <c r="M46" i="70"/>
  <c r="M53" i="70"/>
  <c r="O59" i="70"/>
  <c r="L71" i="70"/>
  <c r="N75" i="70"/>
  <c r="M75" i="70"/>
  <c r="L75" i="70"/>
  <c r="N81" i="70"/>
  <c r="O84" i="70"/>
  <c r="N84" i="70"/>
  <c r="M84" i="70"/>
  <c r="O90" i="70"/>
  <c r="O93" i="70"/>
  <c r="N93" i="70"/>
  <c r="L93" i="70"/>
  <c r="O95" i="70"/>
  <c r="L97" i="70"/>
  <c r="O97" i="70"/>
  <c r="O99" i="70"/>
  <c r="N53" i="70"/>
  <c r="M65" i="70"/>
  <c r="N67" i="70"/>
  <c r="M67" i="70"/>
  <c r="L67" i="70"/>
  <c r="O71" i="70"/>
  <c r="L73" i="70"/>
  <c r="O73" i="70"/>
  <c r="O75" i="70"/>
  <c r="M82" i="70"/>
  <c r="L82" i="70"/>
  <c r="L84" i="70"/>
  <c r="N87" i="70"/>
  <c r="M87" i="70"/>
  <c r="M93" i="70"/>
  <c r="M97" i="70"/>
  <c r="L8" i="70"/>
  <c r="O11" i="70"/>
  <c r="L16" i="70"/>
  <c r="O19" i="70"/>
  <c r="L24" i="70"/>
  <c r="O27" i="70"/>
  <c r="L32" i="70"/>
  <c r="O33" i="70"/>
  <c r="L38" i="70"/>
  <c r="N39" i="70"/>
  <c r="L45" i="70"/>
  <c r="O46" i="70"/>
  <c r="M49" i="70"/>
  <c r="L52" i="70"/>
  <c r="M58" i="70"/>
  <c r="L58" i="70"/>
  <c r="O60" i="70"/>
  <c r="N60" i="70"/>
  <c r="M60" i="70"/>
  <c r="N65" i="70"/>
  <c r="N91" i="70"/>
  <c r="M91" i="70"/>
  <c r="L91" i="70"/>
  <c r="N97" i="70"/>
  <c r="O100" i="70"/>
  <c r="N100" i="70"/>
  <c r="M100" i="70"/>
  <c r="I107" i="70"/>
  <c r="M8" i="70"/>
  <c r="M16" i="70"/>
  <c r="M24" i="70"/>
  <c r="M32" i="70"/>
  <c r="M38" i="70"/>
  <c r="M45" i="70"/>
  <c r="N49" i="70"/>
  <c r="M55" i="70"/>
  <c r="N58" i="70"/>
  <c r="L60" i="70"/>
  <c r="O65" i="70"/>
  <c r="N73" i="70"/>
  <c r="O76" i="70"/>
  <c r="N76" i="70"/>
  <c r="M76" i="70"/>
  <c r="O82" i="70"/>
  <c r="O85" i="70"/>
  <c r="N85" i="70"/>
  <c r="L85" i="70"/>
  <c r="O87" i="70"/>
  <c r="L89" i="70"/>
  <c r="O89" i="70"/>
  <c r="O91" i="70"/>
  <c r="M98" i="70"/>
  <c r="L98" i="70"/>
  <c r="L100" i="70"/>
  <c r="N103" i="70"/>
  <c r="M103" i="70"/>
  <c r="N3" i="70"/>
  <c r="N8" i="70"/>
  <c r="N16" i="70"/>
  <c r="N24" i="70"/>
  <c r="N32" i="70"/>
  <c r="N38" i="70"/>
  <c r="O44" i="70"/>
  <c r="N44" i="70"/>
  <c r="N45" i="70"/>
  <c r="O49" i="70"/>
  <c r="N51" i="70"/>
  <c r="M51" i="70"/>
  <c r="N55" i="70"/>
  <c r="O58" i="70"/>
  <c r="M66" i="70"/>
  <c r="L66" i="70"/>
  <c r="O68" i="70"/>
  <c r="N68" i="70"/>
  <c r="M68" i="70"/>
  <c r="M74" i="70"/>
  <c r="L74" i="70"/>
  <c r="N79" i="70"/>
  <c r="M79" i="70"/>
  <c r="O52" i="70"/>
  <c r="N52" i="70"/>
  <c r="G107" i="70"/>
  <c r="L37" i="70"/>
  <c r="M41" i="70"/>
  <c r="L44" i="70"/>
  <c r="L51" i="70"/>
  <c r="N66" i="70"/>
  <c r="L68" i="70"/>
  <c r="N74" i="70"/>
  <c r="L79" i="70"/>
  <c r="N83" i="70"/>
  <c r="M83" i="70"/>
  <c r="L83" i="70"/>
  <c r="N89" i="70"/>
  <c r="O92" i="70"/>
  <c r="N92" i="70"/>
  <c r="M92" i="70"/>
  <c r="O98" i="70"/>
  <c r="O101" i="70"/>
  <c r="N101" i="70"/>
  <c r="L101" i="70"/>
  <c r="O103" i="70"/>
  <c r="O97" i="68"/>
  <c r="O65" i="68"/>
  <c r="M81" i="68"/>
  <c r="O81" i="68"/>
  <c r="M99" i="68"/>
  <c r="L99" i="68"/>
  <c r="N99" i="68"/>
  <c r="M59" i="68"/>
  <c r="L59" i="68"/>
  <c r="M75" i="68"/>
  <c r="O75" i="68"/>
  <c r="M91" i="68"/>
  <c r="O91" i="68"/>
  <c r="L8" i="68"/>
  <c r="N8" i="68"/>
  <c r="M8" i="68"/>
  <c r="L16" i="68"/>
  <c r="M16" i="68"/>
  <c r="M83" i="68"/>
  <c r="O83" i="68"/>
  <c r="N83" i="68"/>
  <c r="L83" i="68"/>
  <c r="L82" i="68"/>
  <c r="N82" i="68"/>
  <c r="M82" i="68"/>
  <c r="L90" i="68"/>
  <c r="N90" i="68"/>
  <c r="M90" i="68"/>
  <c r="O96" i="68"/>
  <c r="N96" i="68"/>
  <c r="L96" i="68"/>
  <c r="L24" i="68"/>
  <c r="N24" i="68"/>
  <c r="M24" i="68"/>
  <c r="L74" i="68"/>
  <c r="N74" i="68"/>
  <c r="M74" i="68"/>
  <c r="M32" i="68"/>
  <c r="N32" i="68"/>
  <c r="O32" i="68"/>
  <c r="L42" i="68"/>
  <c r="N42" i="68"/>
  <c r="M42" i="68"/>
  <c r="L66" i="68"/>
  <c r="N66" i="68"/>
  <c r="M66" i="68"/>
  <c r="N51" i="68"/>
  <c r="M58" i="68"/>
  <c r="N35" i="68"/>
  <c r="N50" i="68"/>
  <c r="O59" i="68"/>
  <c r="M73" i="68"/>
  <c r="N75" i="68"/>
  <c r="N91" i="68"/>
  <c r="O99" i="68"/>
  <c r="L33" i="68"/>
  <c r="M49" i="68"/>
  <c r="N58" i="68"/>
  <c r="N67" i="68"/>
  <c r="N98" i="68"/>
  <c r="M98" i="68"/>
  <c r="M33" i="68"/>
  <c r="O49" i="68"/>
  <c r="M65" i="68"/>
  <c r="N16" i="68"/>
  <c r="M50" i="68"/>
  <c r="M57" i="68"/>
  <c r="N59" i="68"/>
  <c r="L75" i="68"/>
  <c r="L91" i="68"/>
  <c r="O12" i="68"/>
  <c r="N12" i="68"/>
  <c r="L12" i="68"/>
  <c r="M12" i="68"/>
  <c r="O13" i="68"/>
  <c r="N13" i="68"/>
  <c r="M13" i="68"/>
  <c r="L13" i="68"/>
  <c r="M17" i="68"/>
  <c r="L17" i="68"/>
  <c r="N17" i="68"/>
  <c r="O17" i="68"/>
  <c r="O23" i="68"/>
  <c r="L23" i="68"/>
  <c r="N23" i="68"/>
  <c r="M23" i="68"/>
  <c r="N18" i="68"/>
  <c r="O18" i="68"/>
  <c r="M18" i="68"/>
  <c r="L18" i="68"/>
  <c r="O28" i="68"/>
  <c r="N28" i="68"/>
  <c r="M28" i="68"/>
  <c r="L28" i="68"/>
  <c r="O4" i="68"/>
  <c r="N4" i="68"/>
  <c r="L4" i="68"/>
  <c r="M4" i="68"/>
  <c r="M5" i="68"/>
  <c r="O5" i="68"/>
  <c r="N5" i="68"/>
  <c r="L5" i="68"/>
  <c r="M9" i="68"/>
  <c r="L9" i="68"/>
  <c r="O9" i="68"/>
  <c r="N9" i="68"/>
  <c r="O15" i="68"/>
  <c r="N15" i="68"/>
  <c r="M15" i="68"/>
  <c r="L15" i="68"/>
  <c r="M29" i="68"/>
  <c r="O29" i="68"/>
  <c r="N29" i="68"/>
  <c r="L29" i="68"/>
  <c r="O20" i="68"/>
  <c r="L20" i="68"/>
  <c r="N20" i="68"/>
  <c r="M20" i="68"/>
  <c r="N10" i="68"/>
  <c r="M10" i="68"/>
  <c r="L10" i="68"/>
  <c r="O10" i="68"/>
  <c r="O21" i="68"/>
  <c r="N21" i="68"/>
  <c r="M21" i="68"/>
  <c r="L21" i="68"/>
  <c r="M25" i="68"/>
  <c r="N25" i="68"/>
  <c r="L25" i="68"/>
  <c r="O25" i="68"/>
  <c r="O31" i="68"/>
  <c r="L31" i="68"/>
  <c r="N31" i="68"/>
  <c r="M31" i="68"/>
  <c r="O87" i="68"/>
  <c r="N87" i="68"/>
  <c r="L87" i="68"/>
  <c r="M87" i="68"/>
  <c r="L7" i="68"/>
  <c r="O7" i="68"/>
  <c r="N7" i="68"/>
  <c r="M7" i="68"/>
  <c r="N26" i="68"/>
  <c r="M26" i="68"/>
  <c r="O26" i="68"/>
  <c r="L26" i="68"/>
  <c r="O39" i="68"/>
  <c r="N39" i="68"/>
  <c r="L39" i="68"/>
  <c r="M39" i="68"/>
  <c r="L34" i="68"/>
  <c r="O34" i="68"/>
  <c r="O54" i="68"/>
  <c r="N54" i="68"/>
  <c r="M54" i="68"/>
  <c r="O70" i="68"/>
  <c r="N70" i="68"/>
  <c r="M70" i="68"/>
  <c r="O79" i="68"/>
  <c r="N79" i="68"/>
  <c r="L79" i="68"/>
  <c r="O88" i="68"/>
  <c r="M88" i="68"/>
  <c r="L30" i="68"/>
  <c r="M34" i="68"/>
  <c r="L38" i="68"/>
  <c r="L70" i="68"/>
  <c r="M79" i="68"/>
  <c r="L88" i="68"/>
  <c r="O40" i="68"/>
  <c r="M40" i="68"/>
  <c r="O63" i="68"/>
  <c r="N63" i="68"/>
  <c r="L63" i="68"/>
  <c r="N92" i="68"/>
  <c r="M92" i="68"/>
  <c r="L92" i="68"/>
  <c r="L6" i="68"/>
  <c r="L14" i="68"/>
  <c r="L22" i="68"/>
  <c r="M36" i="68"/>
  <c r="L54" i="68"/>
  <c r="G105" i="68"/>
  <c r="M6" i="68"/>
  <c r="O8" i="68"/>
  <c r="M14" i="68"/>
  <c r="O16" i="68"/>
  <c r="M22" i="68"/>
  <c r="O24" i="68"/>
  <c r="M30" i="68"/>
  <c r="N34" i="68"/>
  <c r="N40" i="68"/>
  <c r="N52" i="68"/>
  <c r="M52" i="68"/>
  <c r="L52" i="68"/>
  <c r="L57" i="68"/>
  <c r="N68" i="68"/>
  <c r="M68" i="68"/>
  <c r="L68" i="68"/>
  <c r="L73" i="68"/>
  <c r="O86" i="68"/>
  <c r="N86" i="68"/>
  <c r="M86" i="68"/>
  <c r="N88" i="68"/>
  <c r="O100" i="68"/>
  <c r="N100" i="68"/>
  <c r="M100" i="68"/>
  <c r="L100" i="68"/>
  <c r="N38" i="68"/>
  <c r="M38" i="68"/>
  <c r="O85" i="68"/>
  <c r="N85" i="68"/>
  <c r="M85" i="68"/>
  <c r="L85" i="68"/>
  <c r="I105" i="68"/>
  <c r="N6" i="68"/>
  <c r="O55" i="68"/>
  <c r="N55" i="68"/>
  <c r="L55" i="68"/>
  <c r="O61" i="68"/>
  <c r="N61" i="68"/>
  <c r="M61" i="68"/>
  <c r="L61" i="68"/>
  <c r="O71" i="68"/>
  <c r="N71" i="68"/>
  <c r="L71" i="68"/>
  <c r="O80" i="68"/>
  <c r="M80" i="68"/>
  <c r="O93" i="68"/>
  <c r="N93" i="68"/>
  <c r="M93" i="68"/>
  <c r="L93" i="68"/>
  <c r="L3" i="68"/>
  <c r="L11" i="68"/>
  <c r="O14" i="68"/>
  <c r="L19" i="68"/>
  <c r="O22" i="68"/>
  <c r="L27" i="68"/>
  <c r="O30" i="68"/>
  <c r="L41" i="68"/>
  <c r="M43" i="68"/>
  <c r="L43" i="68"/>
  <c r="L48" i="68"/>
  <c r="M55" i="68"/>
  <c r="O57" i="68"/>
  <c r="L64" i="68"/>
  <c r="M71" i="68"/>
  <c r="O73" i="68"/>
  <c r="L80" i="68"/>
  <c r="N84" i="68"/>
  <c r="M84" i="68"/>
  <c r="L84" i="68"/>
  <c r="O94" i="68"/>
  <c r="N94" i="68"/>
  <c r="M94" i="68"/>
  <c r="O47" i="68"/>
  <c r="N47" i="68"/>
  <c r="L47" i="68"/>
  <c r="N45" i="68"/>
  <c r="M45" i="68"/>
  <c r="L45" i="68"/>
  <c r="O77" i="68"/>
  <c r="N77" i="68"/>
  <c r="M77" i="68"/>
  <c r="L77" i="68"/>
  <c r="L89" i="68"/>
  <c r="N89" i="68"/>
  <c r="M3" i="68"/>
  <c r="M11" i="68"/>
  <c r="M19" i="68"/>
  <c r="M27" i="68"/>
  <c r="O33" i="68"/>
  <c r="L35" i="68"/>
  <c r="O37" i="68"/>
  <c r="M37" i="68"/>
  <c r="L37" i="68"/>
  <c r="M41" i="68"/>
  <c r="N43" i="68"/>
  <c r="O46" i="68"/>
  <c r="N46" i="68"/>
  <c r="M46" i="68"/>
  <c r="O62" i="68"/>
  <c r="N62" i="68"/>
  <c r="M62" i="68"/>
  <c r="O78" i="68"/>
  <c r="N78" i="68"/>
  <c r="M78" i="68"/>
  <c r="N80" i="68"/>
  <c r="O84" i="68"/>
  <c r="O89" i="68"/>
  <c r="L94" i="68"/>
  <c r="L97" i="68"/>
  <c r="N97" i="68"/>
  <c r="O101" i="68"/>
  <c r="N101" i="68"/>
  <c r="M101" i="68"/>
  <c r="L101" i="68"/>
  <c r="O103" i="68"/>
  <c r="N103" i="68"/>
  <c r="M103" i="68"/>
  <c r="L103" i="68"/>
  <c r="O64" i="68"/>
  <c r="M64" i="68"/>
  <c r="N3" i="68"/>
  <c r="N11" i="68"/>
  <c r="N19" i="68"/>
  <c r="N27" i="68"/>
  <c r="O41" i="68"/>
  <c r="O53" i="68"/>
  <c r="N53" i="68"/>
  <c r="M53" i="68"/>
  <c r="L53" i="68"/>
  <c r="O56" i="68"/>
  <c r="M56" i="68"/>
  <c r="O69" i="68"/>
  <c r="N69" i="68"/>
  <c r="M69" i="68"/>
  <c r="L69" i="68"/>
  <c r="O72" i="68"/>
  <c r="M72" i="68"/>
  <c r="O102" i="68"/>
  <c r="N102" i="68"/>
  <c r="M102" i="68"/>
  <c r="N36" i="68"/>
  <c r="L36" i="68"/>
  <c r="O48" i="68"/>
  <c r="M48" i="68"/>
  <c r="O3" i="68"/>
  <c r="L32" i="68"/>
  <c r="O35" i="68"/>
  <c r="N44" i="68"/>
  <c r="M44" i="68"/>
  <c r="L44" i="68"/>
  <c r="L49" i="68"/>
  <c r="M51" i="68"/>
  <c r="L51" i="68"/>
  <c r="L56" i="68"/>
  <c r="N60" i="68"/>
  <c r="M60" i="68"/>
  <c r="L60" i="68"/>
  <c r="L65" i="68"/>
  <c r="M67" i="68"/>
  <c r="L67" i="68"/>
  <c r="L72" i="68"/>
  <c r="N76" i="68"/>
  <c r="M76" i="68"/>
  <c r="L76" i="68"/>
  <c r="L81" i="68"/>
  <c r="O95" i="68"/>
  <c r="N95" i="68"/>
  <c r="L95" i="68"/>
  <c r="L102" i="68"/>
  <c r="O42" i="68"/>
  <c r="O50" i="68"/>
  <c r="P50" i="68" s="1"/>
  <c r="O58" i="68"/>
  <c r="O66" i="68"/>
  <c r="O74" i="68"/>
  <c r="O82" i="68"/>
  <c r="O90" i="68"/>
  <c r="M96" i="68"/>
  <c r="O98" i="68"/>
  <c r="M22" i="67"/>
  <c r="N22" i="67"/>
  <c r="L22" i="67"/>
  <c r="N58" i="67"/>
  <c r="O58" i="67"/>
  <c r="O116" i="67"/>
  <c r="L35" i="67"/>
  <c r="O24" i="67"/>
  <c r="L58" i="67"/>
  <c r="N123" i="67"/>
  <c r="O123" i="67"/>
  <c r="L140" i="67"/>
  <c r="O140" i="67"/>
  <c r="N140" i="67"/>
  <c r="M140" i="67"/>
  <c r="N50" i="67"/>
  <c r="O50" i="67"/>
  <c r="L50" i="67"/>
  <c r="M7" i="67"/>
  <c r="M31" i="67"/>
  <c r="N107" i="67"/>
  <c r="L15" i="67"/>
  <c r="O107" i="67"/>
  <c r="L107" i="67"/>
  <c r="L31" i="67"/>
  <c r="N70" i="67"/>
  <c r="O100" i="67"/>
  <c r="O71" i="67"/>
  <c r="N71" i="67"/>
  <c r="O130" i="67"/>
  <c r="N130" i="67"/>
  <c r="M130" i="67"/>
  <c r="L130" i="67"/>
  <c r="L131" i="67"/>
  <c r="M131" i="67"/>
  <c r="O131" i="67"/>
  <c r="N131" i="67"/>
  <c r="N67" i="67"/>
  <c r="O67" i="67"/>
  <c r="L67" i="67"/>
  <c r="O124" i="67"/>
  <c r="N124" i="67"/>
  <c r="M124" i="67"/>
  <c r="L124" i="67"/>
  <c r="M132" i="67"/>
  <c r="L132" i="67"/>
  <c r="O132" i="67"/>
  <c r="N132" i="67"/>
  <c r="O138" i="67"/>
  <c r="N138" i="67"/>
  <c r="M138" i="67"/>
  <c r="L138" i="67"/>
  <c r="O18" i="67"/>
  <c r="L18" i="67"/>
  <c r="L129" i="67"/>
  <c r="M129" i="67"/>
  <c r="L68" i="67"/>
  <c r="N68" i="67"/>
  <c r="M68" i="67"/>
  <c r="O114" i="67"/>
  <c r="N114" i="67"/>
  <c r="M114" i="67"/>
  <c r="N76" i="67"/>
  <c r="O76" i="67"/>
  <c r="M76" i="67"/>
  <c r="M108" i="67"/>
  <c r="O108" i="67"/>
  <c r="L108" i="67"/>
  <c r="N108" i="67"/>
  <c r="L115" i="67"/>
  <c r="N115" i="67"/>
  <c r="O115" i="67"/>
  <c r="M115" i="67"/>
  <c r="N30" i="67"/>
  <c r="M30" i="67"/>
  <c r="L30" i="67"/>
  <c r="O4" i="67"/>
  <c r="M4" i="67"/>
  <c r="O106" i="67"/>
  <c r="N106" i="67"/>
  <c r="L106" i="67"/>
  <c r="N87" i="67"/>
  <c r="L139" i="67"/>
  <c r="O14" i="67"/>
  <c r="O78" i="67"/>
  <c r="N84" i="67"/>
  <c r="M92" i="67"/>
  <c r="M101" i="67"/>
  <c r="N117" i="67"/>
  <c r="M139" i="67"/>
  <c r="G144" i="67"/>
  <c r="L7" i="67"/>
  <c r="O92" i="67"/>
  <c r="N139" i="67"/>
  <c r="N78" i="67"/>
  <c r="N7" i="67"/>
  <c r="N15" i="67"/>
  <c r="L26" i="67"/>
  <c r="M44" i="67"/>
  <c r="M52" i="67"/>
  <c r="M60" i="67"/>
  <c r="L83" i="67"/>
  <c r="M86" i="67"/>
  <c r="L93" i="67"/>
  <c r="L100" i="67"/>
  <c r="L116" i="67"/>
  <c r="L123" i="67"/>
  <c r="M14" i="67"/>
  <c r="L92" i="67"/>
  <c r="N24" i="67"/>
  <c r="N44" i="67"/>
  <c r="N52" i="67"/>
  <c r="N60" i="67"/>
  <c r="L77" i="67"/>
  <c r="O83" i="67"/>
  <c r="N86" i="67"/>
  <c r="O93" i="67"/>
  <c r="M100" i="67"/>
  <c r="M116" i="67"/>
  <c r="M123" i="67"/>
  <c r="M84" i="67"/>
  <c r="N8" i="67"/>
  <c r="O77" i="67"/>
  <c r="M17" i="67"/>
  <c r="L17" i="67"/>
  <c r="O17" i="67"/>
  <c r="N17" i="67"/>
  <c r="M5" i="67"/>
  <c r="O5" i="67"/>
  <c r="N5" i="67"/>
  <c r="L5" i="67"/>
  <c r="M9" i="67"/>
  <c r="L9" i="67"/>
  <c r="N9" i="67"/>
  <c r="O9" i="67"/>
  <c r="M29" i="67"/>
  <c r="O29" i="67"/>
  <c r="N29" i="67"/>
  <c r="L29" i="67"/>
  <c r="M13" i="67"/>
  <c r="O13" i="67"/>
  <c r="N13" i="67"/>
  <c r="L13" i="67"/>
  <c r="M21" i="67"/>
  <c r="L21" i="67"/>
  <c r="O21" i="67"/>
  <c r="N21" i="67"/>
  <c r="L12" i="67"/>
  <c r="O12" i="67"/>
  <c r="N12" i="67"/>
  <c r="M12" i="67"/>
  <c r="L6" i="67"/>
  <c r="M16" i="67"/>
  <c r="M37" i="67"/>
  <c r="L37" i="67"/>
  <c r="N45" i="67"/>
  <c r="M45" i="67"/>
  <c r="L45" i="67"/>
  <c r="O45" i="67"/>
  <c r="M6" i="67"/>
  <c r="M11" i="67"/>
  <c r="N16" i="67"/>
  <c r="N18" i="67"/>
  <c r="M18" i="67"/>
  <c r="L23" i="67"/>
  <c r="N31" i="67"/>
  <c r="O35" i="67"/>
  <c r="N35" i="67"/>
  <c r="N37" i="67"/>
  <c r="O41" i="67"/>
  <c r="N41" i="67"/>
  <c r="M41" i="67"/>
  <c r="L41" i="67"/>
  <c r="L62" i="67"/>
  <c r="O62" i="67"/>
  <c r="N62" i="67"/>
  <c r="M62" i="67"/>
  <c r="O98" i="67"/>
  <c r="L98" i="67"/>
  <c r="N98" i="67"/>
  <c r="M98" i="67"/>
  <c r="N113" i="67"/>
  <c r="O113" i="67"/>
  <c r="M113" i="67"/>
  <c r="L113" i="67"/>
  <c r="N121" i="67"/>
  <c r="O121" i="67"/>
  <c r="M121" i="67"/>
  <c r="L121" i="67"/>
  <c r="I3" i="67"/>
  <c r="N4" i="67"/>
  <c r="L28" i="67"/>
  <c r="O28" i="67"/>
  <c r="M33" i="67"/>
  <c r="L33" i="67"/>
  <c r="O40" i="67"/>
  <c r="N40" i="67"/>
  <c r="M40" i="67"/>
  <c r="L40" i="67"/>
  <c r="N53" i="67"/>
  <c r="M53" i="67"/>
  <c r="L53" i="67"/>
  <c r="O53" i="67"/>
  <c r="M112" i="67"/>
  <c r="O112" i="67"/>
  <c r="N112" i="67"/>
  <c r="L112" i="67"/>
  <c r="M120" i="67"/>
  <c r="O120" i="67"/>
  <c r="N120" i="67"/>
  <c r="L120" i="67"/>
  <c r="O6" i="67"/>
  <c r="M8" i="67"/>
  <c r="O16" i="67"/>
  <c r="L20" i="67"/>
  <c r="O20" i="67"/>
  <c r="M23" i="67"/>
  <c r="M25" i="67"/>
  <c r="L25" i="67"/>
  <c r="N28" i="67"/>
  <c r="O33" i="67"/>
  <c r="O37" i="67"/>
  <c r="O42" i="67"/>
  <c r="N42" i="67"/>
  <c r="M42" i="67"/>
  <c r="L42" i="67"/>
  <c r="N105" i="67"/>
  <c r="O105" i="67"/>
  <c r="L105" i="67"/>
  <c r="M105" i="67"/>
  <c r="N38" i="67"/>
  <c r="M38" i="67"/>
  <c r="L38" i="67"/>
  <c r="L51" i="67"/>
  <c r="O51" i="67"/>
  <c r="N51" i="67"/>
  <c r="M51" i="67"/>
  <c r="L59" i="67"/>
  <c r="O59" i="67"/>
  <c r="N59" i="67"/>
  <c r="M59" i="67"/>
  <c r="O82" i="67"/>
  <c r="N82" i="67"/>
  <c r="M82" i="67"/>
  <c r="L82" i="67"/>
  <c r="M88" i="67"/>
  <c r="N88" i="67"/>
  <c r="O88" i="67"/>
  <c r="L88" i="67"/>
  <c r="N10" i="67"/>
  <c r="M10" i="67"/>
  <c r="N23" i="67"/>
  <c r="O27" i="67"/>
  <c r="N27" i="67"/>
  <c r="L43" i="67"/>
  <c r="O43" i="67"/>
  <c r="N43" i="67"/>
  <c r="M43" i="67"/>
  <c r="O47" i="67"/>
  <c r="N47" i="67"/>
  <c r="M47" i="67"/>
  <c r="L47" i="67"/>
  <c r="O55" i="67"/>
  <c r="N55" i="67"/>
  <c r="M55" i="67"/>
  <c r="L55" i="67"/>
  <c r="O8" i="67"/>
  <c r="L10" i="67"/>
  <c r="M15" i="67"/>
  <c r="N20" i="67"/>
  <c r="O25" i="67"/>
  <c r="L27" i="67"/>
  <c r="O30" i="67"/>
  <c r="M32" i="67"/>
  <c r="O38" i="67"/>
  <c r="O48" i="67"/>
  <c r="N48" i="67"/>
  <c r="M48" i="67"/>
  <c r="L48" i="67"/>
  <c r="O56" i="67"/>
  <c r="N56" i="67"/>
  <c r="M56" i="67"/>
  <c r="L56" i="67"/>
  <c r="N64" i="67"/>
  <c r="L64" i="67"/>
  <c r="O64" i="67"/>
  <c r="M64" i="67"/>
  <c r="N89" i="67"/>
  <c r="O89" i="67"/>
  <c r="M89" i="67"/>
  <c r="L89" i="67"/>
  <c r="O19" i="67"/>
  <c r="N19" i="67"/>
  <c r="M27" i="67"/>
  <c r="N32" i="67"/>
  <c r="N34" i="67"/>
  <c r="M34" i="67"/>
  <c r="L36" i="67"/>
  <c r="O36" i="67"/>
  <c r="O65" i="67"/>
  <c r="N65" i="67"/>
  <c r="M65" i="67"/>
  <c r="L65" i="67"/>
  <c r="M72" i="67"/>
  <c r="N72" i="67"/>
  <c r="O72" i="67"/>
  <c r="L72" i="67"/>
  <c r="O90" i="67"/>
  <c r="L90" i="67"/>
  <c r="N90" i="67"/>
  <c r="M90" i="67"/>
  <c r="M96" i="67"/>
  <c r="O96" i="67"/>
  <c r="N96" i="67"/>
  <c r="L96" i="67"/>
  <c r="M128" i="67"/>
  <c r="O128" i="67"/>
  <c r="N128" i="67"/>
  <c r="L128" i="67"/>
  <c r="L4" i="67"/>
  <c r="L14" i="67"/>
  <c r="L19" i="67"/>
  <c r="M24" i="67"/>
  <c r="O32" i="67"/>
  <c r="L34" i="67"/>
  <c r="M36" i="67"/>
  <c r="O39" i="67"/>
  <c r="N39" i="67"/>
  <c r="M39" i="67"/>
  <c r="L39" i="67"/>
  <c r="O66" i="67"/>
  <c r="N66" i="67"/>
  <c r="M66" i="67"/>
  <c r="L66" i="67"/>
  <c r="N73" i="67"/>
  <c r="O73" i="67"/>
  <c r="M73" i="67"/>
  <c r="L73" i="67"/>
  <c r="O11" i="67"/>
  <c r="N11" i="67"/>
  <c r="N26" i="67"/>
  <c r="M26" i="67"/>
  <c r="O74" i="67"/>
  <c r="L74" i="67"/>
  <c r="N74" i="67"/>
  <c r="M74" i="67"/>
  <c r="L119" i="67"/>
  <c r="O119" i="67"/>
  <c r="N119" i="67"/>
  <c r="M119" i="67"/>
  <c r="M80" i="67"/>
  <c r="N80" i="67"/>
  <c r="L103" i="67"/>
  <c r="O103" i="67"/>
  <c r="N103" i="67"/>
  <c r="M103" i="67"/>
  <c r="N133" i="67"/>
  <c r="M133" i="67"/>
  <c r="L133" i="67"/>
  <c r="O44" i="67"/>
  <c r="L49" i="67"/>
  <c r="M50" i="67"/>
  <c r="O52" i="67"/>
  <c r="L57" i="67"/>
  <c r="M58" i="67"/>
  <c r="O60" i="67"/>
  <c r="L63" i="67"/>
  <c r="M67" i="67"/>
  <c r="O68" i="67"/>
  <c r="M77" i="67"/>
  <c r="L80" i="67"/>
  <c r="M83" i="67"/>
  <c r="O84" i="67"/>
  <c r="M93" i="67"/>
  <c r="N101" i="67"/>
  <c r="L122" i="67"/>
  <c r="N125" i="67"/>
  <c r="M125" i="67"/>
  <c r="L125" i="67"/>
  <c r="O133" i="67"/>
  <c r="N137" i="67"/>
  <c r="M137" i="67"/>
  <c r="O137" i="67"/>
  <c r="M49" i="67"/>
  <c r="M57" i="67"/>
  <c r="N63" i="67"/>
  <c r="M70" i="67"/>
  <c r="L76" i="67"/>
  <c r="O80" i="67"/>
  <c r="L95" i="67"/>
  <c r="N95" i="67"/>
  <c r="M95" i="67"/>
  <c r="N97" i="67"/>
  <c r="O97" i="67"/>
  <c r="O101" i="67"/>
  <c r="N118" i="67"/>
  <c r="M118" i="67"/>
  <c r="L118" i="67"/>
  <c r="M122" i="67"/>
  <c r="O125" i="67"/>
  <c r="N49" i="67"/>
  <c r="N57" i="67"/>
  <c r="O63" i="67"/>
  <c r="L79" i="67"/>
  <c r="M79" i="67"/>
  <c r="M104" i="67"/>
  <c r="O104" i="67"/>
  <c r="N104" i="67"/>
  <c r="M109" i="67"/>
  <c r="L109" i="67"/>
  <c r="L111" i="67"/>
  <c r="O111" i="67"/>
  <c r="N111" i="67"/>
  <c r="M111" i="67"/>
  <c r="N122" i="67"/>
  <c r="O134" i="67"/>
  <c r="N134" i="67"/>
  <c r="M134" i="67"/>
  <c r="L134" i="67"/>
  <c r="L46" i="67"/>
  <c r="L54" i="67"/>
  <c r="L61" i="67"/>
  <c r="L69" i="67"/>
  <c r="O70" i="67"/>
  <c r="L75" i="67"/>
  <c r="N79" i="67"/>
  <c r="L85" i="67"/>
  <c r="O86" i="67"/>
  <c r="L91" i="67"/>
  <c r="M97" i="67"/>
  <c r="L99" i="67"/>
  <c r="N102" i="67"/>
  <c r="M102" i="67"/>
  <c r="L102" i="67"/>
  <c r="L104" i="67"/>
  <c r="M106" i="67"/>
  <c r="N109" i="67"/>
  <c r="O126" i="67"/>
  <c r="N126" i="67"/>
  <c r="M126" i="67"/>
  <c r="L126" i="67"/>
  <c r="N129" i="67"/>
  <c r="O129" i="67"/>
  <c r="N141" i="67"/>
  <c r="M141" i="67"/>
  <c r="L141" i="67"/>
  <c r="M46" i="67"/>
  <c r="M54" i="67"/>
  <c r="M61" i="67"/>
  <c r="M69" i="67"/>
  <c r="M75" i="67"/>
  <c r="O79" i="67"/>
  <c r="N81" i="67"/>
  <c r="O81" i="67"/>
  <c r="M85" i="67"/>
  <c r="M91" i="67"/>
  <c r="M94" i="67"/>
  <c r="L94" i="67"/>
  <c r="M99" i="67"/>
  <c r="O109" i="67"/>
  <c r="L135" i="67"/>
  <c r="O135" i="67"/>
  <c r="N135" i="67"/>
  <c r="M135" i="67"/>
  <c r="N46" i="67"/>
  <c r="N54" i="67"/>
  <c r="N61" i="67"/>
  <c r="N69" i="67"/>
  <c r="N75" i="67"/>
  <c r="M78" i="67"/>
  <c r="L81" i="67"/>
  <c r="N85" i="67"/>
  <c r="N91" i="67"/>
  <c r="N94" i="67"/>
  <c r="N99" i="67"/>
  <c r="L114" i="67"/>
  <c r="M117" i="67"/>
  <c r="L117" i="67"/>
  <c r="L71" i="67"/>
  <c r="M71" i="67"/>
  <c r="L87" i="67"/>
  <c r="M87" i="67"/>
  <c r="N110" i="67"/>
  <c r="M110" i="67"/>
  <c r="L110" i="67"/>
  <c r="L127" i="67"/>
  <c r="O127" i="67"/>
  <c r="N127" i="67"/>
  <c r="M127" i="67"/>
  <c r="M136" i="67"/>
  <c r="L136" i="67"/>
  <c r="O136" i="67"/>
  <c r="N136" i="67"/>
  <c r="O142" i="67"/>
  <c r="N142" i="67"/>
  <c r="M142" i="67"/>
  <c r="L142" i="67"/>
  <c r="L7" i="61"/>
  <c r="O7" i="61"/>
  <c r="N7" i="61"/>
  <c r="L34" i="61"/>
  <c r="N34" i="61"/>
  <c r="N16" i="61"/>
  <c r="O16" i="61"/>
  <c r="M112" i="61"/>
  <c r="O112" i="61"/>
  <c r="O96" i="61"/>
  <c r="M118" i="61"/>
  <c r="O47" i="61"/>
  <c r="N47" i="61"/>
  <c r="M47" i="61"/>
  <c r="M120" i="61"/>
  <c r="O120" i="61"/>
  <c r="N120" i="61"/>
  <c r="M48" i="61"/>
  <c r="N48" i="61"/>
  <c r="L48" i="61"/>
  <c r="O48" i="61"/>
  <c r="O55" i="61"/>
  <c r="N55" i="61"/>
  <c r="M55" i="61"/>
  <c r="O110" i="61"/>
  <c r="L110" i="61"/>
  <c r="M110" i="61"/>
  <c r="M56" i="61"/>
  <c r="N56" i="61"/>
  <c r="L56" i="61"/>
  <c r="O56" i="61"/>
  <c r="M104" i="61"/>
  <c r="O104" i="61"/>
  <c r="N104" i="61"/>
  <c r="M72" i="61"/>
  <c r="N72" i="61"/>
  <c r="L72" i="61"/>
  <c r="O72" i="61"/>
  <c r="L26" i="61"/>
  <c r="O26" i="61"/>
  <c r="N26" i="61"/>
  <c r="O86" i="61"/>
  <c r="M86" i="61"/>
  <c r="L86" i="61"/>
  <c r="O94" i="61"/>
  <c r="M94" i="61"/>
  <c r="L94" i="61"/>
  <c r="O71" i="61"/>
  <c r="N71" i="61"/>
  <c r="M71" i="61"/>
  <c r="O63" i="61"/>
  <c r="M63" i="61"/>
  <c r="N63" i="61"/>
  <c r="M64" i="61"/>
  <c r="N64" i="61"/>
  <c r="L64" i="61"/>
  <c r="O64" i="61"/>
  <c r="M88" i="61"/>
  <c r="N88" i="61"/>
  <c r="O88" i="61"/>
  <c r="M7" i="61"/>
  <c r="O34" i="61"/>
  <c r="N96" i="61"/>
  <c r="L118" i="61"/>
  <c r="M29" i="61"/>
  <c r="O80" i="61"/>
  <c r="M102" i="61"/>
  <c r="N80" i="61"/>
  <c r="L102" i="61"/>
  <c r="N29" i="61"/>
  <c r="O32" i="61"/>
  <c r="M16" i="61"/>
  <c r="M34" i="61"/>
  <c r="N112" i="61"/>
  <c r="M23" i="61"/>
  <c r="N23" i="61"/>
  <c r="L23" i="61"/>
  <c r="O23" i="61"/>
  <c r="M27" i="61"/>
  <c r="O27" i="61"/>
  <c r="N27" i="61"/>
  <c r="L27" i="61"/>
  <c r="O12" i="61"/>
  <c r="N12" i="61"/>
  <c r="L12" i="61"/>
  <c r="M12" i="61"/>
  <c r="L18" i="61"/>
  <c r="O18" i="61"/>
  <c r="N18" i="61"/>
  <c r="M18" i="61"/>
  <c r="M4" i="61"/>
  <c r="O4" i="61"/>
  <c r="L4" i="61"/>
  <c r="N4" i="61"/>
  <c r="L14" i="61"/>
  <c r="M14" i="61"/>
  <c r="O14" i="61"/>
  <c r="N14" i="61"/>
  <c r="M8" i="61"/>
  <c r="L8" i="61"/>
  <c r="O8" i="61"/>
  <c r="N8" i="61"/>
  <c r="M15" i="61"/>
  <c r="L15" i="61"/>
  <c r="O15" i="61"/>
  <c r="N15" i="61"/>
  <c r="N20" i="61"/>
  <c r="M20" i="61"/>
  <c r="O20" i="61"/>
  <c r="L20" i="61"/>
  <c r="M19" i="61"/>
  <c r="O19" i="61"/>
  <c r="N19" i="61"/>
  <c r="L19" i="61"/>
  <c r="N9" i="61"/>
  <c r="M9" i="61"/>
  <c r="L9" i="61"/>
  <c r="O9" i="61"/>
  <c r="O10" i="61"/>
  <c r="N10" i="61"/>
  <c r="M10" i="61"/>
  <c r="L10" i="61"/>
  <c r="N30" i="61"/>
  <c r="L30" i="61"/>
  <c r="O30" i="61"/>
  <c r="M30" i="61"/>
  <c r="L3" i="61"/>
  <c r="O3" i="61"/>
  <c r="N3" i="61"/>
  <c r="M3" i="61"/>
  <c r="O6" i="61"/>
  <c r="M6" i="61"/>
  <c r="L6" i="61"/>
  <c r="N6" i="61"/>
  <c r="O11" i="61"/>
  <c r="N11" i="61"/>
  <c r="M11" i="61"/>
  <c r="L11" i="61"/>
  <c r="L36" i="61"/>
  <c r="N36" i="61"/>
  <c r="M84" i="61"/>
  <c r="L84" i="61"/>
  <c r="O84" i="61"/>
  <c r="N84" i="61"/>
  <c r="O57" i="61"/>
  <c r="N57" i="61"/>
  <c r="M57" i="61"/>
  <c r="L57" i="61"/>
  <c r="M25" i="61"/>
  <c r="L28" i="61"/>
  <c r="N31" i="61"/>
  <c r="L33" i="61"/>
  <c r="O36" i="61"/>
  <c r="O42" i="61"/>
  <c r="N42" i="61"/>
  <c r="M42" i="61"/>
  <c r="L42" i="61"/>
  <c r="O50" i="61"/>
  <c r="N50" i="61"/>
  <c r="M50" i="61"/>
  <c r="L50" i="61"/>
  <c r="O58" i="61"/>
  <c r="N58" i="61"/>
  <c r="M58" i="61"/>
  <c r="L58" i="61"/>
  <c r="O66" i="61"/>
  <c r="N66" i="61"/>
  <c r="M66" i="61"/>
  <c r="L66" i="61"/>
  <c r="O74" i="61"/>
  <c r="N74" i="61"/>
  <c r="M74" i="61"/>
  <c r="L74" i="61"/>
  <c r="O105" i="61"/>
  <c r="N105" i="61"/>
  <c r="M105" i="61"/>
  <c r="L105" i="61"/>
  <c r="O114" i="61"/>
  <c r="N114" i="61"/>
  <c r="M114" i="61"/>
  <c r="L114" i="61"/>
  <c r="L123" i="61"/>
  <c r="O123" i="61"/>
  <c r="N123" i="61"/>
  <c r="M123" i="61"/>
  <c r="L17" i="61"/>
  <c r="L21" i="61"/>
  <c r="O22" i="61"/>
  <c r="N25" i="61"/>
  <c r="M28" i="61"/>
  <c r="M33" i="61"/>
  <c r="O39" i="61"/>
  <c r="M39" i="61"/>
  <c r="L39" i="61"/>
  <c r="L43" i="61"/>
  <c r="O43" i="61"/>
  <c r="N43" i="61"/>
  <c r="M43" i="61"/>
  <c r="L51" i="61"/>
  <c r="O51" i="61"/>
  <c r="N51" i="61"/>
  <c r="M51" i="61"/>
  <c r="L59" i="61"/>
  <c r="O59" i="61"/>
  <c r="N59" i="61"/>
  <c r="M59" i="61"/>
  <c r="L67" i="61"/>
  <c r="O67" i="61"/>
  <c r="N67" i="61"/>
  <c r="M67" i="61"/>
  <c r="L75" i="61"/>
  <c r="O75" i="61"/>
  <c r="N75" i="61"/>
  <c r="M75" i="61"/>
  <c r="O97" i="61"/>
  <c r="N97" i="61"/>
  <c r="M97" i="61"/>
  <c r="L97" i="61"/>
  <c r="O106" i="61"/>
  <c r="N106" i="61"/>
  <c r="M106" i="61"/>
  <c r="L106" i="61"/>
  <c r="L115" i="61"/>
  <c r="O115" i="61"/>
  <c r="N115" i="61"/>
  <c r="M115" i="61"/>
  <c r="O119" i="61"/>
  <c r="N119" i="61"/>
  <c r="M119" i="61"/>
  <c r="L119" i="61"/>
  <c r="M124" i="61"/>
  <c r="L124" i="61"/>
  <c r="O124" i="61"/>
  <c r="N124" i="61"/>
  <c r="O79" i="61"/>
  <c r="N79" i="61"/>
  <c r="M79" i="61"/>
  <c r="L79" i="61"/>
  <c r="O121" i="61"/>
  <c r="N121" i="61"/>
  <c r="M121" i="61"/>
  <c r="L121" i="61"/>
  <c r="L13" i="61"/>
  <c r="M36" i="61"/>
  <c r="O65" i="61"/>
  <c r="N65" i="61"/>
  <c r="M65" i="61"/>
  <c r="L65" i="61"/>
  <c r="O122" i="61"/>
  <c r="N122" i="61"/>
  <c r="M122" i="61"/>
  <c r="L122" i="61"/>
  <c r="M5" i="61"/>
  <c r="N22" i="61"/>
  <c r="N5" i="61"/>
  <c r="O5" i="61"/>
  <c r="O13" i="61"/>
  <c r="M17" i="61"/>
  <c r="M21" i="61"/>
  <c r="L24" i="61"/>
  <c r="O28" i="61"/>
  <c r="N33" i="61"/>
  <c r="L35" i="61"/>
  <c r="M37" i="61"/>
  <c r="O37" i="61"/>
  <c r="N39" i="61"/>
  <c r="M44" i="61"/>
  <c r="L44" i="61"/>
  <c r="O44" i="61"/>
  <c r="N44" i="61"/>
  <c r="M52" i="61"/>
  <c r="L52" i="61"/>
  <c r="O52" i="61"/>
  <c r="N52" i="61"/>
  <c r="M60" i="61"/>
  <c r="L60" i="61"/>
  <c r="O60" i="61"/>
  <c r="N60" i="61"/>
  <c r="M68" i="61"/>
  <c r="L68" i="61"/>
  <c r="O68" i="61"/>
  <c r="N68" i="61"/>
  <c r="M76" i="61"/>
  <c r="L76" i="61"/>
  <c r="O76" i="61"/>
  <c r="N76" i="61"/>
  <c r="O89" i="61"/>
  <c r="N89" i="61"/>
  <c r="M89" i="61"/>
  <c r="L89" i="61"/>
  <c r="O98" i="61"/>
  <c r="N98" i="61"/>
  <c r="M98" i="61"/>
  <c r="L98" i="61"/>
  <c r="L107" i="61"/>
  <c r="O107" i="61"/>
  <c r="N107" i="61"/>
  <c r="M107" i="61"/>
  <c r="O111" i="61"/>
  <c r="N111" i="61"/>
  <c r="M111" i="61"/>
  <c r="L111" i="61"/>
  <c r="M116" i="61"/>
  <c r="L116" i="61"/>
  <c r="O116" i="61"/>
  <c r="N116" i="61"/>
  <c r="O49" i="61"/>
  <c r="N49" i="61"/>
  <c r="M49" i="61"/>
  <c r="L49" i="61"/>
  <c r="N13" i="61"/>
  <c r="L16" i="61"/>
  <c r="N17" i="61"/>
  <c r="N21" i="61"/>
  <c r="M24" i="61"/>
  <c r="N35" i="61"/>
  <c r="L37" i="61"/>
  <c r="O81" i="61"/>
  <c r="N81" i="61"/>
  <c r="M81" i="61"/>
  <c r="L81" i="61"/>
  <c r="O90" i="61"/>
  <c r="N90" i="61"/>
  <c r="M90" i="61"/>
  <c r="L90" i="61"/>
  <c r="L99" i="61"/>
  <c r="O99" i="61"/>
  <c r="N99" i="61"/>
  <c r="M99" i="61"/>
  <c r="O103" i="61"/>
  <c r="N103" i="61"/>
  <c r="M103" i="61"/>
  <c r="L103" i="61"/>
  <c r="M108" i="61"/>
  <c r="L108" i="61"/>
  <c r="O108" i="61"/>
  <c r="N108" i="61"/>
  <c r="N38" i="61"/>
  <c r="L38" i="61"/>
  <c r="M22" i="61"/>
  <c r="L25" i="61"/>
  <c r="M38" i="61"/>
  <c r="O113" i="61"/>
  <c r="N113" i="61"/>
  <c r="M113" i="61"/>
  <c r="L113" i="61"/>
  <c r="O24" i="61"/>
  <c r="L32" i="61"/>
  <c r="O35" i="61"/>
  <c r="N37" i="61"/>
  <c r="N40" i="61"/>
  <c r="M40" i="61"/>
  <c r="L40" i="61"/>
  <c r="O82" i="61"/>
  <c r="N82" i="61"/>
  <c r="M82" i="61"/>
  <c r="L82" i="61"/>
  <c r="L91" i="61"/>
  <c r="O91" i="61"/>
  <c r="N91" i="61"/>
  <c r="M91" i="61"/>
  <c r="O95" i="61"/>
  <c r="N95" i="61"/>
  <c r="M95" i="61"/>
  <c r="L95" i="61"/>
  <c r="M100" i="61"/>
  <c r="L100" i="61"/>
  <c r="O100" i="61"/>
  <c r="N100" i="61"/>
  <c r="O126" i="61"/>
  <c r="N126" i="61"/>
  <c r="M126" i="61"/>
  <c r="L126" i="61"/>
  <c r="O31" i="61"/>
  <c r="M31" i="61"/>
  <c r="O41" i="61"/>
  <c r="N41" i="61"/>
  <c r="M41" i="61"/>
  <c r="L41" i="61"/>
  <c r="O73" i="61"/>
  <c r="N73" i="61"/>
  <c r="M73" i="61"/>
  <c r="L73" i="61"/>
  <c r="M26" i="61"/>
  <c r="L29" i="61"/>
  <c r="M32" i="61"/>
  <c r="O40" i="61"/>
  <c r="O46" i="61"/>
  <c r="N46" i="61"/>
  <c r="M46" i="61"/>
  <c r="L46" i="61"/>
  <c r="O54" i="61"/>
  <c r="N54" i="61"/>
  <c r="M54" i="61"/>
  <c r="L54" i="61"/>
  <c r="O62" i="61"/>
  <c r="N62" i="61"/>
  <c r="M62" i="61"/>
  <c r="L62" i="61"/>
  <c r="O70" i="61"/>
  <c r="N70" i="61"/>
  <c r="M70" i="61"/>
  <c r="L70" i="61"/>
  <c r="O78" i="61"/>
  <c r="N78" i="61"/>
  <c r="M78" i="61"/>
  <c r="L78" i="61"/>
  <c r="L83" i="61"/>
  <c r="O83" i="61"/>
  <c r="N83" i="61"/>
  <c r="M83" i="61"/>
  <c r="O87" i="61"/>
  <c r="N87" i="61"/>
  <c r="M87" i="61"/>
  <c r="L87" i="61"/>
  <c r="M92" i="61"/>
  <c r="L92" i="61"/>
  <c r="O92" i="61"/>
  <c r="N92" i="61"/>
  <c r="O127" i="61"/>
  <c r="N127" i="61"/>
  <c r="M127" i="61"/>
  <c r="L127" i="61"/>
  <c r="O45" i="61"/>
  <c r="O53" i="61"/>
  <c r="O61" i="61"/>
  <c r="O69" i="61"/>
  <c r="O77" i="61"/>
  <c r="O85" i="61"/>
  <c r="O93" i="61"/>
  <c r="O101" i="61"/>
  <c r="O109" i="61"/>
  <c r="O117" i="61"/>
  <c r="O125" i="61"/>
  <c r="L80" i="61"/>
  <c r="L88" i="61"/>
  <c r="L96" i="61"/>
  <c r="L104" i="61"/>
  <c r="L112" i="61"/>
  <c r="L120" i="61"/>
  <c r="L47" i="61"/>
  <c r="L55" i="61"/>
  <c r="L63" i="61"/>
  <c r="L71" i="61"/>
  <c r="L45" i="61"/>
  <c r="L53" i="61"/>
  <c r="L61" i="61"/>
  <c r="L69" i="61"/>
  <c r="L77" i="61"/>
  <c r="L85" i="61"/>
  <c r="L93" i="61"/>
  <c r="L101" i="61"/>
  <c r="L109" i="61"/>
  <c r="L117" i="61"/>
  <c r="L125" i="61"/>
  <c r="M45" i="61"/>
  <c r="M53" i="61"/>
  <c r="M61" i="61"/>
  <c r="M69" i="61"/>
  <c r="M77" i="61"/>
  <c r="M85" i="61"/>
  <c r="N86" i="61"/>
  <c r="M93" i="61"/>
  <c r="N94" i="61"/>
  <c r="M101" i="61"/>
  <c r="N102" i="61"/>
  <c r="M109" i="61"/>
  <c r="N110" i="61"/>
  <c r="M117" i="61"/>
  <c r="N118" i="61"/>
  <c r="M125" i="61"/>
  <c r="O72" i="60"/>
  <c r="L3" i="60"/>
  <c r="N3" i="60"/>
  <c r="O3" i="60"/>
  <c r="L23" i="60"/>
  <c r="O64" i="60"/>
  <c r="L117" i="60"/>
  <c r="O23" i="60"/>
  <c r="M61" i="60"/>
  <c r="L112" i="60"/>
  <c r="O61" i="60"/>
  <c r="O46" i="60"/>
  <c r="L46" i="60"/>
  <c r="M46" i="60"/>
  <c r="O71" i="60"/>
  <c r="N71" i="60"/>
  <c r="O81" i="60"/>
  <c r="M81" i="60"/>
  <c r="O35" i="60"/>
  <c r="M35" i="60"/>
  <c r="O103" i="60"/>
  <c r="N103" i="60"/>
  <c r="O97" i="60"/>
  <c r="M97" i="60"/>
  <c r="L11" i="60"/>
  <c r="O11" i="60"/>
  <c r="N11" i="60"/>
  <c r="M11" i="60"/>
  <c r="M4" i="60"/>
  <c r="N4" i="60"/>
  <c r="L4" i="60"/>
  <c r="O4" i="60"/>
  <c r="M12" i="60"/>
  <c r="L12" i="60"/>
  <c r="O12" i="60"/>
  <c r="N12" i="60"/>
  <c r="L25" i="60"/>
  <c r="O25" i="60"/>
  <c r="N25" i="60"/>
  <c r="N50" i="60"/>
  <c r="L50" i="60"/>
  <c r="O50" i="60"/>
  <c r="M50" i="60"/>
  <c r="N85" i="60"/>
  <c r="O85" i="60"/>
  <c r="M85" i="60"/>
  <c r="L85" i="60"/>
  <c r="O89" i="60"/>
  <c r="M89" i="60"/>
  <c r="N69" i="60"/>
  <c r="M69" i="60"/>
  <c r="L69" i="60"/>
  <c r="O69" i="60"/>
  <c r="N93" i="60"/>
  <c r="L93" i="60"/>
  <c r="O93" i="60"/>
  <c r="M93" i="60"/>
  <c r="O65" i="60"/>
  <c r="M65" i="60"/>
  <c r="L65" i="60"/>
  <c r="N53" i="60"/>
  <c r="L53" i="60"/>
  <c r="O53" i="60"/>
  <c r="O101" i="60"/>
  <c r="M101" i="60"/>
  <c r="L101" i="60"/>
  <c r="M3" i="60"/>
  <c r="M23" i="60"/>
  <c r="L61" i="60"/>
  <c r="L64" i="60"/>
  <c r="L45" i="60"/>
  <c r="L54" i="60"/>
  <c r="L77" i="60"/>
  <c r="M31" i="60"/>
  <c r="M42" i="60"/>
  <c r="O45" i="60"/>
  <c r="M54" i="60"/>
  <c r="M77" i="60"/>
  <c r="N94" i="60"/>
  <c r="N118" i="60"/>
  <c r="M27" i="60"/>
  <c r="L42" i="60"/>
  <c r="O77" i="60"/>
  <c r="M32" i="60"/>
  <c r="L31" i="60"/>
  <c r="M73" i="60"/>
  <c r="N37" i="60"/>
  <c r="M37" i="60"/>
  <c r="L37" i="60"/>
  <c r="O37" i="60"/>
  <c r="N91" i="60"/>
  <c r="M91" i="60"/>
  <c r="L91" i="60"/>
  <c r="O91" i="60"/>
  <c r="N83" i="60"/>
  <c r="M83" i="60"/>
  <c r="L83" i="60"/>
  <c r="O83" i="60"/>
  <c r="O6" i="60"/>
  <c r="N6" i="60"/>
  <c r="M6" i="60"/>
  <c r="L6" i="60"/>
  <c r="N13" i="60"/>
  <c r="M13" i="60"/>
  <c r="L13" i="60"/>
  <c r="O13" i="60"/>
  <c r="N48" i="60"/>
  <c r="M48" i="60"/>
  <c r="L48" i="60"/>
  <c r="O48" i="60"/>
  <c r="N5" i="60"/>
  <c r="M5" i="60"/>
  <c r="L5" i="60"/>
  <c r="O5" i="60"/>
  <c r="O7" i="60"/>
  <c r="N7" i="60"/>
  <c r="M7" i="60"/>
  <c r="L7" i="60"/>
  <c r="O14" i="60"/>
  <c r="N14" i="60"/>
  <c r="M14" i="60"/>
  <c r="L14" i="60"/>
  <c r="O15" i="60"/>
  <c r="N15" i="60"/>
  <c r="M15" i="60"/>
  <c r="L15" i="60"/>
  <c r="N21" i="60"/>
  <c r="L21" i="60"/>
  <c r="O21" i="60"/>
  <c r="M21" i="60"/>
  <c r="N59" i="60"/>
  <c r="M59" i="60"/>
  <c r="L59" i="60"/>
  <c r="O59" i="60"/>
  <c r="N115" i="60"/>
  <c r="M115" i="60"/>
  <c r="L115" i="60"/>
  <c r="O115" i="60"/>
  <c r="O16" i="60"/>
  <c r="N16" i="60"/>
  <c r="M16" i="60"/>
  <c r="L16" i="60"/>
  <c r="O22" i="60"/>
  <c r="M22" i="60"/>
  <c r="N22" i="60"/>
  <c r="L22" i="60"/>
  <c r="L17" i="60"/>
  <c r="M17" i="60"/>
  <c r="N17" i="60"/>
  <c r="O17" i="60"/>
  <c r="N75" i="60"/>
  <c r="M75" i="60"/>
  <c r="L75" i="60"/>
  <c r="O75" i="60"/>
  <c r="N99" i="60"/>
  <c r="M99" i="60"/>
  <c r="L99" i="60"/>
  <c r="O99" i="60"/>
  <c r="O8" i="60"/>
  <c r="N8" i="60"/>
  <c r="M8" i="60"/>
  <c r="L8" i="60"/>
  <c r="L10" i="60"/>
  <c r="O10" i="60"/>
  <c r="M10" i="60"/>
  <c r="N10" i="60"/>
  <c r="M18" i="60"/>
  <c r="O18" i="60"/>
  <c r="N18" i="60"/>
  <c r="L18" i="60"/>
  <c r="N107" i="60"/>
  <c r="M107" i="60"/>
  <c r="L107" i="60"/>
  <c r="O107" i="60"/>
  <c r="O57" i="60"/>
  <c r="N57" i="60"/>
  <c r="M57" i="60"/>
  <c r="O113" i="60"/>
  <c r="N113" i="60"/>
  <c r="L113" i="60"/>
  <c r="O49" i="60"/>
  <c r="N49" i="60"/>
  <c r="M49" i="60"/>
  <c r="L57" i="60"/>
  <c r="M70" i="60"/>
  <c r="N88" i="60"/>
  <c r="M88" i="60"/>
  <c r="O90" i="60"/>
  <c r="M90" i="60"/>
  <c r="L90" i="60"/>
  <c r="O106" i="60"/>
  <c r="M106" i="60"/>
  <c r="L106" i="60"/>
  <c r="M111" i="60"/>
  <c r="L111" i="60"/>
  <c r="M113" i="60"/>
  <c r="O116" i="60"/>
  <c r="N116" i="60"/>
  <c r="M116" i="60"/>
  <c r="L126" i="60"/>
  <c r="O126" i="60"/>
  <c r="L128" i="60"/>
  <c r="O68" i="60"/>
  <c r="N68" i="60"/>
  <c r="M68" i="60"/>
  <c r="N123" i="60"/>
  <c r="M123" i="60"/>
  <c r="L123" i="60"/>
  <c r="L24" i="60"/>
  <c r="M9" i="60"/>
  <c r="N19" i="60"/>
  <c r="L19" i="60"/>
  <c r="M24" i="60"/>
  <c r="N26" i="60"/>
  <c r="M26" i="60"/>
  <c r="O28" i="60"/>
  <c r="M28" i="60"/>
  <c r="L28" i="60"/>
  <c r="L43" i="60"/>
  <c r="O43" i="60"/>
  <c r="L49" i="60"/>
  <c r="M51" i="60"/>
  <c r="O55" i="60"/>
  <c r="M55" i="60"/>
  <c r="L55" i="60"/>
  <c r="M62" i="60"/>
  <c r="O66" i="60"/>
  <c r="M66" i="60"/>
  <c r="L66" i="60"/>
  <c r="N79" i="60"/>
  <c r="O84" i="60"/>
  <c r="N84" i="60"/>
  <c r="M84" i="60"/>
  <c r="L86" i="60"/>
  <c r="O86" i="60"/>
  <c r="L88" i="60"/>
  <c r="N90" i="60"/>
  <c r="N104" i="60"/>
  <c r="M104" i="60"/>
  <c r="N106" i="60"/>
  <c r="O109" i="60"/>
  <c r="N109" i="60"/>
  <c r="N111" i="60"/>
  <c r="L116" i="60"/>
  <c r="O121" i="60"/>
  <c r="N121" i="60"/>
  <c r="L121" i="60"/>
  <c r="M126" i="60"/>
  <c r="O60" i="60"/>
  <c r="N60" i="60"/>
  <c r="M60" i="60"/>
  <c r="N9" i="60"/>
  <c r="M19" i="60"/>
  <c r="N24" i="60"/>
  <c r="L26" i="60"/>
  <c r="N28" i="60"/>
  <c r="M33" i="60"/>
  <c r="L33" i="60"/>
  <c r="O41" i="60"/>
  <c r="N41" i="60"/>
  <c r="M41" i="60"/>
  <c r="M43" i="60"/>
  <c r="O47" i="60"/>
  <c r="M47" i="60"/>
  <c r="L47" i="60"/>
  <c r="N55" i="60"/>
  <c r="N66" i="60"/>
  <c r="L84" i="60"/>
  <c r="M86" i="60"/>
  <c r="O88" i="60"/>
  <c r="M95" i="60"/>
  <c r="L95" i="60"/>
  <c r="L102" i="60"/>
  <c r="O102" i="60"/>
  <c r="L104" i="60"/>
  <c r="L109" i="60"/>
  <c r="O111" i="60"/>
  <c r="O114" i="60"/>
  <c r="M114" i="60"/>
  <c r="L114" i="60"/>
  <c r="M119" i="60"/>
  <c r="L119" i="60"/>
  <c r="M121" i="60"/>
  <c r="O124" i="60"/>
  <c r="N124" i="60"/>
  <c r="M124" i="60"/>
  <c r="N126" i="60"/>
  <c r="L51" i="60"/>
  <c r="O51" i="60"/>
  <c r="O9" i="60"/>
  <c r="O19" i="60"/>
  <c r="O26" i="60"/>
  <c r="N33" i="60"/>
  <c r="L41" i="60"/>
  <c r="N43" i="60"/>
  <c r="N47" i="60"/>
  <c r="M71" i="60"/>
  <c r="L71" i="60"/>
  <c r="N80" i="60"/>
  <c r="M80" i="60"/>
  <c r="O82" i="60"/>
  <c r="M82" i="60"/>
  <c r="L82" i="60"/>
  <c r="N86" i="60"/>
  <c r="N95" i="60"/>
  <c r="O100" i="60"/>
  <c r="N100" i="60"/>
  <c r="M100" i="60"/>
  <c r="M102" i="60"/>
  <c r="O104" i="60"/>
  <c r="M109" i="60"/>
  <c r="N112" i="60"/>
  <c r="M112" i="60"/>
  <c r="N114" i="60"/>
  <c r="O117" i="60"/>
  <c r="N117" i="60"/>
  <c r="N119" i="60"/>
  <c r="L124" i="60"/>
  <c r="O129" i="60"/>
  <c r="N129" i="60"/>
  <c r="L129" i="60"/>
  <c r="N40" i="60"/>
  <c r="M40" i="60"/>
  <c r="L40" i="60"/>
  <c r="M79" i="60"/>
  <c r="L79" i="60"/>
  <c r="N29" i="60"/>
  <c r="M29" i="60"/>
  <c r="L29" i="60"/>
  <c r="O39" i="60"/>
  <c r="M39" i="60"/>
  <c r="L39" i="60"/>
  <c r="M52" i="60"/>
  <c r="L52" i="60"/>
  <c r="N56" i="60"/>
  <c r="M56" i="60"/>
  <c r="L56" i="60"/>
  <c r="M63" i="60"/>
  <c r="L63" i="60"/>
  <c r="N67" i="60"/>
  <c r="M67" i="60"/>
  <c r="L67" i="60"/>
  <c r="O76" i="60"/>
  <c r="N76" i="60"/>
  <c r="M76" i="60"/>
  <c r="L78" i="60"/>
  <c r="O78" i="60"/>
  <c r="L80" i="60"/>
  <c r="L110" i="60"/>
  <c r="O110" i="60"/>
  <c r="O122" i="60"/>
  <c r="M122" i="60"/>
  <c r="L122" i="60"/>
  <c r="M127" i="60"/>
  <c r="L127" i="60"/>
  <c r="M129" i="60"/>
  <c r="O30" i="60"/>
  <c r="N30" i="60"/>
  <c r="M30" i="60"/>
  <c r="L70" i="60"/>
  <c r="O70" i="60"/>
  <c r="N128" i="60"/>
  <c r="M128" i="60"/>
  <c r="O40" i="60"/>
  <c r="O20" i="60"/>
  <c r="M20" i="60"/>
  <c r="O29" i="60"/>
  <c r="N34" i="60"/>
  <c r="M34" i="60"/>
  <c r="O36" i="60"/>
  <c r="M36" i="60"/>
  <c r="L36" i="60"/>
  <c r="N39" i="60"/>
  <c r="M44" i="60"/>
  <c r="L44" i="60"/>
  <c r="N52" i="60"/>
  <c r="O56" i="60"/>
  <c r="N63" i="60"/>
  <c r="O67" i="60"/>
  <c r="L76" i="60"/>
  <c r="M78" i="60"/>
  <c r="M87" i="60"/>
  <c r="L87" i="60"/>
  <c r="N96" i="60"/>
  <c r="M96" i="60"/>
  <c r="O98" i="60"/>
  <c r="M98" i="60"/>
  <c r="L98" i="60"/>
  <c r="O105" i="60"/>
  <c r="N105" i="60"/>
  <c r="L105" i="60"/>
  <c r="M110" i="60"/>
  <c r="N120" i="60"/>
  <c r="M120" i="60"/>
  <c r="N122" i="60"/>
  <c r="O125" i="60"/>
  <c r="N125" i="60"/>
  <c r="N127" i="60"/>
  <c r="L62" i="60"/>
  <c r="O62" i="60"/>
  <c r="L20" i="60"/>
  <c r="M25" i="60"/>
  <c r="L32" i="60"/>
  <c r="O32" i="60"/>
  <c r="L34" i="60"/>
  <c r="N36" i="60"/>
  <c r="N44" i="60"/>
  <c r="O52" i="60"/>
  <c r="O63" i="60"/>
  <c r="N72" i="60"/>
  <c r="M72" i="60"/>
  <c r="O74" i="60"/>
  <c r="M74" i="60"/>
  <c r="L74" i="60"/>
  <c r="N78" i="60"/>
  <c r="N87" i="60"/>
  <c r="O92" i="60"/>
  <c r="N92" i="60"/>
  <c r="M92" i="60"/>
  <c r="L94" i="60"/>
  <c r="O94" i="60"/>
  <c r="L96" i="60"/>
  <c r="N98" i="60"/>
  <c r="M103" i="60"/>
  <c r="L103" i="60"/>
  <c r="M105" i="60"/>
  <c r="O108" i="60"/>
  <c r="N108" i="60"/>
  <c r="M108" i="60"/>
  <c r="N110" i="60"/>
  <c r="L118" i="60"/>
  <c r="O118" i="60"/>
  <c r="L120" i="60"/>
  <c r="L125" i="60"/>
  <c r="O127" i="60"/>
  <c r="O130" i="60"/>
  <c r="N130" i="60"/>
  <c r="M130" i="60"/>
  <c r="L130" i="60"/>
  <c r="N31" i="60"/>
  <c r="N42" i="60"/>
  <c r="N101" i="60"/>
  <c r="L27" i="60"/>
  <c r="L35" i="60"/>
  <c r="L73" i="60"/>
  <c r="L81" i="60"/>
  <c r="L89" i="60"/>
  <c r="L97" i="60"/>
  <c r="N27" i="60"/>
  <c r="N35" i="60"/>
  <c r="M45" i="60"/>
  <c r="N46" i="60"/>
  <c r="M53" i="60"/>
  <c r="N54" i="60"/>
  <c r="M64" i="60"/>
  <c r="N65" i="60"/>
  <c r="N73" i="60"/>
  <c r="N81" i="60"/>
  <c r="N89" i="60"/>
  <c r="N97" i="60"/>
  <c r="N132" i="60"/>
  <c r="M132" i="60"/>
  <c r="L132" i="60"/>
  <c r="O132" i="60"/>
  <c r="M131" i="60"/>
  <c r="L131" i="60"/>
  <c r="N131" i="60"/>
  <c r="O131" i="60"/>
  <c r="O133" i="60"/>
  <c r="N133" i="60"/>
  <c r="M133" i="60"/>
  <c r="L133" i="60"/>
  <c r="L134" i="60"/>
  <c r="M134" i="60"/>
  <c r="N134" i="60"/>
  <c r="G129" i="61"/>
  <c r="G98" i="59"/>
  <c r="I98" i="59" s="1"/>
  <c r="L98" i="59" s="1"/>
  <c r="G97" i="59"/>
  <c r="I97" i="59" s="1"/>
  <c r="L97" i="59" s="1"/>
  <c r="G96" i="59"/>
  <c r="I96" i="59" s="1"/>
  <c r="O96" i="59" s="1"/>
  <c r="G95" i="59"/>
  <c r="I95" i="59" s="1"/>
  <c r="L95" i="59" s="1"/>
  <c r="G94" i="59"/>
  <c r="I94" i="59" s="1"/>
  <c r="L94" i="59" s="1"/>
  <c r="G93" i="59"/>
  <c r="I93" i="59" s="1"/>
  <c r="O93" i="59" s="1"/>
  <c r="G92" i="59"/>
  <c r="I92" i="59" s="1"/>
  <c r="O92" i="59" s="1"/>
  <c r="G91" i="59"/>
  <c r="I91" i="59" s="1"/>
  <c r="G90" i="59"/>
  <c r="I90" i="59" s="1"/>
  <c r="G89" i="59"/>
  <c r="I89" i="59" s="1"/>
  <c r="G88" i="59"/>
  <c r="I88" i="59" s="1"/>
  <c r="G87" i="59"/>
  <c r="I87" i="59" s="1"/>
  <c r="G86" i="59"/>
  <c r="I86" i="59" s="1"/>
  <c r="G85" i="59"/>
  <c r="I85" i="59" s="1"/>
  <c r="O85" i="59" s="1"/>
  <c r="G84" i="59"/>
  <c r="I84" i="59" s="1"/>
  <c r="G83" i="59"/>
  <c r="I83" i="59" s="1"/>
  <c r="G82" i="59"/>
  <c r="I82" i="59" s="1"/>
  <c r="G81" i="59"/>
  <c r="I81" i="59" s="1"/>
  <c r="G80" i="59"/>
  <c r="I80" i="59" s="1"/>
  <c r="G79" i="59"/>
  <c r="I79" i="59" s="1"/>
  <c r="G78" i="59"/>
  <c r="I78" i="59" s="1"/>
  <c r="G77" i="59"/>
  <c r="I77" i="59" s="1"/>
  <c r="O77" i="59" s="1"/>
  <c r="G76" i="59"/>
  <c r="I76" i="59" s="1"/>
  <c r="O76" i="59" s="1"/>
  <c r="G75" i="59"/>
  <c r="I75" i="59" s="1"/>
  <c r="L75" i="59" s="1"/>
  <c r="G74" i="59"/>
  <c r="I74" i="59" s="1"/>
  <c r="G73" i="59"/>
  <c r="I73" i="59" s="1"/>
  <c r="G72" i="59"/>
  <c r="I72" i="59" s="1"/>
  <c r="G71" i="59"/>
  <c r="I71" i="59" s="1"/>
  <c r="G70" i="59"/>
  <c r="I70" i="59" s="1"/>
  <c r="G69" i="59"/>
  <c r="I69" i="59" s="1"/>
  <c r="G68" i="59"/>
  <c r="I68" i="59" s="1"/>
  <c r="O68" i="59" s="1"/>
  <c r="G67" i="59"/>
  <c r="I67" i="59" s="1"/>
  <c r="G66" i="59"/>
  <c r="I66" i="59" s="1"/>
  <c r="M66" i="59" s="1"/>
  <c r="G65" i="59"/>
  <c r="I65" i="59" s="1"/>
  <c r="L65" i="59" s="1"/>
  <c r="G64" i="59"/>
  <c r="I64" i="59" s="1"/>
  <c r="G63" i="59"/>
  <c r="I63" i="59" s="1"/>
  <c r="G62" i="59"/>
  <c r="I62" i="59" s="1"/>
  <c r="G61" i="59"/>
  <c r="I61" i="59" s="1"/>
  <c r="O61" i="59" s="1"/>
  <c r="G60" i="59"/>
  <c r="I60" i="59" s="1"/>
  <c r="N60" i="59" s="1"/>
  <c r="G59" i="59"/>
  <c r="I59" i="59" s="1"/>
  <c r="L59" i="59" s="1"/>
  <c r="G58" i="59"/>
  <c r="I58" i="59" s="1"/>
  <c r="L58" i="59" s="1"/>
  <c r="G57" i="59"/>
  <c r="I57" i="59" s="1"/>
  <c r="G56" i="59"/>
  <c r="I56" i="59" s="1"/>
  <c r="G55" i="59"/>
  <c r="I55" i="59" s="1"/>
  <c r="G54" i="59"/>
  <c r="I54" i="59" s="1"/>
  <c r="G53" i="59"/>
  <c r="I53" i="59" s="1"/>
  <c r="O53" i="59" s="1"/>
  <c r="G52" i="59"/>
  <c r="I52" i="59" s="1"/>
  <c r="O52" i="59" s="1"/>
  <c r="G51" i="59"/>
  <c r="I51" i="59" s="1"/>
  <c r="G50" i="59"/>
  <c r="I50" i="59" s="1"/>
  <c r="L50" i="59" s="1"/>
  <c r="G49" i="59"/>
  <c r="I49" i="59" s="1"/>
  <c r="L49" i="59" s="1"/>
  <c r="G48" i="59"/>
  <c r="I48" i="59" s="1"/>
  <c r="G47" i="59"/>
  <c r="I47" i="59" s="1"/>
  <c r="G46" i="59"/>
  <c r="I46" i="59" s="1"/>
  <c r="G45" i="59"/>
  <c r="I45" i="59" s="1"/>
  <c r="O45" i="59" s="1"/>
  <c r="G44" i="59"/>
  <c r="I44" i="59" s="1"/>
  <c r="O44" i="59" s="1"/>
  <c r="G43" i="59"/>
  <c r="I43" i="59" s="1"/>
  <c r="G42" i="59"/>
  <c r="I42" i="59" s="1"/>
  <c r="G41" i="59"/>
  <c r="I41" i="59" s="1"/>
  <c r="G40" i="59"/>
  <c r="I40" i="59" s="1"/>
  <c r="G39" i="59"/>
  <c r="I39" i="59" s="1"/>
  <c r="G38" i="59"/>
  <c r="I38" i="59" s="1"/>
  <c r="G37" i="59"/>
  <c r="I37" i="59" s="1"/>
  <c r="O37" i="59" s="1"/>
  <c r="G36" i="59"/>
  <c r="I36" i="59" s="1"/>
  <c r="O36" i="59" s="1"/>
  <c r="G35" i="59"/>
  <c r="I35" i="59" s="1"/>
  <c r="L35" i="59" s="1"/>
  <c r="G34" i="59"/>
  <c r="I34" i="59" s="1"/>
  <c r="O34" i="59" s="1"/>
  <c r="G33" i="59"/>
  <c r="I33" i="59" s="1"/>
  <c r="L33" i="59" s="1"/>
  <c r="G32" i="59"/>
  <c r="I32" i="59" s="1"/>
  <c r="G31" i="59"/>
  <c r="I31" i="59" s="1"/>
  <c r="G30" i="59"/>
  <c r="I30" i="59" s="1"/>
  <c r="G29" i="59"/>
  <c r="I29" i="59" s="1"/>
  <c r="O29" i="59" s="1"/>
  <c r="G28" i="59"/>
  <c r="I28" i="59" s="1"/>
  <c r="O28" i="59" s="1"/>
  <c r="G27" i="59"/>
  <c r="I27" i="59" s="1"/>
  <c r="G26" i="59"/>
  <c r="I26" i="59" s="1"/>
  <c r="O26" i="59" s="1"/>
  <c r="G25" i="59"/>
  <c r="I25" i="59" s="1"/>
  <c r="L25" i="59" s="1"/>
  <c r="G24" i="59"/>
  <c r="I24" i="59" s="1"/>
  <c r="G23" i="59"/>
  <c r="I23" i="59" s="1"/>
  <c r="G22" i="59"/>
  <c r="I22" i="59" s="1"/>
  <c r="G21" i="59"/>
  <c r="I21" i="59" s="1"/>
  <c r="O21" i="59" s="1"/>
  <c r="G20" i="59"/>
  <c r="I20" i="59" s="1"/>
  <c r="O20" i="59" s="1"/>
  <c r="G19" i="59"/>
  <c r="I19" i="59" s="1"/>
  <c r="L19" i="59" s="1"/>
  <c r="G18" i="59"/>
  <c r="I18" i="59" s="1"/>
  <c r="O18" i="59" s="1"/>
  <c r="G17" i="59"/>
  <c r="I17" i="59" s="1"/>
  <c r="G16" i="59"/>
  <c r="I16" i="59" s="1"/>
  <c r="L16" i="59" s="1"/>
  <c r="G15" i="59"/>
  <c r="I15" i="59" s="1"/>
  <c r="G14" i="59"/>
  <c r="I14" i="59" s="1"/>
  <c r="G13" i="59"/>
  <c r="I13" i="59" s="1"/>
  <c r="O13" i="59" s="1"/>
  <c r="G12" i="59"/>
  <c r="I12" i="59" s="1"/>
  <c r="O12" i="59" s="1"/>
  <c r="G11" i="59"/>
  <c r="I11" i="59" s="1"/>
  <c r="L11" i="59" s="1"/>
  <c r="G10" i="59"/>
  <c r="I10" i="59" s="1"/>
  <c r="O10" i="59" s="1"/>
  <c r="G9" i="59"/>
  <c r="I9" i="59" s="1"/>
  <c r="M9" i="59" s="1"/>
  <c r="G8" i="59"/>
  <c r="I8" i="59" s="1"/>
  <c r="G7" i="59"/>
  <c r="I7" i="59" s="1"/>
  <c r="G6" i="59"/>
  <c r="I6" i="59" s="1"/>
  <c r="G5" i="59"/>
  <c r="I5" i="59" s="1"/>
  <c r="G4" i="59"/>
  <c r="I4" i="59" s="1"/>
  <c r="O4" i="59" s="1"/>
  <c r="G3" i="59"/>
  <c r="I3" i="59" s="1"/>
  <c r="H136" i="60"/>
  <c r="F136" i="60"/>
  <c r="G6" i="58"/>
  <c r="I6" i="58" s="1"/>
  <c r="G7" i="58"/>
  <c r="I7" i="58" s="1"/>
  <c r="G8" i="58"/>
  <c r="I8" i="58" s="1"/>
  <c r="L8" i="58" s="1"/>
  <c r="G14" i="58"/>
  <c r="I14" i="58" s="1"/>
  <c r="L14" i="58" s="1"/>
  <c r="G13" i="58"/>
  <c r="I13" i="58" s="1"/>
  <c r="H103" i="59"/>
  <c r="F103" i="59"/>
  <c r="G101" i="59"/>
  <c r="I101" i="59" s="1"/>
  <c r="G100" i="59"/>
  <c r="I100" i="59" s="1"/>
  <c r="G99" i="59"/>
  <c r="I99" i="59" s="1"/>
  <c r="G83" i="58"/>
  <c r="I83" i="58" s="1"/>
  <c r="G82" i="58"/>
  <c r="I82" i="58" s="1"/>
  <c r="G81" i="58"/>
  <c r="I81" i="58" s="1"/>
  <c r="G80" i="58"/>
  <c r="I80" i="58" s="1"/>
  <c r="G79" i="58"/>
  <c r="I79" i="58" s="1"/>
  <c r="L79" i="58" s="1"/>
  <c r="H88" i="58"/>
  <c r="F88" i="58"/>
  <c r="G78" i="58"/>
  <c r="I78" i="58" s="1"/>
  <c r="G77" i="58"/>
  <c r="I77" i="58" s="1"/>
  <c r="G76" i="58"/>
  <c r="I76" i="58" s="1"/>
  <c r="G75" i="58"/>
  <c r="I75" i="58" s="1"/>
  <c r="G74" i="58"/>
  <c r="I74" i="58" s="1"/>
  <c r="G86" i="58"/>
  <c r="I86" i="58" s="1"/>
  <c r="N86" i="58" s="1"/>
  <c r="G85" i="58"/>
  <c r="I85" i="58" s="1"/>
  <c r="G73" i="58"/>
  <c r="I73" i="58" s="1"/>
  <c r="G72" i="58"/>
  <c r="I72" i="58" s="1"/>
  <c r="M72" i="58" s="1"/>
  <c r="G71" i="58"/>
  <c r="I71" i="58" s="1"/>
  <c r="O71" i="58" s="1"/>
  <c r="G70" i="58"/>
  <c r="I70" i="58" s="1"/>
  <c r="G69" i="58"/>
  <c r="I69" i="58" s="1"/>
  <c r="N69" i="58" s="1"/>
  <c r="G68" i="58"/>
  <c r="I68" i="58" s="1"/>
  <c r="G67" i="58"/>
  <c r="I67" i="58" s="1"/>
  <c r="M67" i="58" s="1"/>
  <c r="G66" i="58"/>
  <c r="I66" i="58" s="1"/>
  <c r="L66" i="58" s="1"/>
  <c r="G65" i="58"/>
  <c r="I65" i="58" s="1"/>
  <c r="G64" i="58"/>
  <c r="I64" i="58" s="1"/>
  <c r="G63" i="58"/>
  <c r="I63" i="58" s="1"/>
  <c r="G62" i="58"/>
  <c r="I62" i="58" s="1"/>
  <c r="G61" i="58"/>
  <c r="I61" i="58" s="1"/>
  <c r="N61" i="58" s="1"/>
  <c r="G60" i="58"/>
  <c r="I60" i="58" s="1"/>
  <c r="G59" i="58"/>
  <c r="I59" i="58" s="1"/>
  <c r="L59" i="58" s="1"/>
  <c r="G58" i="58"/>
  <c r="I58" i="58" s="1"/>
  <c r="G57" i="58"/>
  <c r="I57" i="58" s="1"/>
  <c r="G56" i="58"/>
  <c r="I56" i="58" s="1"/>
  <c r="M56" i="58" s="1"/>
  <c r="G55" i="58"/>
  <c r="I55" i="58" s="1"/>
  <c r="G54" i="58"/>
  <c r="I54" i="58" s="1"/>
  <c r="G53" i="58"/>
  <c r="I53" i="58" s="1"/>
  <c r="M53" i="58" s="1"/>
  <c r="G52" i="58"/>
  <c r="I52" i="58" s="1"/>
  <c r="G51" i="58"/>
  <c r="I51" i="58" s="1"/>
  <c r="N51" i="58" s="1"/>
  <c r="G50" i="58"/>
  <c r="I50" i="58" s="1"/>
  <c r="M50" i="58" s="1"/>
  <c r="G49" i="58"/>
  <c r="I49" i="58" s="1"/>
  <c r="G48" i="58"/>
  <c r="I48" i="58" s="1"/>
  <c r="N48" i="58" s="1"/>
  <c r="G47" i="58"/>
  <c r="I47" i="58" s="1"/>
  <c r="G46" i="58"/>
  <c r="I46" i="58" s="1"/>
  <c r="G45" i="58"/>
  <c r="I45" i="58" s="1"/>
  <c r="M45" i="58" s="1"/>
  <c r="G44" i="58"/>
  <c r="I44" i="58" s="1"/>
  <c r="N44" i="58" s="1"/>
  <c r="G43" i="58"/>
  <c r="I43" i="58" s="1"/>
  <c r="N43" i="58" s="1"/>
  <c r="G42" i="58"/>
  <c r="I42" i="58" s="1"/>
  <c r="G41" i="58"/>
  <c r="I41" i="58" s="1"/>
  <c r="M41" i="58" s="1"/>
  <c r="G40" i="58"/>
  <c r="I40" i="58" s="1"/>
  <c r="N40" i="58" s="1"/>
  <c r="G39" i="58"/>
  <c r="I39" i="58" s="1"/>
  <c r="G38" i="58"/>
  <c r="I38" i="58" s="1"/>
  <c r="G37" i="58"/>
  <c r="I37" i="58" s="1"/>
  <c r="M37" i="58" s="1"/>
  <c r="G36" i="58"/>
  <c r="I36" i="58" s="1"/>
  <c r="G35" i="58"/>
  <c r="I35" i="58" s="1"/>
  <c r="N35" i="58" s="1"/>
  <c r="G34" i="58"/>
  <c r="I34" i="58" s="1"/>
  <c r="O34" i="58" s="1"/>
  <c r="G33" i="58"/>
  <c r="I33" i="58" s="1"/>
  <c r="G32" i="58"/>
  <c r="I32" i="58" s="1"/>
  <c r="N32" i="58" s="1"/>
  <c r="G31" i="58"/>
  <c r="I31" i="58" s="1"/>
  <c r="G30" i="58"/>
  <c r="I30" i="58" s="1"/>
  <c r="G29" i="58"/>
  <c r="I29" i="58" s="1"/>
  <c r="M29" i="58" s="1"/>
  <c r="G28" i="58"/>
  <c r="I28" i="58" s="1"/>
  <c r="L28" i="58" s="1"/>
  <c r="G27" i="58"/>
  <c r="I27" i="58" s="1"/>
  <c r="N27" i="58" s="1"/>
  <c r="G26" i="58"/>
  <c r="I26" i="58" s="1"/>
  <c r="G25" i="58"/>
  <c r="I25" i="58" s="1"/>
  <c r="G24" i="58"/>
  <c r="I24" i="58" s="1"/>
  <c r="G23" i="58"/>
  <c r="I23" i="58" s="1"/>
  <c r="G22" i="58"/>
  <c r="I22" i="58" s="1"/>
  <c r="G21" i="58"/>
  <c r="I21" i="58" s="1"/>
  <c r="G20" i="58"/>
  <c r="I20" i="58" s="1"/>
  <c r="G19" i="58"/>
  <c r="I19" i="58" s="1"/>
  <c r="N19" i="58" s="1"/>
  <c r="G18" i="58"/>
  <c r="I18" i="58" s="1"/>
  <c r="O18" i="58" s="1"/>
  <c r="G17" i="58"/>
  <c r="I17" i="58" s="1"/>
  <c r="G16" i="58"/>
  <c r="I16" i="58" s="1"/>
  <c r="N16" i="58" s="1"/>
  <c r="G15" i="58"/>
  <c r="I15" i="58" s="1"/>
  <c r="L15" i="58" s="1"/>
  <c r="G12" i="58"/>
  <c r="I12" i="58" s="1"/>
  <c r="L12" i="58" s="1"/>
  <c r="G11" i="58"/>
  <c r="I11" i="58" s="1"/>
  <c r="G10" i="58"/>
  <c r="I10" i="58" s="1"/>
  <c r="G9" i="58"/>
  <c r="I9" i="58" s="1"/>
  <c r="O9" i="58" s="1"/>
  <c r="G5" i="58"/>
  <c r="I5" i="58" s="1"/>
  <c r="G4" i="58"/>
  <c r="I4" i="58" s="1"/>
  <c r="G3" i="58"/>
  <c r="L138" i="78" l="1"/>
  <c r="P3" i="78"/>
  <c r="P138" i="78" s="1"/>
  <c r="L151" i="77"/>
  <c r="P3" i="77"/>
  <c r="P151" i="77" s="1"/>
  <c r="P88" i="74"/>
  <c r="P87" i="74"/>
  <c r="P71" i="74"/>
  <c r="P32" i="74"/>
  <c r="P141" i="74"/>
  <c r="P34" i="74"/>
  <c r="P93" i="74"/>
  <c r="P103" i="74"/>
  <c r="P77" i="74"/>
  <c r="P106" i="74"/>
  <c r="P109" i="74"/>
  <c r="P95" i="74"/>
  <c r="P45" i="74"/>
  <c r="P10" i="74"/>
  <c r="P108" i="74"/>
  <c r="P145" i="74"/>
  <c r="P20" i="74"/>
  <c r="P5" i="74"/>
  <c r="P128" i="74"/>
  <c r="P74" i="74"/>
  <c r="P43" i="74"/>
  <c r="P122" i="74"/>
  <c r="P99" i="74"/>
  <c r="P40" i="74"/>
  <c r="P51" i="74"/>
  <c r="P54" i="74"/>
  <c r="P135" i="74"/>
  <c r="P48" i="74"/>
  <c r="P63" i="74"/>
  <c r="P119" i="74"/>
  <c r="P39" i="74"/>
  <c r="P4" i="74"/>
  <c r="P90" i="74"/>
  <c r="P41" i="74"/>
  <c r="P84" i="74"/>
  <c r="P52" i="74"/>
  <c r="P83" i="74"/>
  <c r="P104" i="74"/>
  <c r="P91" i="74"/>
  <c r="P107" i="74"/>
  <c r="P105" i="74"/>
  <c r="P9" i="74"/>
  <c r="P125" i="74"/>
  <c r="P31" i="74"/>
  <c r="P46" i="74"/>
  <c r="N151" i="74"/>
  <c r="P100" i="74"/>
  <c r="P127" i="74"/>
  <c r="P37" i="74"/>
  <c r="P59" i="74"/>
  <c r="P13" i="74"/>
  <c r="P144" i="74"/>
  <c r="P116" i="74"/>
  <c r="P120" i="74"/>
  <c r="P121" i="74"/>
  <c r="P50" i="74"/>
  <c r="P26" i="74"/>
  <c r="P139" i="74"/>
  <c r="P8" i="74"/>
  <c r="P68" i="74"/>
  <c r="P138" i="74"/>
  <c r="P21" i="74"/>
  <c r="P66" i="74"/>
  <c r="P142" i="74"/>
  <c r="P75" i="74"/>
  <c r="P6" i="74"/>
  <c r="P85" i="74"/>
  <c r="P18" i="74"/>
  <c r="P33" i="74"/>
  <c r="P147" i="74"/>
  <c r="P49" i="74"/>
  <c r="P132" i="74"/>
  <c r="P79" i="74"/>
  <c r="P140" i="74"/>
  <c r="P123" i="74"/>
  <c r="P25" i="74"/>
  <c r="P131" i="74"/>
  <c r="P80" i="74"/>
  <c r="P136" i="74"/>
  <c r="P133" i="74"/>
  <c r="P35" i="74"/>
  <c r="P149" i="74"/>
  <c r="P143" i="74"/>
  <c r="P102" i="74"/>
  <c r="P92" i="74"/>
  <c r="P78" i="74"/>
  <c r="P47" i="74"/>
  <c r="P70" i="74"/>
  <c r="P61" i="74"/>
  <c r="P27" i="74"/>
  <c r="P12" i="74"/>
  <c r="P28" i="74"/>
  <c r="P58" i="74"/>
  <c r="P7" i="74"/>
  <c r="P94" i="74"/>
  <c r="P81" i="74"/>
  <c r="P14" i="74"/>
  <c r="P96" i="74"/>
  <c r="P126" i="74"/>
  <c r="P60" i="74"/>
  <c r="P64" i="74"/>
  <c r="P38" i="74"/>
  <c r="M151" i="74"/>
  <c r="P3" i="74"/>
  <c r="P137" i="74"/>
  <c r="P146" i="74"/>
  <c r="P110" i="74"/>
  <c r="P86" i="74"/>
  <c r="P11" i="74"/>
  <c r="P148" i="74"/>
  <c r="P117" i="74"/>
  <c r="P76" i="74"/>
  <c r="P124" i="74"/>
  <c r="P82" i="74"/>
  <c r="P67" i="74"/>
  <c r="P118" i="74"/>
  <c r="P114" i="74"/>
  <c r="P98" i="74"/>
  <c r="P113" i="74"/>
  <c r="P29" i="74"/>
  <c r="P22" i="74"/>
  <c r="P17" i="74"/>
  <c r="P69" i="74"/>
  <c r="P62" i="74"/>
  <c r="O151" i="74"/>
  <c r="P115" i="74"/>
  <c r="P111" i="74"/>
  <c r="P130" i="74"/>
  <c r="P129" i="74"/>
  <c r="P57" i="74"/>
  <c r="P97" i="74"/>
  <c r="P53" i="74"/>
  <c r="P65" i="74"/>
  <c r="P42" i="74"/>
  <c r="P56" i="74"/>
  <c r="P36" i="74"/>
  <c r="L151" i="74"/>
  <c r="P112" i="74"/>
  <c r="P101" i="74"/>
  <c r="P89" i="74"/>
  <c r="P73" i="74"/>
  <c r="P55" i="74"/>
  <c r="P19" i="74"/>
  <c r="P134" i="74"/>
  <c r="P23" i="74"/>
  <c r="P30" i="74"/>
  <c r="P44" i="74"/>
  <c r="P118" i="73"/>
  <c r="P45" i="73"/>
  <c r="P48" i="73"/>
  <c r="P53" i="73"/>
  <c r="P134" i="73"/>
  <c r="P126" i="73"/>
  <c r="P110" i="73"/>
  <c r="P141" i="73"/>
  <c r="P111" i="73"/>
  <c r="P41" i="73"/>
  <c r="P59" i="73"/>
  <c r="P37" i="73"/>
  <c r="P27" i="73"/>
  <c r="P54" i="73"/>
  <c r="P5" i="73"/>
  <c r="P84" i="73"/>
  <c r="P46" i="73"/>
  <c r="P60" i="73"/>
  <c r="P133" i="73"/>
  <c r="P92" i="73"/>
  <c r="P15" i="73"/>
  <c r="P23" i="73"/>
  <c r="P35" i="73"/>
  <c r="P82" i="73"/>
  <c r="P49" i="73"/>
  <c r="P19" i="73"/>
  <c r="P138" i="73"/>
  <c r="P90" i="73"/>
  <c r="P47" i="73"/>
  <c r="P67" i="73"/>
  <c r="P36" i="73"/>
  <c r="P94" i="73"/>
  <c r="P101" i="73"/>
  <c r="P33" i="73"/>
  <c r="P51" i="73"/>
  <c r="O144" i="73"/>
  <c r="P130" i="73"/>
  <c r="P122" i="73"/>
  <c r="P55" i="73"/>
  <c r="P109" i="73"/>
  <c r="P140" i="73"/>
  <c r="P124" i="73"/>
  <c r="P18" i="73"/>
  <c r="P17" i="73"/>
  <c r="P89" i="73"/>
  <c r="P6" i="73"/>
  <c r="P14" i="73"/>
  <c r="P13" i="73"/>
  <c r="P86" i="73"/>
  <c r="P114" i="73"/>
  <c r="P3" i="73"/>
  <c r="P107" i="73"/>
  <c r="P72" i="73"/>
  <c r="P39" i="73"/>
  <c r="P29" i="73"/>
  <c r="P78" i="73"/>
  <c r="P106" i="73"/>
  <c r="L144" i="73"/>
  <c r="P43" i="73"/>
  <c r="P102" i="73"/>
  <c r="P70" i="73"/>
  <c r="P98" i="73"/>
  <c r="P135" i="73"/>
  <c r="P103" i="73"/>
  <c r="P137" i="73"/>
  <c r="P121" i="73"/>
  <c r="P105" i="73"/>
  <c r="P66" i="73"/>
  <c r="P26" i="73"/>
  <c r="P123" i="73"/>
  <c r="P93" i="73"/>
  <c r="P142" i="73"/>
  <c r="P21" i="73"/>
  <c r="P62" i="73"/>
  <c r="P95" i="73"/>
  <c r="P125" i="73"/>
  <c r="P57" i="73"/>
  <c r="P112" i="73"/>
  <c r="P79" i="73"/>
  <c r="P100" i="73"/>
  <c r="P132" i="73"/>
  <c r="P116" i="73"/>
  <c r="P80" i="73"/>
  <c r="P85" i="73"/>
  <c r="P136" i="73"/>
  <c r="P38" i="73"/>
  <c r="P11" i="73"/>
  <c r="P30" i="73"/>
  <c r="P12" i="73"/>
  <c r="P69" i="73"/>
  <c r="P115" i="73"/>
  <c r="P61" i="73"/>
  <c r="P99" i="73"/>
  <c r="P40" i="73"/>
  <c r="P9" i="73"/>
  <c r="N144" i="73"/>
  <c r="P74" i="73"/>
  <c r="P131" i="73"/>
  <c r="P119" i="73"/>
  <c r="P65" i="73"/>
  <c r="P97" i="73"/>
  <c r="P129" i="73"/>
  <c r="P113" i="73"/>
  <c r="P73" i="73"/>
  <c r="P52" i="73"/>
  <c r="P44" i="73"/>
  <c r="P63" i="73"/>
  <c r="P128" i="73"/>
  <c r="P58" i="73"/>
  <c r="P88" i="73"/>
  <c r="P31" i="73"/>
  <c r="P120" i="73"/>
  <c r="M144" i="73"/>
  <c r="P25" i="73"/>
  <c r="P10" i="73"/>
  <c r="P91" i="73"/>
  <c r="P22" i="73"/>
  <c r="P76" i="73"/>
  <c r="P108" i="73"/>
  <c r="P104" i="73"/>
  <c r="P28" i="73"/>
  <c r="P20" i="73"/>
  <c r="P127" i="73"/>
  <c r="P81" i="73"/>
  <c r="P64" i="73"/>
  <c r="P87" i="73"/>
  <c r="P96" i="73"/>
  <c r="P56" i="73"/>
  <c r="P75" i="73"/>
  <c r="P24" i="73"/>
  <c r="P16" i="73"/>
  <c r="P8" i="73"/>
  <c r="P42" i="73"/>
  <c r="P4" i="73"/>
  <c r="P32" i="73"/>
  <c r="P139" i="73"/>
  <c r="P34" i="73"/>
  <c r="P117" i="73"/>
  <c r="P71" i="73"/>
  <c r="P83" i="73"/>
  <c r="P50" i="73"/>
  <c r="P68" i="73"/>
  <c r="P77" i="73"/>
  <c r="P7" i="73"/>
  <c r="P40" i="72"/>
  <c r="P32" i="72"/>
  <c r="P30" i="72"/>
  <c r="P110" i="72"/>
  <c r="P51" i="72"/>
  <c r="P103" i="72"/>
  <c r="P97" i="72"/>
  <c r="P74" i="72"/>
  <c r="P94" i="72"/>
  <c r="P106" i="72"/>
  <c r="P105" i="72"/>
  <c r="P41" i="72"/>
  <c r="P20" i="72"/>
  <c r="P24" i="72"/>
  <c r="P39" i="72"/>
  <c r="P8" i="72"/>
  <c r="P79" i="72"/>
  <c r="P21" i="72"/>
  <c r="P89" i="72"/>
  <c r="P71" i="72"/>
  <c r="P47" i="72"/>
  <c r="P46" i="72"/>
  <c r="P102" i="72"/>
  <c r="P86" i="72"/>
  <c r="P90" i="72"/>
  <c r="P113" i="72"/>
  <c r="P6" i="72"/>
  <c r="P16" i="72"/>
  <c r="P50" i="72"/>
  <c r="P63" i="72"/>
  <c r="P111" i="72"/>
  <c r="P64" i="72"/>
  <c r="P29" i="72"/>
  <c r="P9" i="72"/>
  <c r="P54" i="72"/>
  <c r="P87" i="72"/>
  <c r="P11" i="72"/>
  <c r="P34" i="72"/>
  <c r="P98" i="72"/>
  <c r="P48" i="72"/>
  <c r="P49" i="72"/>
  <c r="P108" i="72"/>
  <c r="P22" i="72"/>
  <c r="P38" i="72"/>
  <c r="P33" i="72"/>
  <c r="P66" i="72"/>
  <c r="P58" i="72"/>
  <c r="P73" i="72"/>
  <c r="P76" i="72"/>
  <c r="P25" i="72"/>
  <c r="P93" i="72"/>
  <c r="P28" i="72"/>
  <c r="P101" i="72"/>
  <c r="P31" i="72"/>
  <c r="P42" i="72"/>
  <c r="P82" i="72"/>
  <c r="P14" i="72"/>
  <c r="P12" i="72"/>
  <c r="P23" i="72"/>
  <c r="P15" i="72"/>
  <c r="P95" i="72"/>
  <c r="P78" i="72"/>
  <c r="P100" i="72"/>
  <c r="P91" i="72"/>
  <c r="P17" i="72"/>
  <c r="P26" i="72"/>
  <c r="P62" i="72"/>
  <c r="P44" i="72"/>
  <c r="P68" i="72"/>
  <c r="P56" i="72"/>
  <c r="P67" i="72"/>
  <c r="P5" i="72"/>
  <c r="P80" i="72"/>
  <c r="P69" i="72"/>
  <c r="P19" i="72"/>
  <c r="P99" i="72"/>
  <c r="P45" i="72"/>
  <c r="P81" i="72"/>
  <c r="P75" i="72"/>
  <c r="P83" i="72"/>
  <c r="P88" i="72"/>
  <c r="P37" i="72"/>
  <c r="P13" i="72"/>
  <c r="P36" i="72"/>
  <c r="P52" i="72"/>
  <c r="P92" i="72"/>
  <c r="P85" i="72"/>
  <c r="P10" i="72"/>
  <c r="P7" i="72"/>
  <c r="P55" i="72"/>
  <c r="P77" i="72"/>
  <c r="P112" i="72"/>
  <c r="P104" i="72"/>
  <c r="P72" i="72"/>
  <c r="P107" i="72"/>
  <c r="P59" i="72"/>
  <c r="P43" i="72"/>
  <c r="P70" i="72"/>
  <c r="P96" i="72"/>
  <c r="P60" i="72"/>
  <c r="P27" i="72"/>
  <c r="P61" i="72"/>
  <c r="P18" i="72"/>
  <c r="P84" i="72"/>
  <c r="P65" i="72"/>
  <c r="P109" i="72"/>
  <c r="P57" i="72"/>
  <c r="P35" i="72"/>
  <c r="P114" i="72"/>
  <c r="I116" i="72"/>
  <c r="O3" i="72"/>
  <c r="O116" i="72" s="1"/>
  <c r="N3" i="72"/>
  <c r="N116" i="72" s="1"/>
  <c r="M3" i="72"/>
  <c r="M116" i="72" s="1"/>
  <c r="L3" i="72"/>
  <c r="P4" i="72"/>
  <c r="P53" i="72"/>
  <c r="P5" i="70"/>
  <c r="P72" i="70"/>
  <c r="P48" i="70"/>
  <c r="P57" i="70"/>
  <c r="P87" i="70"/>
  <c r="P49" i="70"/>
  <c r="P41" i="70"/>
  <c r="P92" i="70"/>
  <c r="P65" i="70"/>
  <c r="P31" i="70"/>
  <c r="P78" i="70"/>
  <c r="P40" i="70"/>
  <c r="P37" i="70"/>
  <c r="P29" i="70"/>
  <c r="P70" i="70"/>
  <c r="P18" i="70"/>
  <c r="P36" i="70"/>
  <c r="P64" i="70"/>
  <c r="P8" i="70"/>
  <c r="P76" i="70"/>
  <c r="P33" i="70"/>
  <c r="P22" i="70"/>
  <c r="P25" i="70"/>
  <c r="P20" i="70"/>
  <c r="P55" i="70"/>
  <c r="P39" i="70"/>
  <c r="P79" i="70"/>
  <c r="P82" i="70"/>
  <c r="P11" i="70"/>
  <c r="P4" i="70"/>
  <c r="P47" i="70"/>
  <c r="P21" i="70"/>
  <c r="P38" i="70"/>
  <c r="P15" i="70"/>
  <c r="P23" i="70"/>
  <c r="P103" i="70"/>
  <c r="P85" i="70"/>
  <c r="P91" i="70"/>
  <c r="P58" i="70"/>
  <c r="P95" i="70"/>
  <c r="P80" i="70"/>
  <c r="P96" i="70"/>
  <c r="P104" i="70"/>
  <c r="P100" i="70"/>
  <c r="P60" i="70"/>
  <c r="P86" i="70"/>
  <c r="P44" i="70"/>
  <c r="O107" i="70"/>
  <c r="P26" i="70"/>
  <c r="P88" i="70"/>
  <c r="P63" i="70"/>
  <c r="P56" i="70"/>
  <c r="P13" i="70"/>
  <c r="P51" i="70"/>
  <c r="P97" i="70"/>
  <c r="P28" i="70"/>
  <c r="P105" i="70"/>
  <c r="P101" i="70"/>
  <c r="P83" i="70"/>
  <c r="N107" i="70"/>
  <c r="P98" i="70"/>
  <c r="P32" i="70"/>
  <c r="P53" i="70"/>
  <c r="P14" i="70"/>
  <c r="M107" i="70"/>
  <c r="P66" i="70"/>
  <c r="P52" i="70"/>
  <c r="P93" i="70"/>
  <c r="P75" i="70"/>
  <c r="P46" i="70"/>
  <c r="P77" i="70"/>
  <c r="P94" i="70"/>
  <c r="P54" i="70"/>
  <c r="P17" i="70"/>
  <c r="P6" i="70"/>
  <c r="P62" i="70"/>
  <c r="P24" i="70"/>
  <c r="P73" i="70"/>
  <c r="P90" i="70"/>
  <c r="P27" i="70"/>
  <c r="P10" i="70"/>
  <c r="P102" i="70"/>
  <c r="P19" i="70"/>
  <c r="P74" i="70"/>
  <c r="P89" i="70"/>
  <c r="P45" i="70"/>
  <c r="P16" i="70"/>
  <c r="P67" i="70"/>
  <c r="P71" i="70"/>
  <c r="P99" i="70"/>
  <c r="P61" i="70"/>
  <c r="P12" i="70"/>
  <c r="P42" i="70"/>
  <c r="P69" i="70"/>
  <c r="P35" i="70"/>
  <c r="P68" i="70"/>
  <c r="P84" i="70"/>
  <c r="P81" i="70"/>
  <c r="P59" i="70"/>
  <c r="L107" i="70"/>
  <c r="P3" i="70"/>
  <c r="P9" i="70"/>
  <c r="P50" i="70"/>
  <c r="P30" i="70"/>
  <c r="P34" i="70"/>
  <c r="P7" i="70"/>
  <c r="P43" i="70"/>
  <c r="P81" i="68"/>
  <c r="P84" i="68"/>
  <c r="P86" i="68"/>
  <c r="P99" i="68"/>
  <c r="P75" i="68"/>
  <c r="P96" i="68"/>
  <c r="P87" i="68"/>
  <c r="P25" i="68"/>
  <c r="P4" i="68"/>
  <c r="P12" i="68"/>
  <c r="P59" i="68"/>
  <c r="P83" i="68"/>
  <c r="P91" i="68"/>
  <c r="P71" i="68"/>
  <c r="P6" i="68"/>
  <c r="P40" i="68"/>
  <c r="P78" i="68"/>
  <c r="P8" i="68"/>
  <c r="P98" i="68"/>
  <c r="P90" i="68"/>
  <c r="P62" i="68"/>
  <c r="P27" i="68"/>
  <c r="P82" i="68"/>
  <c r="P67" i="68"/>
  <c r="P74" i="68"/>
  <c r="P15" i="68"/>
  <c r="P66" i="68"/>
  <c r="P39" i="68"/>
  <c r="P51" i="68"/>
  <c r="P61" i="68"/>
  <c r="P79" i="68"/>
  <c r="P18" i="68"/>
  <c r="P24" i="68"/>
  <c r="P65" i="68"/>
  <c r="P44" i="68"/>
  <c r="P53" i="68"/>
  <c r="P46" i="68"/>
  <c r="P77" i="68"/>
  <c r="P47" i="68"/>
  <c r="P49" i="68"/>
  <c r="P58" i="68"/>
  <c r="P33" i="68"/>
  <c r="P16" i="68"/>
  <c r="P5" i="68"/>
  <c r="P30" i="68"/>
  <c r="P42" i="68"/>
  <c r="P92" i="68"/>
  <c r="P31" i="68"/>
  <c r="P23" i="68"/>
  <c r="P56" i="68"/>
  <c r="P32" i="68"/>
  <c r="P26" i="68"/>
  <c r="P60" i="68"/>
  <c r="P36" i="68"/>
  <c r="P101" i="68"/>
  <c r="P57" i="68"/>
  <c r="P22" i="68"/>
  <c r="P9" i="68"/>
  <c r="P76" i="68"/>
  <c r="P35" i="68"/>
  <c r="P19" i="68"/>
  <c r="P93" i="68"/>
  <c r="P52" i="68"/>
  <c r="P14" i="68"/>
  <c r="P34" i="68"/>
  <c r="P20" i="68"/>
  <c r="P80" i="68"/>
  <c r="P48" i="68"/>
  <c r="P88" i="68"/>
  <c r="P102" i="68"/>
  <c r="P69" i="68"/>
  <c r="N105" i="68"/>
  <c r="P45" i="68"/>
  <c r="P43" i="68"/>
  <c r="P11" i="68"/>
  <c r="P85" i="68"/>
  <c r="P10" i="68"/>
  <c r="P29" i="68"/>
  <c r="P28" i="68"/>
  <c r="P17" i="68"/>
  <c r="P72" i="68"/>
  <c r="O105" i="68"/>
  <c r="L105" i="68"/>
  <c r="P3" i="68"/>
  <c r="P100" i="68"/>
  <c r="P73" i="68"/>
  <c r="P95" i="68"/>
  <c r="P97" i="68"/>
  <c r="P41" i="68"/>
  <c r="P68" i="68"/>
  <c r="P70" i="68"/>
  <c r="P21" i="68"/>
  <c r="P13" i="68"/>
  <c r="P103" i="68"/>
  <c r="P94" i="68"/>
  <c r="P37" i="68"/>
  <c r="M105" i="68"/>
  <c r="P89" i="68"/>
  <c r="P64" i="68"/>
  <c r="P55" i="68"/>
  <c r="P54" i="68"/>
  <c r="P63" i="68"/>
  <c r="P38" i="68"/>
  <c r="P7" i="68"/>
  <c r="P123" i="67"/>
  <c r="P101" i="67"/>
  <c r="P58" i="67"/>
  <c r="P130" i="67"/>
  <c r="P24" i="67"/>
  <c r="P50" i="67"/>
  <c r="P14" i="67"/>
  <c r="P131" i="67"/>
  <c r="P118" i="67"/>
  <c r="P93" i="67"/>
  <c r="P60" i="67"/>
  <c r="P43" i="67"/>
  <c r="P132" i="67"/>
  <c r="P140" i="67"/>
  <c r="P52" i="67"/>
  <c r="P16" i="67"/>
  <c r="P31" i="67"/>
  <c r="P67" i="67"/>
  <c r="P76" i="67"/>
  <c r="P84" i="67"/>
  <c r="P100" i="67"/>
  <c r="P106" i="67"/>
  <c r="P129" i="67"/>
  <c r="P102" i="67"/>
  <c r="P83" i="67"/>
  <c r="P35" i="67"/>
  <c r="P107" i="67"/>
  <c r="P15" i="67"/>
  <c r="P92" i="67"/>
  <c r="P78" i="67"/>
  <c r="P141" i="67"/>
  <c r="P44" i="67"/>
  <c r="P18" i="67"/>
  <c r="P114" i="67"/>
  <c r="P86" i="67"/>
  <c r="P116" i="67"/>
  <c r="P139" i="67"/>
  <c r="P110" i="67"/>
  <c r="P105" i="67"/>
  <c r="P8" i="67"/>
  <c r="P121" i="67"/>
  <c r="P45" i="67"/>
  <c r="P70" i="67"/>
  <c r="P41" i="67"/>
  <c r="P117" i="67"/>
  <c r="P32" i="67"/>
  <c r="P12" i="67"/>
  <c r="P97" i="67"/>
  <c r="P77" i="67"/>
  <c r="P26" i="67"/>
  <c r="P4" i="67"/>
  <c r="P30" i="67"/>
  <c r="P17" i="67"/>
  <c r="P115" i="67"/>
  <c r="P22" i="67"/>
  <c r="P127" i="67"/>
  <c r="P137" i="67"/>
  <c r="P68" i="67"/>
  <c r="P49" i="67"/>
  <c r="P103" i="67"/>
  <c r="P119" i="67"/>
  <c r="P113" i="67"/>
  <c r="P29" i="67"/>
  <c r="P7" i="67"/>
  <c r="P108" i="67"/>
  <c r="P34" i="67"/>
  <c r="P11" i="67"/>
  <c r="P138" i="67"/>
  <c r="P124" i="67"/>
  <c r="P23" i="67"/>
  <c r="P57" i="67"/>
  <c r="P89" i="67"/>
  <c r="P59" i="67"/>
  <c r="P20" i="67"/>
  <c r="P112" i="67"/>
  <c r="P40" i="67"/>
  <c r="P61" i="67"/>
  <c r="P71" i="67"/>
  <c r="P94" i="67"/>
  <c r="P99" i="67"/>
  <c r="P69" i="67"/>
  <c r="P125" i="67"/>
  <c r="P80" i="67"/>
  <c r="P90" i="67"/>
  <c r="P56" i="67"/>
  <c r="P10" i="67"/>
  <c r="P82" i="67"/>
  <c r="I144" i="67"/>
  <c r="O3" i="67"/>
  <c r="O144" i="67" s="1"/>
  <c r="N3" i="67"/>
  <c r="N144" i="67" s="1"/>
  <c r="M3" i="67"/>
  <c r="M144" i="67" s="1"/>
  <c r="L3" i="67"/>
  <c r="P37" i="67"/>
  <c r="P91" i="67"/>
  <c r="P111" i="67"/>
  <c r="P39" i="67"/>
  <c r="P96" i="67"/>
  <c r="P46" i="67"/>
  <c r="P109" i="67"/>
  <c r="P79" i="67"/>
  <c r="P122" i="67"/>
  <c r="P133" i="67"/>
  <c r="P19" i="67"/>
  <c r="P27" i="67"/>
  <c r="P51" i="67"/>
  <c r="P25" i="67"/>
  <c r="P120" i="67"/>
  <c r="P33" i="67"/>
  <c r="P98" i="67"/>
  <c r="P6" i="67"/>
  <c r="P9" i="67"/>
  <c r="P54" i="67"/>
  <c r="P134" i="67"/>
  <c r="P73" i="67"/>
  <c r="P72" i="67"/>
  <c r="P55" i="67"/>
  <c r="P62" i="67"/>
  <c r="P136" i="67"/>
  <c r="P81" i="67"/>
  <c r="P135" i="67"/>
  <c r="P104" i="67"/>
  <c r="P85" i="67"/>
  <c r="P63" i="67"/>
  <c r="P48" i="67"/>
  <c r="P88" i="67"/>
  <c r="P38" i="67"/>
  <c r="P42" i="67"/>
  <c r="P53" i="67"/>
  <c r="P21" i="67"/>
  <c r="P142" i="67"/>
  <c r="P87" i="67"/>
  <c r="P126" i="67"/>
  <c r="P75" i="67"/>
  <c r="P95" i="67"/>
  <c r="P74" i="67"/>
  <c r="P66" i="67"/>
  <c r="P128" i="67"/>
  <c r="P65" i="67"/>
  <c r="P36" i="67"/>
  <c r="P64" i="67"/>
  <c r="P47" i="67"/>
  <c r="P28" i="67"/>
  <c r="P13" i="67"/>
  <c r="P5" i="67"/>
  <c r="P110" i="61"/>
  <c r="P7" i="61"/>
  <c r="P88" i="61"/>
  <c r="P34" i="61"/>
  <c r="P101" i="61"/>
  <c r="P71" i="61"/>
  <c r="P56" i="61"/>
  <c r="P64" i="61"/>
  <c r="P102" i="61"/>
  <c r="P85" i="61"/>
  <c r="P23" i="61"/>
  <c r="P55" i="61"/>
  <c r="P41" i="61"/>
  <c r="P22" i="61"/>
  <c r="P47" i="61"/>
  <c r="P72" i="61"/>
  <c r="P48" i="61"/>
  <c r="P94" i="61"/>
  <c r="P29" i="61"/>
  <c r="P126" i="61"/>
  <c r="P95" i="61"/>
  <c r="P82" i="61"/>
  <c r="P40" i="61"/>
  <c r="P81" i="61"/>
  <c r="P89" i="61"/>
  <c r="P121" i="61"/>
  <c r="P97" i="61"/>
  <c r="P27" i="61"/>
  <c r="P93" i="61"/>
  <c r="P63" i="61"/>
  <c r="P80" i="61"/>
  <c r="P16" i="61"/>
  <c r="P120" i="61"/>
  <c r="P123" i="61"/>
  <c r="P20" i="61"/>
  <c r="P112" i="61"/>
  <c r="P26" i="61"/>
  <c r="P5" i="61"/>
  <c r="P74" i="61"/>
  <c r="P58" i="61"/>
  <c r="P42" i="61"/>
  <c r="P118" i="61"/>
  <c r="P86" i="61"/>
  <c r="P104" i="61"/>
  <c r="P31" i="61"/>
  <c r="P57" i="61"/>
  <c r="P96" i="61"/>
  <c r="P113" i="61"/>
  <c r="P13" i="61"/>
  <c r="P70" i="61"/>
  <c r="P54" i="61"/>
  <c r="P76" i="61"/>
  <c r="P60" i="61"/>
  <c r="P44" i="61"/>
  <c r="P24" i="61"/>
  <c r="P122" i="61"/>
  <c r="P114" i="61"/>
  <c r="P28" i="61"/>
  <c r="P84" i="61"/>
  <c r="P3" i="61"/>
  <c r="P15" i="61"/>
  <c r="P77" i="61"/>
  <c r="P92" i="61"/>
  <c r="P108" i="61"/>
  <c r="P75" i="61"/>
  <c r="P59" i="61"/>
  <c r="P43" i="61"/>
  <c r="P21" i="61"/>
  <c r="P6" i="61"/>
  <c r="P9" i="61"/>
  <c r="P14" i="61"/>
  <c r="P69" i="61"/>
  <c r="P83" i="61"/>
  <c r="P99" i="61"/>
  <c r="P116" i="61"/>
  <c r="P39" i="61"/>
  <c r="P17" i="61"/>
  <c r="P36" i="61"/>
  <c r="P30" i="61"/>
  <c r="P4" i="61"/>
  <c r="P12" i="61"/>
  <c r="P125" i="61"/>
  <c r="P61" i="61"/>
  <c r="P127" i="61"/>
  <c r="P87" i="61"/>
  <c r="P78" i="61"/>
  <c r="P62" i="61"/>
  <c r="P46" i="61"/>
  <c r="P32" i="61"/>
  <c r="P25" i="61"/>
  <c r="P103" i="61"/>
  <c r="P90" i="61"/>
  <c r="P107" i="61"/>
  <c r="P68" i="61"/>
  <c r="P52" i="61"/>
  <c r="P65" i="61"/>
  <c r="P124" i="61"/>
  <c r="P8" i="61"/>
  <c r="P117" i="61"/>
  <c r="P53" i="61"/>
  <c r="P73" i="61"/>
  <c r="P100" i="61"/>
  <c r="P37" i="61"/>
  <c r="P49" i="61"/>
  <c r="P111" i="61"/>
  <c r="P98" i="61"/>
  <c r="P35" i="61"/>
  <c r="P115" i="61"/>
  <c r="P105" i="61"/>
  <c r="P66" i="61"/>
  <c r="P50" i="61"/>
  <c r="P11" i="61"/>
  <c r="P10" i="61"/>
  <c r="P18" i="61"/>
  <c r="P109" i="61"/>
  <c r="P45" i="61"/>
  <c r="P91" i="61"/>
  <c r="P38" i="61"/>
  <c r="P79" i="61"/>
  <c r="P119" i="61"/>
  <c r="P106" i="61"/>
  <c r="P67" i="61"/>
  <c r="P51" i="61"/>
  <c r="P33" i="61"/>
  <c r="P19" i="61"/>
  <c r="P61" i="60"/>
  <c r="P42" i="60"/>
  <c r="P77" i="60"/>
  <c r="P85" i="60"/>
  <c r="P46" i="60"/>
  <c r="P100" i="60"/>
  <c r="P23" i="60"/>
  <c r="P3" i="60"/>
  <c r="P120" i="60"/>
  <c r="P103" i="60"/>
  <c r="P112" i="60"/>
  <c r="P57" i="60"/>
  <c r="P101" i="60"/>
  <c r="P93" i="60"/>
  <c r="P50" i="60"/>
  <c r="P12" i="60"/>
  <c r="P11" i="60"/>
  <c r="P25" i="60"/>
  <c r="P117" i="60"/>
  <c r="P40" i="60"/>
  <c r="P64" i="60"/>
  <c r="P118" i="60"/>
  <c r="P31" i="60"/>
  <c r="P53" i="60"/>
  <c r="P18" i="60"/>
  <c r="P8" i="60"/>
  <c r="P22" i="60"/>
  <c r="P65" i="60"/>
  <c r="P73" i="60"/>
  <c r="P108" i="60"/>
  <c r="P74" i="60"/>
  <c r="P122" i="60"/>
  <c r="P56" i="60"/>
  <c r="P109" i="60"/>
  <c r="P84" i="60"/>
  <c r="P9" i="60"/>
  <c r="P88" i="60"/>
  <c r="P68" i="60"/>
  <c r="P15" i="60"/>
  <c r="P35" i="60"/>
  <c r="P44" i="60"/>
  <c r="P60" i="60"/>
  <c r="P107" i="60"/>
  <c r="P91" i="60"/>
  <c r="P45" i="60"/>
  <c r="P27" i="60"/>
  <c r="P92" i="60"/>
  <c r="P30" i="60"/>
  <c r="P129" i="60"/>
  <c r="P71" i="60"/>
  <c r="P119" i="60"/>
  <c r="P4" i="60"/>
  <c r="P54" i="60"/>
  <c r="P78" i="60"/>
  <c r="P72" i="60"/>
  <c r="P32" i="60"/>
  <c r="P69" i="60"/>
  <c r="P75" i="60"/>
  <c r="P17" i="60"/>
  <c r="P59" i="60"/>
  <c r="P98" i="60"/>
  <c r="P76" i="60"/>
  <c r="P29" i="60"/>
  <c r="P104" i="60"/>
  <c r="P116" i="60"/>
  <c r="P66" i="60"/>
  <c r="P49" i="60"/>
  <c r="P90" i="60"/>
  <c r="P7" i="60"/>
  <c r="P13" i="60"/>
  <c r="P83" i="60"/>
  <c r="P125" i="60"/>
  <c r="P33" i="60"/>
  <c r="P19" i="60"/>
  <c r="P36" i="60"/>
  <c r="P67" i="60"/>
  <c r="P52" i="60"/>
  <c r="P102" i="60"/>
  <c r="P47" i="60"/>
  <c r="P86" i="60"/>
  <c r="P43" i="60"/>
  <c r="P111" i="60"/>
  <c r="P113" i="60"/>
  <c r="P115" i="60"/>
  <c r="P34" i="60"/>
  <c r="P97" i="60"/>
  <c r="P20" i="60"/>
  <c r="P110" i="60"/>
  <c r="P51" i="60"/>
  <c r="P114" i="60"/>
  <c r="P95" i="60"/>
  <c r="P28" i="60"/>
  <c r="P128" i="60"/>
  <c r="P99" i="60"/>
  <c r="P6" i="60"/>
  <c r="P37" i="60"/>
  <c r="P70" i="60"/>
  <c r="P89" i="60"/>
  <c r="P130" i="60"/>
  <c r="P127" i="60"/>
  <c r="P80" i="60"/>
  <c r="P39" i="60"/>
  <c r="P79" i="60"/>
  <c r="P124" i="60"/>
  <c r="P82" i="60"/>
  <c r="P26" i="60"/>
  <c r="P55" i="60"/>
  <c r="P24" i="60"/>
  <c r="P106" i="60"/>
  <c r="P14" i="60"/>
  <c r="P48" i="60"/>
  <c r="P94" i="60"/>
  <c r="P81" i="60"/>
  <c r="P96" i="60"/>
  <c r="P62" i="60"/>
  <c r="P105" i="60"/>
  <c r="P87" i="60"/>
  <c r="P63" i="60"/>
  <c r="P41" i="60"/>
  <c r="P121" i="60"/>
  <c r="P123" i="60"/>
  <c r="P126" i="60"/>
  <c r="P10" i="60"/>
  <c r="P16" i="60"/>
  <c r="P21" i="60"/>
  <c r="P5" i="60"/>
  <c r="P132" i="60"/>
  <c r="P134" i="60"/>
  <c r="P133" i="60"/>
  <c r="P131" i="60"/>
  <c r="I129" i="61"/>
  <c r="O129" i="61"/>
  <c r="N129" i="61"/>
  <c r="M129" i="61"/>
  <c r="M26" i="59"/>
  <c r="N26" i="59"/>
  <c r="O35" i="59"/>
  <c r="L27" i="59"/>
  <c r="O27" i="59"/>
  <c r="N27" i="59"/>
  <c r="M27" i="59"/>
  <c r="L91" i="59"/>
  <c r="M91" i="59"/>
  <c r="O91" i="59"/>
  <c r="N91" i="59"/>
  <c r="L3" i="59"/>
  <c r="M3" i="59"/>
  <c r="N3" i="59"/>
  <c r="O3" i="59"/>
  <c r="M17" i="59"/>
  <c r="L17" i="59"/>
  <c r="L67" i="59"/>
  <c r="O67" i="59"/>
  <c r="M67" i="59"/>
  <c r="N67" i="59"/>
  <c r="L51" i="59"/>
  <c r="O51" i="59"/>
  <c r="N51" i="59"/>
  <c r="M51" i="59"/>
  <c r="L43" i="59"/>
  <c r="O43" i="59"/>
  <c r="N43" i="59"/>
  <c r="M43" i="59"/>
  <c r="L83" i="59"/>
  <c r="O83" i="59"/>
  <c r="N83" i="59"/>
  <c r="M83" i="59"/>
  <c r="M11" i="59"/>
  <c r="M19" i="59"/>
  <c r="L34" i="59"/>
  <c r="M75" i="59"/>
  <c r="N19" i="59"/>
  <c r="N4" i="59"/>
  <c r="O11" i="59"/>
  <c r="O19" i="59"/>
  <c r="N34" i="59"/>
  <c r="M59" i="59"/>
  <c r="O75" i="59"/>
  <c r="L10" i="59"/>
  <c r="N59" i="59"/>
  <c r="N11" i="59"/>
  <c r="N75" i="59"/>
  <c r="M10" i="59"/>
  <c r="N20" i="59"/>
  <c r="O59" i="59"/>
  <c r="L96" i="59"/>
  <c r="N10" i="59"/>
  <c r="M35" i="59"/>
  <c r="M34" i="59"/>
  <c r="L26" i="59"/>
  <c r="N35" i="59"/>
  <c r="O24" i="59"/>
  <c r="N24" i="59"/>
  <c r="M24" i="59"/>
  <c r="L24" i="59"/>
  <c r="O64" i="59"/>
  <c r="N64" i="59"/>
  <c r="L64" i="59"/>
  <c r="M64" i="59"/>
  <c r="O32" i="59"/>
  <c r="N32" i="59"/>
  <c r="L32" i="59"/>
  <c r="M32" i="59"/>
  <c r="O7" i="59"/>
  <c r="N7" i="59"/>
  <c r="M7" i="59"/>
  <c r="L7" i="59"/>
  <c r="O15" i="59"/>
  <c r="N15" i="59"/>
  <c r="M15" i="59"/>
  <c r="L15" i="59"/>
  <c r="O8" i="59"/>
  <c r="N8" i="59"/>
  <c r="M8" i="59"/>
  <c r="L8" i="59"/>
  <c r="O23" i="59"/>
  <c r="N23" i="59"/>
  <c r="M23" i="59"/>
  <c r="L23" i="59"/>
  <c r="O63" i="59"/>
  <c r="N63" i="59"/>
  <c r="M63" i="59"/>
  <c r="L63" i="59"/>
  <c r="N90" i="59"/>
  <c r="O90" i="59"/>
  <c r="N69" i="59"/>
  <c r="M69" i="59"/>
  <c r="L69" i="59"/>
  <c r="L90" i="59"/>
  <c r="O41" i="59"/>
  <c r="M41" i="59"/>
  <c r="N41" i="59"/>
  <c r="O55" i="59"/>
  <c r="N55" i="59"/>
  <c r="M55" i="59"/>
  <c r="L55" i="59"/>
  <c r="M58" i="59"/>
  <c r="O60" i="59"/>
  <c r="O69" i="59"/>
  <c r="M73" i="59"/>
  <c r="O73" i="59"/>
  <c r="N73" i="59"/>
  <c r="O78" i="59"/>
  <c r="N78" i="59"/>
  <c r="M78" i="59"/>
  <c r="L78" i="59"/>
  <c r="N82" i="59"/>
  <c r="O82" i="59"/>
  <c r="M84" i="59"/>
  <c r="L84" i="59"/>
  <c r="O87" i="59"/>
  <c r="N87" i="59"/>
  <c r="M87" i="59"/>
  <c r="L87" i="59"/>
  <c r="M90" i="59"/>
  <c r="M96" i="59"/>
  <c r="L18" i="59"/>
  <c r="M20" i="59"/>
  <c r="L20" i="59"/>
  <c r="O33" i="59"/>
  <c r="N33" i="59"/>
  <c r="M33" i="59"/>
  <c r="L41" i="59"/>
  <c r="N52" i="59"/>
  <c r="N61" i="59"/>
  <c r="M61" i="59"/>
  <c r="L61" i="59"/>
  <c r="L73" i="59"/>
  <c r="L82" i="59"/>
  <c r="N84" i="59"/>
  <c r="N93" i="59"/>
  <c r="M93" i="59"/>
  <c r="L93" i="59"/>
  <c r="N96" i="59"/>
  <c r="O95" i="59"/>
  <c r="N95" i="59"/>
  <c r="M95" i="59"/>
  <c r="N5" i="59"/>
  <c r="M5" i="59"/>
  <c r="L5" i="59"/>
  <c r="O25" i="59"/>
  <c r="N25" i="59"/>
  <c r="M25" i="59"/>
  <c r="N42" i="59"/>
  <c r="O42" i="59"/>
  <c r="O56" i="59"/>
  <c r="L56" i="59"/>
  <c r="N56" i="59"/>
  <c r="M56" i="59"/>
  <c r="N74" i="59"/>
  <c r="O74" i="59"/>
  <c r="M76" i="59"/>
  <c r="L76" i="59"/>
  <c r="O79" i="59"/>
  <c r="N79" i="59"/>
  <c r="M79" i="59"/>
  <c r="L79" i="59"/>
  <c r="N97" i="59"/>
  <c r="M97" i="59"/>
  <c r="O49" i="59"/>
  <c r="N49" i="59"/>
  <c r="M49" i="59"/>
  <c r="M60" i="59"/>
  <c r="L60" i="59"/>
  <c r="O72" i="59"/>
  <c r="L72" i="59"/>
  <c r="N72" i="59"/>
  <c r="M72" i="59"/>
  <c r="M81" i="59"/>
  <c r="O81" i="59"/>
  <c r="N81" i="59"/>
  <c r="M92" i="59"/>
  <c r="L92" i="59"/>
  <c r="O22" i="59"/>
  <c r="N22" i="59"/>
  <c r="M22" i="59"/>
  <c r="L22" i="59"/>
  <c r="N29" i="59"/>
  <c r="M29" i="59"/>
  <c r="L29" i="59"/>
  <c r="N50" i="59"/>
  <c r="O50" i="59"/>
  <c r="O38" i="59"/>
  <c r="N38" i="59"/>
  <c r="M38" i="59"/>
  <c r="L38" i="59"/>
  <c r="L88" i="59"/>
  <c r="O88" i="59"/>
  <c r="N88" i="59"/>
  <c r="M88" i="59"/>
  <c r="M4" i="59"/>
  <c r="L4" i="59"/>
  <c r="L9" i="59"/>
  <c r="N18" i="59"/>
  <c r="O30" i="59"/>
  <c r="N30" i="59"/>
  <c r="M30" i="59"/>
  <c r="L30" i="59"/>
  <c r="L42" i="59"/>
  <c r="N44" i="59"/>
  <c r="N53" i="59"/>
  <c r="M53" i="59"/>
  <c r="L53" i="59"/>
  <c r="L74" i="59"/>
  <c r="N76" i="59"/>
  <c r="N85" i="59"/>
  <c r="M85" i="59"/>
  <c r="L85" i="59"/>
  <c r="O97" i="59"/>
  <c r="M12" i="59"/>
  <c r="L12" i="59"/>
  <c r="O40" i="59"/>
  <c r="L40" i="59"/>
  <c r="N40" i="59"/>
  <c r="M40" i="59"/>
  <c r="O54" i="59"/>
  <c r="N54" i="59"/>
  <c r="M54" i="59"/>
  <c r="L54" i="59"/>
  <c r="O86" i="59"/>
  <c r="N86" i="59"/>
  <c r="M86" i="59"/>
  <c r="L86" i="59"/>
  <c r="N37" i="59"/>
  <c r="M37" i="59"/>
  <c r="L37" i="59"/>
  <c r="L81" i="59"/>
  <c r="N92" i="59"/>
  <c r="O46" i="59"/>
  <c r="N46" i="59"/>
  <c r="M46" i="59"/>
  <c r="L46" i="59"/>
  <c r="O6" i="59"/>
  <c r="N6" i="59"/>
  <c r="M6" i="59"/>
  <c r="L6" i="59"/>
  <c r="N13" i="59"/>
  <c r="M13" i="59"/>
  <c r="L13" i="59"/>
  <c r="M18" i="59"/>
  <c r="O47" i="59"/>
  <c r="N47" i="59"/>
  <c r="M47" i="59"/>
  <c r="L47" i="59"/>
  <c r="O70" i="59"/>
  <c r="N70" i="59"/>
  <c r="M70" i="59"/>
  <c r="L70" i="59"/>
  <c r="O84" i="59"/>
  <c r="M28" i="59"/>
  <c r="L28" i="59"/>
  <c r="M36" i="59"/>
  <c r="L36" i="59"/>
  <c r="O39" i="59"/>
  <c r="N39" i="59"/>
  <c r="M39" i="59"/>
  <c r="L39" i="59"/>
  <c r="M42" i="59"/>
  <c r="O48" i="59"/>
  <c r="L48" i="59"/>
  <c r="N48" i="59"/>
  <c r="M48" i="59"/>
  <c r="M57" i="59"/>
  <c r="O57" i="59"/>
  <c r="N57" i="59"/>
  <c r="O62" i="59"/>
  <c r="N62" i="59"/>
  <c r="M62" i="59"/>
  <c r="L62" i="59"/>
  <c r="N66" i="59"/>
  <c r="O66" i="59"/>
  <c r="M68" i="59"/>
  <c r="L68" i="59"/>
  <c r="O71" i="59"/>
  <c r="N71" i="59"/>
  <c r="M71" i="59"/>
  <c r="L71" i="59"/>
  <c r="M74" i="59"/>
  <c r="O80" i="59"/>
  <c r="L80" i="59"/>
  <c r="N80" i="59"/>
  <c r="M80" i="59"/>
  <c r="M89" i="59"/>
  <c r="O89" i="59"/>
  <c r="N89" i="59"/>
  <c r="O94" i="59"/>
  <c r="N94" i="59"/>
  <c r="M94" i="59"/>
  <c r="O58" i="59"/>
  <c r="N58" i="59"/>
  <c r="N12" i="59"/>
  <c r="O5" i="59"/>
  <c r="M52" i="59"/>
  <c r="L52" i="59"/>
  <c r="O9" i="59"/>
  <c r="N9" i="59"/>
  <c r="O16" i="59"/>
  <c r="N16" i="59"/>
  <c r="M16" i="59"/>
  <c r="M44" i="59"/>
  <c r="L44" i="59"/>
  <c r="M50" i="59"/>
  <c r="O65" i="59"/>
  <c r="N65" i="59"/>
  <c r="M65" i="59"/>
  <c r="M82" i="59"/>
  <c r="O14" i="59"/>
  <c r="N14" i="59"/>
  <c r="M14" i="59"/>
  <c r="L14" i="59"/>
  <c r="O17" i="59"/>
  <c r="N17" i="59"/>
  <c r="N21" i="59"/>
  <c r="M21" i="59"/>
  <c r="L21" i="59"/>
  <c r="N28" i="59"/>
  <c r="O31" i="59"/>
  <c r="N31" i="59"/>
  <c r="M31" i="59"/>
  <c r="L31" i="59"/>
  <c r="N36" i="59"/>
  <c r="N45" i="59"/>
  <c r="M45" i="59"/>
  <c r="L45" i="59"/>
  <c r="L57" i="59"/>
  <c r="L66" i="59"/>
  <c r="N68" i="59"/>
  <c r="N77" i="59"/>
  <c r="M77" i="59"/>
  <c r="L77" i="59"/>
  <c r="L89" i="59"/>
  <c r="O98" i="59"/>
  <c r="N98" i="59"/>
  <c r="M98" i="59"/>
  <c r="G136" i="60"/>
  <c r="I136" i="60"/>
  <c r="L7" i="58"/>
  <c r="M7" i="58"/>
  <c r="N7" i="58"/>
  <c r="O7" i="58"/>
  <c r="L6" i="58"/>
  <c r="M6" i="58"/>
  <c r="N6" i="58"/>
  <c r="O6" i="58"/>
  <c r="O8" i="58"/>
  <c r="N8" i="58"/>
  <c r="M8" i="58"/>
  <c r="O14" i="58"/>
  <c r="N14" i="58"/>
  <c r="M14" i="58"/>
  <c r="O13" i="58"/>
  <c r="L13" i="58"/>
  <c r="M13" i="58"/>
  <c r="N13" i="58"/>
  <c r="M83" i="58"/>
  <c r="L83" i="58"/>
  <c r="O83" i="58"/>
  <c r="L82" i="58"/>
  <c r="O82" i="58"/>
  <c r="M82" i="58"/>
  <c r="O79" i="58"/>
  <c r="G103" i="59"/>
  <c r="I103" i="59"/>
  <c r="N100" i="59"/>
  <c r="M100" i="59"/>
  <c r="L100" i="59"/>
  <c r="O100" i="59"/>
  <c r="O101" i="59"/>
  <c r="N101" i="59"/>
  <c r="M101" i="59"/>
  <c r="L101" i="59"/>
  <c r="O99" i="59"/>
  <c r="M99" i="59"/>
  <c r="L99" i="59"/>
  <c r="N99" i="59"/>
  <c r="L74" i="58"/>
  <c r="O74" i="58"/>
  <c r="N74" i="58"/>
  <c r="M74" i="58"/>
  <c r="M80" i="58"/>
  <c r="N80" i="58"/>
  <c r="O80" i="58"/>
  <c r="L80" i="58"/>
  <c r="L81" i="58"/>
  <c r="M81" i="58"/>
  <c r="N81" i="58"/>
  <c r="O81" i="58"/>
  <c r="N79" i="58"/>
  <c r="N82" i="58"/>
  <c r="G88" i="58"/>
  <c r="N83" i="58"/>
  <c r="M79" i="58"/>
  <c r="M75" i="58"/>
  <c r="L75" i="58"/>
  <c r="O75" i="58"/>
  <c r="N75" i="58"/>
  <c r="N76" i="58"/>
  <c r="M76" i="58"/>
  <c r="O76" i="58"/>
  <c r="L76" i="58"/>
  <c r="O77" i="58"/>
  <c r="N77" i="58"/>
  <c r="M77" i="58"/>
  <c r="L77" i="58"/>
  <c r="O78" i="58"/>
  <c r="N78" i="58"/>
  <c r="M78" i="58"/>
  <c r="L78" i="58"/>
  <c r="L27" i="58"/>
  <c r="O27" i="58"/>
  <c r="M4" i="58"/>
  <c r="O4" i="58"/>
  <c r="N4" i="58"/>
  <c r="N39" i="58"/>
  <c r="L39" i="58"/>
  <c r="O26" i="58"/>
  <c r="N26" i="58"/>
  <c r="M26" i="58"/>
  <c r="L26" i="58"/>
  <c r="O33" i="58"/>
  <c r="N33" i="58"/>
  <c r="L20" i="58"/>
  <c r="O20" i="58"/>
  <c r="N20" i="58"/>
  <c r="M20" i="58"/>
  <c r="M42" i="58"/>
  <c r="O42" i="58"/>
  <c r="L36" i="58"/>
  <c r="O36" i="58"/>
  <c r="N36" i="58"/>
  <c r="M36" i="58"/>
  <c r="N23" i="58"/>
  <c r="L23" i="58"/>
  <c r="M21" i="58"/>
  <c r="L21" i="58"/>
  <c r="O17" i="58"/>
  <c r="N17" i="58"/>
  <c r="L37" i="58"/>
  <c r="L71" i="58"/>
  <c r="O69" i="58"/>
  <c r="O68" i="58"/>
  <c r="N68" i="58"/>
  <c r="M68" i="58"/>
  <c r="L67" i="58"/>
  <c r="O63" i="58"/>
  <c r="N63" i="58"/>
  <c r="L63" i="58"/>
  <c r="O60" i="58"/>
  <c r="M60" i="58"/>
  <c r="N60" i="58"/>
  <c r="L58" i="58"/>
  <c r="O58" i="58"/>
  <c r="O56" i="58"/>
  <c r="O55" i="58"/>
  <c r="L55" i="58"/>
  <c r="N55" i="58"/>
  <c r="O54" i="58"/>
  <c r="M54" i="58"/>
  <c r="L51" i="58"/>
  <c r="M51" i="58"/>
  <c r="O51" i="58"/>
  <c r="M44" i="58"/>
  <c r="N30" i="58"/>
  <c r="L30" i="58"/>
  <c r="M30" i="58"/>
  <c r="O30" i="58"/>
  <c r="N11" i="58"/>
  <c r="L11" i="58"/>
  <c r="M11" i="58"/>
  <c r="O11" i="58"/>
  <c r="L49" i="58"/>
  <c r="O49" i="58"/>
  <c r="M49" i="58"/>
  <c r="N49" i="58"/>
  <c r="N5" i="58"/>
  <c r="M5" i="58"/>
  <c r="L5" i="58"/>
  <c r="O5" i="58"/>
  <c r="M65" i="58"/>
  <c r="L65" i="58"/>
  <c r="O65" i="58"/>
  <c r="N65" i="58"/>
  <c r="O25" i="58"/>
  <c r="N25" i="58"/>
  <c r="M25" i="58"/>
  <c r="L25" i="58"/>
  <c r="N38" i="58"/>
  <c r="L38" i="58"/>
  <c r="M38" i="58"/>
  <c r="O38" i="58"/>
  <c r="N22" i="58"/>
  <c r="L22" i="58"/>
  <c r="O22" i="58"/>
  <c r="M22" i="58"/>
  <c r="N24" i="58"/>
  <c r="O24" i="58"/>
  <c r="L24" i="58"/>
  <c r="M24" i="58"/>
  <c r="L10" i="58"/>
  <c r="N10" i="58"/>
  <c r="M10" i="58"/>
  <c r="O10" i="58"/>
  <c r="N46" i="58"/>
  <c r="L46" i="58"/>
  <c r="O85" i="58"/>
  <c r="M85" i="58"/>
  <c r="L35" i="58"/>
  <c r="N85" i="58"/>
  <c r="M9" i="58"/>
  <c r="M16" i="58"/>
  <c r="M19" i="58"/>
  <c r="N29" i="58"/>
  <c r="M32" i="58"/>
  <c r="M35" i="58"/>
  <c r="N41" i="58"/>
  <c r="L43" i="58"/>
  <c r="O46" i="58"/>
  <c r="L48" i="58"/>
  <c r="L53" i="58"/>
  <c r="O59" i="58"/>
  <c r="N59" i="58"/>
  <c r="M61" i="58"/>
  <c r="L61" i="58"/>
  <c r="L72" i="58"/>
  <c r="O72" i="58"/>
  <c r="N72" i="58"/>
  <c r="O16" i="58"/>
  <c r="O31" i="58"/>
  <c r="M31" i="58"/>
  <c r="N53" i="58"/>
  <c r="M57" i="58"/>
  <c r="L57" i="58"/>
  <c r="O57" i="58"/>
  <c r="N70" i="58"/>
  <c r="M70" i="58"/>
  <c r="L70" i="58"/>
  <c r="M12" i="58"/>
  <c r="L18" i="58"/>
  <c r="O19" i="58"/>
  <c r="M28" i="58"/>
  <c r="L31" i="58"/>
  <c r="L34" i="58"/>
  <c r="O35" i="58"/>
  <c r="L40" i="58"/>
  <c r="O43" i="58"/>
  <c r="L45" i="58"/>
  <c r="O48" i="58"/>
  <c r="L50" i="58"/>
  <c r="O53" i="58"/>
  <c r="N57" i="58"/>
  <c r="M59" i="58"/>
  <c r="O61" i="58"/>
  <c r="N66" i="58"/>
  <c r="M66" i="58"/>
  <c r="O70" i="58"/>
  <c r="O86" i="58"/>
  <c r="M86" i="58"/>
  <c r="L86" i="58"/>
  <c r="N9" i="58"/>
  <c r="N28" i="58"/>
  <c r="N31" i="58"/>
  <c r="N45" i="58"/>
  <c r="N50" i="58"/>
  <c r="L16" i="58"/>
  <c r="L19" i="58"/>
  <c r="L29" i="58"/>
  <c r="M46" i="58"/>
  <c r="O15" i="58"/>
  <c r="M15" i="58"/>
  <c r="O29" i="58"/>
  <c r="O32" i="58"/>
  <c r="M43" i="58"/>
  <c r="M48" i="58"/>
  <c r="M18" i="58"/>
  <c r="M34" i="58"/>
  <c r="O47" i="58"/>
  <c r="M47" i="58"/>
  <c r="O52" i="58"/>
  <c r="L52" i="58"/>
  <c r="M73" i="58"/>
  <c r="L73" i="58"/>
  <c r="O73" i="58"/>
  <c r="I3" i="58"/>
  <c r="I88" i="58" s="1"/>
  <c r="L4" i="58"/>
  <c r="O12" i="58"/>
  <c r="L17" i="58"/>
  <c r="N18" i="58"/>
  <c r="N21" i="58"/>
  <c r="M27" i="58"/>
  <c r="O28" i="58"/>
  <c r="L33" i="58"/>
  <c r="N34" i="58"/>
  <c r="N37" i="58"/>
  <c r="O40" i="58"/>
  <c r="L42" i="58"/>
  <c r="O45" i="58"/>
  <c r="L47" i="58"/>
  <c r="O50" i="58"/>
  <c r="M52" i="58"/>
  <c r="N54" i="58"/>
  <c r="L54" i="58"/>
  <c r="N62" i="58"/>
  <c r="M62" i="58"/>
  <c r="L62" i="58"/>
  <c r="L64" i="58"/>
  <c r="O64" i="58"/>
  <c r="N64" i="58"/>
  <c r="O66" i="58"/>
  <c r="N73" i="58"/>
  <c r="L41" i="58"/>
  <c r="O41" i="58"/>
  <c r="L9" i="58"/>
  <c r="L32" i="58"/>
  <c r="N12" i="58"/>
  <c r="N15" i="58"/>
  <c r="M40" i="58"/>
  <c r="M17" i="58"/>
  <c r="O21" i="58"/>
  <c r="O23" i="58"/>
  <c r="M23" i="58"/>
  <c r="M33" i="58"/>
  <c r="O37" i="58"/>
  <c r="O39" i="58"/>
  <c r="M39" i="58"/>
  <c r="N42" i="58"/>
  <c r="O44" i="58"/>
  <c r="L44" i="58"/>
  <c r="N47" i="58"/>
  <c r="N52" i="58"/>
  <c r="L56" i="58"/>
  <c r="N56" i="58"/>
  <c r="N58" i="58"/>
  <c r="M58" i="58"/>
  <c r="O62" i="58"/>
  <c r="M64" i="58"/>
  <c r="O67" i="58"/>
  <c r="N67" i="58"/>
  <c r="M69" i="58"/>
  <c r="L69" i="58"/>
  <c r="M55" i="58"/>
  <c r="M63" i="58"/>
  <c r="M71" i="58"/>
  <c r="N71" i="58"/>
  <c r="L60" i="58"/>
  <c r="L68" i="58"/>
  <c r="P151" i="74" l="1"/>
  <c r="P144" i="73"/>
  <c r="L116" i="72"/>
  <c r="P3" i="72"/>
  <c r="P116" i="72" s="1"/>
  <c r="P107" i="70"/>
  <c r="P105" i="68"/>
  <c r="L144" i="67"/>
  <c r="P3" i="67"/>
  <c r="P144" i="67" s="1"/>
  <c r="L129" i="61"/>
  <c r="P129" i="61"/>
  <c r="P24" i="59"/>
  <c r="P50" i="59"/>
  <c r="P52" i="59"/>
  <c r="P26" i="59"/>
  <c r="P70" i="59"/>
  <c r="P46" i="59"/>
  <c r="P85" i="59"/>
  <c r="P55" i="59"/>
  <c r="O136" i="60"/>
  <c r="P35" i="59"/>
  <c r="P51" i="59"/>
  <c r="P75" i="59"/>
  <c r="P71" i="59"/>
  <c r="P62" i="59"/>
  <c r="P59" i="59"/>
  <c r="P16" i="59"/>
  <c r="P101" i="59"/>
  <c r="P4" i="59"/>
  <c r="P3" i="59"/>
  <c r="P27" i="59"/>
  <c r="P11" i="59"/>
  <c r="P31" i="59"/>
  <c r="P19" i="59"/>
  <c r="P58" i="59"/>
  <c r="P34" i="59"/>
  <c r="P83" i="59"/>
  <c r="P13" i="59"/>
  <c r="P86" i="59"/>
  <c r="P97" i="59"/>
  <c r="P25" i="59"/>
  <c r="P20" i="59"/>
  <c r="P43" i="59"/>
  <c r="P67" i="59"/>
  <c r="P65" i="59"/>
  <c r="P17" i="59"/>
  <c r="P91" i="59"/>
  <c r="P96" i="59"/>
  <c r="P10" i="59"/>
  <c r="P100" i="59"/>
  <c r="P39" i="59"/>
  <c r="P81" i="59"/>
  <c r="P54" i="59"/>
  <c r="P12" i="59"/>
  <c r="P53" i="59"/>
  <c r="P88" i="59"/>
  <c r="P56" i="59"/>
  <c r="P45" i="59"/>
  <c r="P44" i="59"/>
  <c r="P49" i="59"/>
  <c r="P33" i="59"/>
  <c r="P57" i="59"/>
  <c r="P14" i="59"/>
  <c r="P80" i="59"/>
  <c r="P68" i="59"/>
  <c r="P28" i="59"/>
  <c r="P47" i="59"/>
  <c r="P6" i="59"/>
  <c r="P74" i="59"/>
  <c r="P29" i="59"/>
  <c r="P60" i="59"/>
  <c r="P5" i="59"/>
  <c r="P93" i="59"/>
  <c r="P18" i="59"/>
  <c r="P89" i="59"/>
  <c r="P21" i="59"/>
  <c r="P37" i="59"/>
  <c r="P38" i="59"/>
  <c r="P41" i="59"/>
  <c r="P63" i="59"/>
  <c r="P15" i="59"/>
  <c r="P77" i="59"/>
  <c r="P9" i="59"/>
  <c r="P22" i="59"/>
  <c r="P76" i="59"/>
  <c r="P95" i="59"/>
  <c r="P87" i="59"/>
  <c r="P78" i="59"/>
  <c r="P32" i="59"/>
  <c r="P90" i="59"/>
  <c r="P69" i="59"/>
  <c r="P48" i="59"/>
  <c r="P30" i="59"/>
  <c r="P72" i="59"/>
  <c r="P61" i="59"/>
  <c r="P23" i="59"/>
  <c r="P8" i="59"/>
  <c r="P7" i="59"/>
  <c r="P82" i="59"/>
  <c r="P36" i="59"/>
  <c r="P42" i="59"/>
  <c r="P73" i="59"/>
  <c r="P98" i="59"/>
  <c r="P66" i="59"/>
  <c r="P94" i="59"/>
  <c r="P40" i="59"/>
  <c r="P92" i="59"/>
  <c r="P79" i="59"/>
  <c r="P84" i="59"/>
  <c r="P64" i="59"/>
  <c r="L136" i="60"/>
  <c r="M136" i="60"/>
  <c r="N136" i="60"/>
  <c r="P4" i="58"/>
  <c r="P14" i="58"/>
  <c r="P83" i="58"/>
  <c r="P36" i="58"/>
  <c r="P8" i="58"/>
  <c r="P6" i="58"/>
  <c r="P7" i="58"/>
  <c r="P13" i="58"/>
  <c r="P20" i="58"/>
  <c r="P82" i="58"/>
  <c r="O103" i="59"/>
  <c r="M103" i="59"/>
  <c r="P99" i="59"/>
  <c r="L103" i="59"/>
  <c r="N103" i="59"/>
  <c r="P80" i="58"/>
  <c r="P27" i="58"/>
  <c r="P23" i="58"/>
  <c r="P77" i="58"/>
  <c r="P81" i="58"/>
  <c r="P74" i="58"/>
  <c r="P79" i="58"/>
  <c r="P75" i="58"/>
  <c r="P78" i="58"/>
  <c r="P76" i="58"/>
  <c r="P69" i="58"/>
  <c r="P29" i="58"/>
  <c r="P50" i="58"/>
  <c r="P30" i="58"/>
  <c r="P55" i="58"/>
  <c r="P39" i="58"/>
  <c r="P32" i="58"/>
  <c r="P19" i="58"/>
  <c r="P25" i="58"/>
  <c r="P28" i="58"/>
  <c r="P68" i="58"/>
  <c r="P15" i="58"/>
  <c r="P26" i="58"/>
  <c r="P44" i="58"/>
  <c r="P17" i="58"/>
  <c r="P9" i="58"/>
  <c r="P38" i="58"/>
  <c r="P48" i="58"/>
  <c r="P22" i="58"/>
  <c r="P71" i="58"/>
  <c r="P67" i="58"/>
  <c r="P66" i="58"/>
  <c r="P63" i="58"/>
  <c r="P61" i="58"/>
  <c r="P12" i="58"/>
  <c r="P5" i="58"/>
  <c r="P60" i="58"/>
  <c r="P59" i="58"/>
  <c r="P58" i="58"/>
  <c r="P52" i="58"/>
  <c r="P51" i="58"/>
  <c r="P54" i="58"/>
  <c r="P37" i="58"/>
  <c r="P57" i="58"/>
  <c r="P56" i="58"/>
  <c r="P16" i="58"/>
  <c r="P45" i="58"/>
  <c r="P18" i="58"/>
  <c r="P72" i="58"/>
  <c r="P43" i="58"/>
  <c r="P35" i="58"/>
  <c r="P49" i="58"/>
  <c r="P33" i="58"/>
  <c r="P41" i="58"/>
  <c r="L3" i="58"/>
  <c r="L88" i="58" s="1"/>
  <c r="N3" i="58"/>
  <c r="N88" i="58" s="1"/>
  <c r="M3" i="58"/>
  <c r="M88" i="58" s="1"/>
  <c r="O3" i="58"/>
  <c r="O88" i="58" s="1"/>
  <c r="P40" i="58"/>
  <c r="P85" i="58"/>
  <c r="P64" i="58"/>
  <c r="P70" i="58"/>
  <c r="P10" i="58"/>
  <c r="P47" i="58"/>
  <c r="P62" i="58"/>
  <c r="P21" i="58"/>
  <c r="P73" i="58"/>
  <c r="P34" i="58"/>
  <c r="P65" i="58"/>
  <c r="P42" i="58"/>
  <c r="P86" i="58"/>
  <c r="P31" i="58"/>
  <c r="P53" i="58"/>
  <c r="P46" i="58"/>
  <c r="P24" i="58"/>
  <c r="P11" i="58"/>
  <c r="P136" i="60" l="1"/>
  <c r="P103" i="59"/>
  <c r="P3" i="58"/>
  <c r="P88" i="5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3" authorId="0" shapeId="0" xr:uid="{68F804B6-64E4-44F9-A735-DE646FCEAF3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 
LOTE REPASSE 598046   22/05/25</t>
        </r>
      </text>
    </comment>
    <comment ref="B4" authorId="0" shapeId="0" xr:uid="{1C8E20B1-DC3D-4AC9-97E8-C7BA2C2AB4E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07-11-2025</t>
        </r>
      </text>
    </comment>
    <comment ref="B6" authorId="0" shapeId="0" xr:uid="{B201F3FE-99C3-41FA-8366-5A2D34F12FE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LUANA
ESTORNO DE COMISSAO
RECIBO 606794 
DATA 07/11/2025</t>
        </r>
      </text>
    </comment>
    <comment ref="B7" authorId="0" shapeId="0" xr:uid="{5B26FB4C-A162-4804-8299-9BE3942089E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LUANA
ESTORNO DE COMISSAO
RECIBO 595352 04/04/2025</t>
        </r>
      </text>
    </comment>
    <comment ref="B8" authorId="0" shapeId="0" xr:uid="{A815D456-9A80-4CDF-BEAF-473EC2E0C2F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LUANA</t>
        </r>
      </text>
    </comment>
    <comment ref="B13" authorId="0" shapeId="0" xr:uid="{A39A4ECC-A83C-4B10-8EE6-62C25455A21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LUANA</t>
        </r>
      </text>
    </comment>
    <comment ref="B18" authorId="0" shapeId="0" xr:uid="{1D6E66D5-001A-4FD7-978D-A27E4A684E1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23" authorId="0" shapeId="0" xr:uid="{727067C8-C4BA-42C2-8027-063F2C9B712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28" authorId="0" shapeId="0" xr:uid="{E182B202-4E1F-4458-8B2B-4BE549D359B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31" authorId="0" shapeId="0" xr:uid="{EAFAA964-80CB-475A-99B1-8DB32392DB1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33" authorId="0" shapeId="0" xr:uid="{0B07AF84-867C-454F-8F7F-557F1F6ED75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 
LOTE REPASSE 597135   09/05/25</t>
        </r>
      </text>
    </comment>
    <comment ref="B39" authorId="0" shapeId="0" xr:uid="{1CE79152-35BB-49A3-8EDC-09A4440B5EC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Aliança Financeiro:
ESTORNO DE COMISSAO
RECIBO 604809 
DATA 03/10/25</t>
        </r>
      </text>
    </comment>
    <comment ref="B43" authorId="0" shapeId="0" xr:uid="{863B1F10-04B5-48D7-8BFB-684EF592EA9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05-09-2025</t>
        </r>
      </text>
    </comment>
    <comment ref="B50" authorId="0" shapeId="0" xr:uid="{25E6FC33-2279-4A22-8ACF-EFAA51DAA6D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 
LOTE REPASSE 597135   09/05/25</t>
        </r>
      </text>
    </comment>
    <comment ref="B70" authorId="0" shapeId="0" xr:uid="{B8355A2B-AB45-497C-B356-44AEFA6CDCF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600935 
DATA 18/07/2025</t>
        </r>
      </text>
    </comment>
    <comment ref="B79" authorId="0" shapeId="0" xr:uid="{86745430-730A-4388-8DFF-74B1C83EFB5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LOJA QUE VAI PAGAR
CANCELADO REPASSE
596641</t>
        </r>
      </text>
    </comment>
    <comment ref="B80" authorId="0" shapeId="0" xr:uid="{7B2142BF-2091-41DA-8976-328E4B19C7A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LOJA QUE VAI PAGAR
Aliança Financeiro:
ESTORNO DE COMISSAO
RECIBO 607794 
DATA 19/11/25</t>
        </r>
      </text>
    </comment>
    <comment ref="B81" authorId="0" shapeId="0" xr:uid="{FF12D630-D072-456D-BDEF-4F8D8A3BBE1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LOJA QUE VAI PAGAR
CANCELADO REPASSE
596641</t>
        </r>
      </text>
    </comment>
    <comment ref="B82" authorId="0" shapeId="0" xr:uid="{5C37D2EE-ED40-42CA-AC64-6340591B7D2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LOJA QUE VAI PAGAR
CANCELADO REPASSE
596641</t>
        </r>
      </text>
    </comment>
    <comment ref="B83" authorId="0" shapeId="0" xr:uid="{43720ADD-DD70-479C-B29B-F4F6B46676F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LOJA QUE VAI PAGAR
CANCELADO REPASSE
596641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6" authorId="0" shapeId="0" xr:uid="{A8E9F81E-DCB4-44D7-8CDE-DA451253777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8" authorId="0" shapeId="0" xr:uid="{8CEBBC67-F1BF-4633-B495-DB651379C90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10" authorId="0" shapeId="0" xr:uid="{5B1C2A77-3AF0-4DC2-8849-1747288045B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16" authorId="0" shapeId="0" xr:uid="{A867F31C-2A20-4610-85C6-31BCA9821A2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20" authorId="0" shapeId="0" xr:uid="{7E0126DB-DC61-45BB-8290-C0EDF227805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29" authorId="0" shapeId="0" xr:uid="{009ACC75-55E7-4B11-B6A4-744349AA01D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5-09-2025</t>
        </r>
      </text>
    </comment>
    <comment ref="B30" authorId="0" shapeId="0" xr:uid="{B0514F94-5C97-416D-AC6C-F8E7B8469C0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597592   16/05/2025</t>
        </r>
      </text>
    </comment>
    <comment ref="B33" authorId="0" shapeId="0" xr:uid="{0C3E5724-A0FB-4646-8BC0-F3E0EA5DBF5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36" authorId="0" shapeId="0" xr:uid="{8D8D1F27-90D1-4091-8A61-295A59951A6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596242   17/04/2025</t>
        </r>
      </text>
    </comment>
    <comment ref="B41" authorId="0" shapeId="0" xr:uid="{A3DDF320-0348-4EE2-AF7B-5D076A60ACD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597592   16/05/2025</t>
        </r>
      </text>
    </comment>
    <comment ref="B42" authorId="0" shapeId="0" xr:uid="{4A7E77C8-814D-4400-9893-A3C0277FA99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58" authorId="0" shapeId="0" xr:uid="{74927629-3479-47A9-997E-5EE48555C00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5-09-2025</t>
        </r>
      </text>
    </comment>
    <comment ref="B71" authorId="0" shapeId="0" xr:uid="{5A29F844-D03E-4419-9025-97B8D283EE8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602279 
DATA 15/08/2025</t>
        </r>
      </text>
    </comment>
    <comment ref="B76" authorId="0" shapeId="0" xr:uid="{386B2128-FB0D-4646-8CF4-AD70B2A0191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SUELANE DIA 14/3/2025</t>
        </r>
      </text>
    </comment>
    <comment ref="B80" authorId="0" shapeId="0" xr:uid="{0D945B3E-2CA0-4725-BC1B-A0327CF66DA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597592   16/05/2025</t>
        </r>
      </text>
    </comment>
    <comment ref="B87" authorId="0" shapeId="0" xr:uid="{E6CFA901-D920-4108-8E4C-4676C7B512D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89" authorId="0" shapeId="0" xr:uid="{A5257BAF-3F8D-4A7B-BF20-94F78B93E48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11" authorId="0" shapeId="0" xr:uid="{2BDA1060-FC00-43B8-81F4-936581B2BAD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29" authorId="0" shapeId="0" xr:uid="{C4A460FB-956D-439B-817C-8441F55B118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07/11/2025</t>
        </r>
      </text>
    </comment>
    <comment ref="B40" authorId="0" shapeId="0" xr:uid="{57441C93-0060-489B-AD08-F36015C0E5E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47" authorId="0" shapeId="0" xr:uid="{4BF3838C-40D1-4BC9-AC3D-1D5C72CEE79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598543 
DATA 06-06-2025</t>
        </r>
      </text>
    </comment>
    <comment ref="B48" authorId="0" shapeId="0" xr:uid="{E0CB93B4-16AA-4CA1-A7CD-CEE845AF614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B58" authorId="0" shapeId="0" xr:uid="{1224034B-C9E5-4107-8315-96F0B82764C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83" authorId="0" shapeId="0" xr:uid="{CC7F3B81-ACD0-4560-BEE4-BBCFEB573AE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602279 
DATA 15/08/2025</t>
        </r>
      </text>
    </comment>
    <comment ref="B85" authorId="0" shapeId="0" xr:uid="{D3E86282-5641-4026-A8CE-75BA9CE85B5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87" authorId="0" shapeId="0" xr:uid="{C6393527-4A88-4B49-AB24-CC639ED3565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599034 
DATA 13-06-2025</t>
        </r>
      </text>
    </comment>
    <comment ref="B94" authorId="0" shapeId="0" xr:uid="{1989B1B3-E821-4251-8EF1-5F4CAF2FBC4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603776 
DATA 12-09-2025</t>
        </r>
      </text>
    </comment>
    <comment ref="B96" authorId="0" shapeId="0" xr:uid="{48541342-7C05-4F1D-8B75-1418C9EA0BF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605804 
DATA 17/10/25</t>
        </r>
      </text>
    </comment>
    <comment ref="B97" authorId="0" shapeId="0" xr:uid="{D2737D38-B968-4110-87AC-CE19E0D0622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600935 
DATA 18/07/2025</t>
        </r>
      </text>
    </comment>
    <comment ref="B103" authorId="0" shapeId="0" xr:uid="{4AA36CEB-9914-4F3B-9EB4-2335D5A72DF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599498 
DATA 23-06-2025</t>
        </r>
      </text>
    </comment>
    <comment ref="B106" authorId="0" shapeId="0" xr:uid="{E0873E0E-7725-4792-B3CE-F75F0F3B34C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112" authorId="0" shapeId="0" xr:uid="{2D439405-3949-4116-8D9D-BFF9278909A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B116" authorId="0" shapeId="0" xr:uid="{D33A3B46-C328-4B76-881F-03114B8DF7E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600935 
DATA 18/07/2025</t>
        </r>
      </text>
    </comment>
    <comment ref="B124" authorId="0" shapeId="0" xr:uid="{A1F13BEE-A1E9-4F83-943C-935E0BBE4A7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D130" authorId="0" shapeId="0" xr:uid="{800848FA-CEB5-457D-8443-9E2AF0D0D9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IMNFORMAÇÃO REP0ASSADA POR SUELANA EM 13-06-25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D5" authorId="0" shapeId="0" xr:uid="{B15CE4B7-5FFF-4907-A145-3D6F599B40A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INFORMAÇÃO REPASSAD POR SUELANE  EM 13-06-2025</t>
        </r>
      </text>
    </comment>
    <comment ref="B6" authorId="0" shapeId="0" xr:uid="{C2334A73-3DC7-4A47-81F1-F9D3F2FEB9C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8" authorId="0" shapeId="0" xr:uid="{4F330147-1F7F-4721-AAAA-13537489663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9" authorId="0" shapeId="0" xr:uid="{4AC9C5E5-4DEA-45B6-91C8-1C0989C4C4B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15" authorId="0" shapeId="0" xr:uid="{DF3F2DAB-B85E-4395-A674-7E770300975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19" authorId="0" shapeId="0" xr:uid="{5DA1B8FD-1E76-41F7-807B-BB67A2F3A91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599034 
DATA 13-06-2025</t>
        </r>
      </text>
    </comment>
    <comment ref="B20" authorId="0" shapeId="0" xr:uid="{93A94909-340E-4542-B715-05DB6C478A4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21" authorId="0" shapeId="0" xr:uid="{CE9FFE4B-BC5D-4409-80F5-EE8470FC28F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601797 
DATA 08/08/2025</t>
        </r>
      </text>
    </comment>
    <comment ref="B36" authorId="0" shapeId="0" xr:uid="{53A330CC-DE4C-4ADD-AD89-C77DA8E1C59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49" authorId="0" shapeId="0" xr:uid="{EE98808B-1F05-49E8-A0EA-145C48FDBC1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600451 
DATA 11/07/2025</t>
        </r>
      </text>
    </comment>
    <comment ref="D63" authorId="0" shapeId="0" xr:uid="{3AB20FC3-ACED-404D-BAC3-B0CBEEEC80D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INFORMAÇÃO REPASSAD POR SUELANE  EM 13-06-2025</t>
        </r>
      </text>
    </comment>
    <comment ref="B65" authorId="0" shapeId="0" xr:uid="{FD91DA1F-429C-4E63-BC7B-CBAE7C0B576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67" authorId="0" shapeId="0" xr:uid="{CCE6426C-C8A5-4754-B21E-CE28A746921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D75" authorId="0" shapeId="0" xr:uid="{CEDDE0C6-CE86-41DF-B998-84736970665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EM JULHO</t>
        </r>
      </text>
    </comment>
    <comment ref="B83" authorId="0" shapeId="0" xr:uid="{3ACAA419-13B7-45B6-B2E7-5E11FA271FC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B90" authorId="0" shapeId="0" xr:uid="{86D17583-C7F9-4045-9474-51B8AB995DB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D96" authorId="0" shapeId="0" xr:uid="{ED55DDCC-6576-4284-A862-CC47A1A8C91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INFORMAÇÃO REPASSAD POR SUELANE  EM 13-06-2025</t>
        </r>
      </text>
    </comment>
    <comment ref="B109" authorId="0" shapeId="0" xr:uid="{472648E7-03B0-4535-A7BA-495F585A86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05-09-2025</t>
        </r>
      </text>
    </comment>
    <comment ref="D110" authorId="0" shapeId="0" xr:uid="{3C6E34CC-231F-4134-9F16-CA8052CF20D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INFORMAÇÃO REPASSAD POR SUELANE  EM 13-06-2025</t>
        </r>
      </text>
    </comment>
    <comment ref="B111" authorId="0" shapeId="0" xr:uid="{1B3D799D-5157-4FB8-A26B-47A1BFE3DD9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600935 
DATA 18/07/2025</t>
        </r>
      </text>
    </comment>
    <comment ref="B117" authorId="0" shapeId="0" xr:uid="{60812989-B9FF-43E9-AFA2-40C9A206D7C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118" authorId="0" shapeId="0" xr:uid="{E6BCA65A-4984-43D2-904C-0AEFBE21E2E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123" authorId="0" shapeId="0" xr:uid="{48F80040-C9A2-4A78-B555-E016B91828E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4" authorId="0" shapeId="0" xr:uid="{B58FE769-7069-46FB-9102-9B11FF38174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6" authorId="0" shapeId="0" xr:uid="{9EB04899-20DC-43BC-9179-2A68815659F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602752 
DATA 22/08/2025</t>
        </r>
      </text>
    </comment>
    <comment ref="B7" authorId="0" shapeId="0" xr:uid="{B9489248-78E5-475A-9E89-D46D1FFD242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10" authorId="0" shapeId="0" xr:uid="{CC439B64-4088-44AD-91EA-A3195C156F6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599987 
DATA 04/07/2025</t>
        </r>
      </text>
    </comment>
    <comment ref="B18" authorId="0" shapeId="0" xr:uid="{A353FA93-A911-4D7A-8617-3C2A158F153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D22" authorId="0" shapeId="0" xr:uid="{261714F9-3D23-4456-A636-1C98D71606E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EM 13-06-25</t>
        </r>
      </text>
    </comment>
    <comment ref="B38" authorId="0" shapeId="0" xr:uid="{6D5EC008-8285-480A-9264-8A50AC0FCAF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B40" authorId="0" shapeId="0" xr:uid="{F5DFEF01-F81F-4E44-AFEE-51C10512E57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05-09-2025</t>
        </r>
      </text>
    </comment>
    <comment ref="B47" authorId="0" shapeId="0" xr:uid="{5324A29E-C832-4081-B7A2-A8FEB229286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07/11/25</t>
        </r>
      </text>
    </comment>
    <comment ref="B53" authorId="0" shapeId="0" xr:uid="{66F923DC-C644-409B-A009-4561CF871FA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5-09-2025</t>
        </r>
      </text>
    </comment>
    <comment ref="B57" authorId="0" shapeId="0" xr:uid="{4144B5A1-1EF4-47B8-B9EE-E56B0B22555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62" authorId="0" shapeId="0" xr:uid="{C9280153-9DAA-4C27-93DE-E3C48053589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605303 
DATA 10/10/25</t>
        </r>
      </text>
    </comment>
    <comment ref="B64" authorId="0" shapeId="0" xr:uid="{E84B1601-4F06-49A8-991E-E84B5535FDF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07/11/25</t>
        </r>
      </text>
    </comment>
    <comment ref="B67" authorId="0" shapeId="0" xr:uid="{4F8BF4AA-DD06-44E1-BF4F-0DE40994654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68" authorId="0" shapeId="0" xr:uid="{9A0344C0-9986-492D-9B44-BBC53D3ACD4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B89" authorId="0" shapeId="0" xr:uid="{14EE678D-48DE-4B37-B484-405532BABEE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605804 
DATA 17/10/25</t>
        </r>
      </text>
    </comment>
    <comment ref="B90" authorId="0" shapeId="0" xr:uid="{46EE8FFE-E5AA-42CB-BB93-E66D9906FFE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100" authorId="0" shapeId="0" xr:uid="{B697C46F-E0EA-4FA4-9574-4855FE6A4A0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102" authorId="0" shapeId="0" xr:uid="{373DCD97-67CF-476E-931E-EA465FD004F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B111" authorId="0" shapeId="0" xr:uid="{731ED42F-8AA5-4398-B927-0929E35DA27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599498 
DATA 23-06-2025</t>
        </r>
      </text>
    </comment>
    <comment ref="B133" authorId="0" shapeId="0" xr:uid="{CCD67702-B8AC-419E-9B50-CF6D30F46D7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B134" authorId="0" shapeId="0" xr:uid="{0C3C4D8D-C2C3-4CF4-ACAC-A0752EFCFC5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05-09-2025</t>
        </r>
      </text>
    </comment>
    <comment ref="B137" authorId="0" shapeId="0" xr:uid="{5B497817-E48F-4D28-B030-3CE6B2900C5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D138" authorId="0" shapeId="0" xr:uid="{623B52AE-A415-46CE-A5DE-01CAB1C6EAF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EM JULHO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3" authorId="0" shapeId="0" xr:uid="{FFB0FB00-8CE3-4D93-979B-5B844721615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8" authorId="0" shapeId="0" xr:uid="{5AE05548-91D1-41BB-A2BD-83D829C0648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11" authorId="0" shapeId="0" xr:uid="{94E56F0C-B302-45C7-A864-11376E58CB4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Aliança Financeiro:
ESTORNO DE COMISSAO
RECIBO 604809 
DATA 03/10/25</t>
        </r>
      </text>
    </comment>
    <comment ref="B18" authorId="0" shapeId="0" xr:uid="{D3D3E883-8B48-423B-877E-3672454B884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20" authorId="0" shapeId="0" xr:uid="{0219DA4B-B943-4D79-BF59-506B0352DBA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24" authorId="0" shapeId="0" xr:uid="{21C95BF6-053B-4A8F-B37C-82D4B26A576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26" authorId="0" shapeId="0" xr:uid="{2EF222A4-0B8A-4368-B289-13D98957597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30" authorId="0" shapeId="0" xr:uid="{37FD3847-8BBD-448D-AE1E-2E476090CD8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39" authorId="0" shapeId="0" xr:uid="{52BE07C3-723B-4152-98B7-99753DDA4A7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40" authorId="0" shapeId="0" xr:uid="{C6783CAD-1E99-4DF2-9887-7C18C84114B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42" authorId="0" shapeId="0" xr:uid="{CBC2A799-251F-4387-87F2-EC778D32B61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D45" authorId="0" shapeId="0" xr:uid="{582D52CB-313E-40CB-8C43-76ECCA23CA3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EM JULHO</t>
        </r>
      </text>
    </comment>
    <comment ref="B51" authorId="0" shapeId="0" xr:uid="{96622018-B7A6-4B8A-BD95-55A9FF20598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52" authorId="0" shapeId="0" xr:uid="{B5E85770-41A1-477A-9BE5-9111A96E655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64" authorId="0" shapeId="0" xr:uid="{C6C519AF-B122-43F5-8817-07409C7B79E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69" authorId="0" shapeId="0" xr:uid="{84A1627E-FAD3-4A1F-A65A-692273554D0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606274 
DATA 23/10/25</t>
        </r>
      </text>
    </comment>
    <comment ref="B71" authorId="0" shapeId="0" xr:uid="{C124CDFA-2FAE-4ED6-86DC-EB351DEB17F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603268 
DATA 5-09-2025</t>
        </r>
      </text>
    </comment>
    <comment ref="D92" authorId="0" shapeId="0" xr:uid="{D5D3027C-3B25-4BE8-ADB0-3A8A94EFE8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INFORMACAO SUELANE EM JULHO</t>
        </r>
      </text>
    </comment>
    <comment ref="B93" authorId="0" shapeId="0" xr:uid="{E4869B1D-01F9-428B-B519-3A16E9DB8F1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95" authorId="0" shapeId="0" xr:uid="{4E86CEE0-EAA0-4AB8-AEBF-65AA577F19E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604282 
DATA 19-09-2025</t>
        </r>
      </text>
    </comment>
    <comment ref="B100" authorId="0" shapeId="0" xr:uid="{8520A4E6-E33F-45AC-A48A-3D379D135D0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606274 
DATA 23/10/25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B3" authorId="0" shapeId="0" xr:uid="{C689976D-24D0-4D8F-A753-FF97183D02F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7" authorId="0" shapeId="0" xr:uid="{9E2AD271-BD63-495D-8464-320AE74A105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16" authorId="0" shapeId="0" xr:uid="{6ADE05D0-8BEA-4A21-AEAA-76A287AFDAC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17" authorId="0" shapeId="0" xr:uid="{B5913436-000B-4500-8999-140568B06BC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606274 
DATA 23/10/25</t>
        </r>
      </text>
    </comment>
    <comment ref="B18" authorId="0" shapeId="0" xr:uid="{44C433A2-0118-4FA9-A4D3-3860C2E42D1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B20" authorId="0" shapeId="0" xr:uid="{EE42C231-FE6B-4C48-AF77-540CA1997D1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23" authorId="0" shapeId="0" xr:uid="{982BCBD9-69C8-45E9-9BE8-40D437A4870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24" authorId="0" shapeId="0" xr:uid="{EA928A1D-28CF-42F4-9E86-EF9610C4B64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604809 
DATA 03/10/25</t>
        </r>
      </text>
    </comment>
    <comment ref="B26" authorId="0" shapeId="0" xr:uid="{2A2B63F2-7BEC-40B3-93A5-B99A6F07A6E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07/11/2025</t>
        </r>
      </text>
    </comment>
    <comment ref="B41" authorId="0" shapeId="0" xr:uid="{506D4FAF-CC1C-436D-95D9-072577C24FA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B42" authorId="0" shapeId="0" xr:uid="{EBDC8432-C38B-431B-BD29-B14210CBF32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Aliança Financeiro:
ESTORNO DE COMISSAO
RECIBO 604809 
DATA 03/10/25</t>
        </r>
      </text>
    </comment>
    <comment ref="B43" authorId="0" shapeId="0" xr:uid="{2CBE7255-7B44-40B8-A30D-C71B99944A2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SUELANE DIA 31/10/2025</t>
        </r>
      </text>
    </comment>
    <comment ref="D43" authorId="0" shapeId="0" xr:uid="{DE93A1CF-7F93-40CA-95F3-C332F030D4B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SUELANE DIA 31/10/2025</t>
        </r>
      </text>
    </comment>
    <comment ref="B56" authorId="0" shapeId="0" xr:uid="{CC9D7DC8-2258-48BC-AE38-3193D04558B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B57" authorId="0" shapeId="0" xr:uid="{49371A84-5685-425D-AB0A-5153FF851AE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B67" authorId="0" shapeId="0" xr:uid="{B270B8B7-CCDB-4FCA-836F-BE3227BFA74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07/11/2025</t>
        </r>
      </text>
    </comment>
    <comment ref="B84" authorId="0" shapeId="0" xr:uid="{6FC44DD2-47A1-4F5B-B5BC-7A6C0F86C96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603776 
DATA 05-09-2025</t>
        </r>
      </text>
    </comment>
    <comment ref="D85" authorId="0" shapeId="0" xr:uid="{81806844-B0CD-4805-9A15-48443562A65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SUELANE DIA 31/10/2025</t>
        </r>
      </text>
    </comment>
    <comment ref="B97" authorId="0" shapeId="0" xr:uid="{D59FD362-BA97-43A5-9202-C57F2B1856E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98" authorId="0" shapeId="0" xr:uid="{F3EF301C-B49F-4C78-A1D9-9616DB23EA8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</authors>
  <commentList>
    <comment ref="D9" authorId="0" shapeId="0" xr:uid="{9EC72B55-11EF-46CB-8E39-1214C1E6BAC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INFORMAÇAÕ SUELANE
17/11/2025</t>
        </r>
      </text>
    </comment>
    <comment ref="B19" authorId="0" shapeId="0" xr:uid="{CCF3745E-0A1A-4CF9-851E-9B6E382CD0D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22" authorId="0" shapeId="0" xr:uid="{AADC46E1-4BE7-4D6A-96A5-26F406BC314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27" authorId="0" shapeId="0" xr:uid="{2CE24C2C-613A-4609-B0B8-FBDBCC975F3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33" authorId="0" shapeId="0" xr:uid="{6157B8A8-8E8C-4664-8870-5FC0A93FEED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52" authorId="0" shapeId="0" xr:uid="{5EC83897-88B0-408B-932C-A0887747F49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B56" authorId="0" shapeId="0" xr:uid="{21DAEC99-0187-4C0E-87DA-A90FDA370FF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D60" authorId="0" shapeId="0" xr:uid="{2F5193A1-3D6D-437C-ADEE-D5BBC9C0EE2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INFORMAÇAÕ SUELANE
17/11/2025</t>
        </r>
      </text>
    </comment>
    <comment ref="B73" authorId="0" shapeId="0" xr:uid="{F4B301C8-C4BA-4268-8702-79BECF17C97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75" authorId="0" shapeId="0" xr:uid="{67CFE607-A416-4052-B626-BB786445F12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92" authorId="0" shapeId="0" xr:uid="{EE40C12F-FDE8-4ECF-AFF5-C62FFC8D511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94" authorId="0" shapeId="0" xr:uid="{F7E24171-7003-4F91-B041-73A334C33FE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Aliança Financeiro:
ESTORNO DE COMISSAO
RECIBO 607794 
DATA 19/11/25</t>
        </r>
      </text>
    </comment>
    <comment ref="B98" authorId="0" shapeId="0" xr:uid="{D21996B5-FDBB-451F-9D29-E008AAE848B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B112" authorId="0" shapeId="0" xr:uid="{764BCD69-C9A5-46DC-94FC-8CE1799B0A7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  <author>tc={C73AB15C-D2BB-4982-B57E-ABC1813F3819}</author>
  </authors>
  <commentList>
    <comment ref="B4" authorId="0" shapeId="0" xr:uid="{3306A6E0-131D-43AD-B492-2943600A0A8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6" authorId="0" shapeId="0" xr:uid="{756B5F24-430B-4799-96C9-D18F9394DC1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9" authorId="0" shapeId="0" xr:uid="{513F9945-4529-499F-9107-B220A494DD6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29" authorId="0" shapeId="0" xr:uid="{188448C8-3957-4BBD-9181-5D989486499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52" authorId="0" shapeId="0" xr:uid="{F3DCBA76-9F98-401E-A361-0EB933013ED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58" authorId="0" shapeId="0" xr:uid="{C6A43402-A3E7-4C6E-AA6E-699E1807218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61" authorId="0" shapeId="0" xr:uid="{340B1A54-B66C-4891-ABCF-6FC261B3226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66" authorId="0" shapeId="0" xr:uid="{A18A065F-F1CA-4184-A064-85B8B13493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608322
DATA 05/12/2025</t>
        </r>
      </text>
    </comment>
    <comment ref="B72" authorId="0" shapeId="0" xr:uid="{CB549946-E067-4F83-BFD7-F2CB0BF6860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73" authorId="0" shapeId="0" xr:uid="{6FF53A45-F48C-4160-B806-4AA684230F8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79" authorId="0" shapeId="0" xr:uid="{36960E89-6572-451E-B8D4-817424C764F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82" authorId="0" shapeId="0" xr:uid="{3C266B9E-1875-4150-9412-D6CD2127B0F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B92" authorId="0" shapeId="0" xr:uid="{3169BC6F-6726-48CB-9F27-52F6A2E20FD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94" authorId="0" shapeId="0" xr:uid="{DEBB93A2-F559-43F2-B0A1-779487E0626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99" authorId="0" shapeId="0" xr:uid="{488D5BD3-BB8F-452D-A36C-57C33D05CBF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100" authorId="0" shapeId="0" xr:uid="{84FD37AA-380C-492B-A8CB-4475BB48D2C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103" authorId="0" shapeId="0" xr:uid="{278A880E-84B2-4177-B77F-33375F575AF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104" authorId="0" shapeId="0" xr:uid="{62F17752-E357-43A1-919E-0F428AF436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B107" authorId="0" shapeId="0" xr:uid="{01EC6F87-4D77-43A0-BC10-1668A73E5D4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B112" authorId="0" shapeId="0" xr:uid="{B5DC2F47-58FA-44FB-9957-0AE3F6606F8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113" authorId="0" shapeId="0" xr:uid="{F07A74F8-F3CC-44B3-8BFD-4441ECC1BF7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D136" authorId="0" shapeId="0" xr:uid="{35475C24-7CDF-4FC6-8389-2F886631B2A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DE SUELANE 17/11/25</t>
        </r>
      </text>
    </comment>
    <comment ref="D139" authorId="1" shapeId="0" xr:uid="{C73AB15C-D2BB-4982-B57E-ABC1813F38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 SEGURO A VISTA CNH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  <author>tc={F3954004-C5EB-44E4-9059-00207FD251A9}</author>
    <author>tc={8F36CAFB-4D32-47A6-9BF7-AC2B47CD3B93}</author>
    <author>tc={CC59C04F-0ACF-4323-8BF5-492B7EE4AD22}</author>
    <author>tc={0B24CC99-8ACE-499C-9B8B-952CF1B0B2FE}</author>
    <author>tc={99ED8B04-C3C0-4F06-A2CA-16E28244D035}</author>
    <author>tc={0B9CA0FD-62FE-44D7-868E-2242336A046D}</author>
    <author>tc={880A089B-845E-46A0-BA73-9207155E6EA8}</author>
    <author>tc={8982F921-1DF5-4E8B-8CE7-59B6716CD982}</author>
    <author>Aliança Seguros</author>
    <author>tc={D27A1CCE-574E-4B3C-8D40-5834D1BC43AC}</author>
    <author>tc={14FAF778-B591-4BC7-8241-0A40839ABF03}</author>
    <author>tc={B6B5C9B9-B3F1-463B-B65F-0B1975CB3CC2}</author>
    <author>tc={B76DA7D6-0714-408A-B164-9B4EBC44E1B3}</author>
    <author>tc={A6EA0FAA-54A6-4034-9DF1-F78524CC9F4D}</author>
    <author>tc={63DBB648-F4C6-4752-B3A3-70C125859061}</author>
    <author>tc={25B13049-258A-44E1-B733-F3CD04C180A1}</author>
    <author>tc={185CF822-0438-4F3E-9891-74E002862269}</author>
    <author>tc={D5D8E249-E9BD-43DE-9B7D-1ACC4E66E8C1}</author>
    <author>tc={A7561667-5CBE-4338-B3A5-A4182A7CD796}</author>
    <author>tc={9DD58A7E-03AC-418F-8197-ABC0A6EB63C0}</author>
    <author>tc={1BA226E0-1F8F-4C6D-B35C-D8BDACF16D11}</author>
    <author>tc={0CDB2418-8966-45E2-8D4C-6699C4BBB665}</author>
    <author>tc={606E2834-C2AC-449E-9831-20AB363FF3BB}</author>
    <author>tc={3BA2995E-D44C-420D-B02A-9DA3A5E695E1}</author>
    <author>tc={EEB5E097-C274-421E-B1F7-FA00518404CA}</author>
    <author>tc={25AC2387-A4CA-4135-A3EB-8E85691A5736}</author>
    <author>tc={FEF279F5-5971-467B-800D-685F2C4D47B3}</author>
    <author>tc={C56DDA3A-CC26-42D6-AE51-44AF57CE0D71}</author>
    <author>tc={8117299D-5B0D-40FB-BEF3-FC6924FB6868}</author>
    <author>tc={9BC11D7E-B6BC-4265-981C-EB463C922271}</author>
    <author>tc={603CEFA2-23A2-416E-8CF2-6897BBAB3EDF}</author>
  </authors>
  <commentList>
    <comment ref="B5" authorId="0" shapeId="0" xr:uid="{055E20A0-835C-49ED-BBD1-1463AD70D39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D5" authorId="1" shapeId="0" xr:uid="{F3954004-C5EB-44E4-9059-00207FD251A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UMA PARCELA DO SEG PAGO PELA LOJA </t>
      </text>
    </comment>
    <comment ref="B11" authorId="0" shapeId="0" xr:uid="{75866216-7BF0-4472-88CF-32E7C6A4414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B21" authorId="0" shapeId="0" xr:uid="{74933CD0-A2B3-47C6-85F6-8A72EC2CE5F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D21" authorId="2" shapeId="0" xr:uid="{8F36CAFB-4D32-47A6-9BF7-AC2B47CD3B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VAI PAGAR 2 PARCELAS DO SEGURO</t>
      </text>
    </comment>
    <comment ref="D24" authorId="0" shapeId="0" xr:uid="{DDAD33B7-371A-4A85-99AE-58F80E264AB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INFORMAÇAO DE SUELANE 17/11/25</t>
        </r>
      </text>
    </comment>
    <comment ref="B29" authorId="0" shapeId="0" xr:uid="{1DCE1495-285C-46A5-B21D-9F888E0A4CA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36" authorId="3" shapeId="0" xr:uid="{CC59C04F-0ACF-4323-8BF5-492B7EE4AD2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PAGARA 1 PARCELA DO CNH </t>
      </text>
    </comment>
    <comment ref="B37" authorId="0" shapeId="0" xr:uid="{100F45C1-019C-4593-B57C-98F05D67FE4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37" authorId="4" shapeId="0" xr:uid="{0B24CC99-8ACE-499C-9B8B-952CF1B0B2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PAGARA 2 PARCELAS DO CNH</t>
      </text>
    </comment>
    <comment ref="B38" authorId="0" shapeId="0" xr:uid="{73EFBE73-924F-4877-9C7A-EBBC680CEFA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Aliança Financeiro:
ESTORNO DE COMISSAO
RECIBO 612249
DATA 06/03/2026</t>
        </r>
      </text>
    </comment>
    <comment ref="E38" authorId="5" shapeId="0" xr:uid="{99ED8B04-C3C0-4F06-A2CA-16E28244D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SEGURO CNH</t>
      </text>
    </comment>
    <comment ref="B41" authorId="0" shapeId="0" xr:uid="{30D0D0EF-DB6E-4326-ABE9-84AD3DCCAB4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47" authorId="6" shapeId="0" xr:uid="{0B9CA0FD-62FE-44D7-868E-2242336A046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UM BOLETO ÚNICO CNH </t>
      </text>
    </comment>
    <comment ref="B52" authorId="0" shapeId="0" xr:uid="{C9CEB6A4-8CD6-4F18-9578-F5B4098CC7A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B54" authorId="0" shapeId="0" xr:uid="{91630755-1883-47A8-8419-77B3735D6B6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56" authorId="0" shapeId="0" xr:uid="{4909DAE7-FFC5-434C-9B65-E12EC1A082F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608849 
DATA17/12/2025</t>
        </r>
      </text>
    </comment>
    <comment ref="B57" authorId="0" shapeId="0" xr:uid="{B3671CD0-5A42-4895-A4D4-6BF4D02E230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B59" authorId="0" shapeId="0" xr:uid="{139DCA47-0E99-4329-B015-CAD7113FC8A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607794 
DATA 19/11/25</t>
        </r>
      </text>
    </comment>
    <comment ref="E59" authorId="7" shapeId="0" xr:uid="{880A089B-845E-46A0-BA73-9207155E6EA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APENAS 2 BOLETOS CNH </t>
      </text>
    </comment>
    <comment ref="B60" authorId="0" shapeId="0" xr:uid="{7D48A21F-A520-4CBF-8ACD-852DD827C54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E60" authorId="8" shapeId="0" xr:uid="{8982F921-1DF5-4E8B-8CE7-59B6716CD9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CNH A</t>
      </text>
    </comment>
    <comment ref="E61" authorId="9" shapeId="0" xr:uid="{C6D3C07A-20E5-448D-B906-F6C937E42592}">
      <text>
        <r>
          <rPr>
            <b/>
            <sz val="9"/>
            <color indexed="81"/>
            <rFont val="Segoe UI"/>
            <family val="2"/>
          </rPr>
          <t>Aliança Seguros:</t>
        </r>
        <r>
          <rPr>
            <sz val="9"/>
            <color indexed="81"/>
            <rFont val="Segoe UI"/>
            <family val="2"/>
          </rPr>
          <t xml:space="preserve">
A LOJA PAGA   2 PARCELA CNH </t>
        </r>
      </text>
    </comment>
    <comment ref="B62" authorId="0" shapeId="0" xr:uid="{A1751AC5-1965-4B69-93DA-0DCBDFFED57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62" authorId="9" shapeId="0" xr:uid="{C42D5175-E312-4366-B9F0-FAF61781AF33}">
      <text>
        <r>
          <rPr>
            <b/>
            <sz val="9"/>
            <color indexed="81"/>
            <rFont val="Segoe UI"/>
            <family val="2"/>
          </rPr>
          <t>Aliança Seguros:</t>
        </r>
        <r>
          <rPr>
            <sz val="9"/>
            <color indexed="81"/>
            <rFont val="Segoe UI"/>
            <family val="2"/>
          </rPr>
          <t xml:space="preserve">
A LOJA PAGA 1 PARCELA CNH </t>
        </r>
      </text>
    </comment>
    <comment ref="B67" authorId="0" shapeId="0" xr:uid="{5C36281B-DE0D-49D1-9E31-37AAA3333D5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67" authorId="10" shapeId="0" xr:uid="{D27A1CCE-574E-4B3C-8D40-5834D1BC43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CNH</t>
      </text>
    </comment>
    <comment ref="B69" authorId="0" shapeId="0" xr:uid="{9B3928B5-12C5-4F2D-BFEF-B668F55BECA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73" authorId="0" shapeId="0" xr:uid="{CD7909BD-7DB6-491A-B109-FCDD00DC55B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B76" authorId="0" shapeId="0" xr:uid="{805C67A6-FAFF-4C96-AA99-28AA58CF013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E76" authorId="11" shapeId="0" xr:uid="{14FAF778-B591-4BC7-8241-0A40839AB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CNH</t>
      </text>
    </comment>
    <comment ref="B78" authorId="0" shapeId="0" xr:uid="{C3CCDA7E-B948-4894-8D93-13B6C38DC8D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E78" authorId="12" shapeId="0" xr:uid="{B6B5C9B9-B3F1-463B-B65F-0B1975CB3C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CNH</t>
      </text>
    </comment>
    <comment ref="B79" authorId="0" shapeId="0" xr:uid="{F21B1739-F4D0-4B88-9DE9-BF1FBA83A09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E79" authorId="13" shapeId="0" xr:uid="{B76DA7D6-0714-408A-B164-9B4EBC44E1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 CNH</t>
      </text>
    </comment>
    <comment ref="B80" authorId="0" shapeId="0" xr:uid="{F06772AA-6381-4218-B64A-AC34FCB16C5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80" authorId="14" shapeId="0" xr:uid="{A6EA0FAA-54A6-4034-9DF1-F78524CC9F4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CNH </t>
      </text>
    </comment>
    <comment ref="B81" authorId="0" shapeId="0" xr:uid="{FEFE75D3-0F16-4A91-BB18-6F5A58AC1F8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96" authorId="0" shapeId="0" xr:uid="{13D616E4-1359-4C49-8781-7A351A93F2F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606794 
DATA 07/11/2025</t>
        </r>
      </text>
    </comment>
    <comment ref="E97" authorId="15" shapeId="0" xr:uid="{63DBB648-F4C6-4752-B3A3-70C1258590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CNH</t>
      </text>
    </comment>
    <comment ref="E98" authorId="16" shapeId="0" xr:uid="{25B13049-258A-44E1-B733-F3CD04C180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1 SÓ PARCELA CNH</t>
      </text>
    </comment>
    <comment ref="E99" authorId="17" shapeId="0" xr:uid="{185CF822-0438-4F3E-9891-74E0028622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1 SÓ PARCELA  CNH</t>
      </text>
    </comment>
    <comment ref="E100" authorId="18" shapeId="0" xr:uid="{D5D8E249-E9BD-43DE-9B7D-1ACC4E66E8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SEGO CNH</t>
      </text>
    </comment>
    <comment ref="B101" authorId="0" shapeId="0" xr:uid="{9D81706F-0A44-4CED-96B5-F9711EBFC8C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E101" authorId="19" shapeId="0" xr:uid="{A7561667-5CBE-4338-B3A5-A4182A7CD7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SÓ 1 PARCELA DO CNH</t>
      </text>
    </comment>
    <comment ref="E115" authorId="20" shapeId="0" xr:uid="{9DD58A7E-03AC-418F-8197-ABC0A6EB63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SEGURO CNH</t>
      </text>
    </comment>
    <comment ref="E117" authorId="21" shapeId="0" xr:uid="{1BA226E0-1F8F-4C6D-B35C-D8BDACF16D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118" authorId="0" shapeId="0" xr:uid="{C7B81F66-1C7A-4F9F-93DD-2E332F06015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118" authorId="22" shapeId="0" xr:uid="{0CDB2418-8966-45E2-8D4C-6699C4BBB66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B119" authorId="0" shapeId="0" xr:uid="{66B69329-1CD0-432E-B85D-74DA2B7ECEA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119" authorId="23" shapeId="0" xr:uid="{606E2834-C2AC-449E-9831-20AB363FF3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20" authorId="24" shapeId="0" xr:uid="{3BA2995E-D44C-420D-B02A-9DA3A5E695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1 PARCELA SEG CNH</t>
      </text>
    </comment>
    <comment ref="B122" authorId="0" shapeId="0" xr:uid="{2856AB1F-DA9C-49AF-92C1-89680CE6BB8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E130" authorId="25" shapeId="0" xr:uid="{EEB5E097-C274-421E-B1F7-FA00518404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VAI PAGAR 2 PARCELAS DO SEG CNH</t>
      </text>
    </comment>
    <comment ref="B131" authorId="0" shapeId="0" xr:uid="{08298851-5E08-4340-AA01-507954E11A22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E131" authorId="26" shapeId="0" xr:uid="{25AC2387-A4CA-4135-A3EB-8E85691A57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SEG CNG</t>
      </text>
    </comment>
    <comment ref="B132" authorId="0" shapeId="0" xr:uid="{44F31651-A73B-4C5F-875A-66CA1DB4369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609862 
DATA 16/01/2026</t>
        </r>
      </text>
    </comment>
    <comment ref="E132" authorId="27" shapeId="0" xr:uid="{FEF279F5-5971-467B-800D-685F2C4D47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SEG CNH</t>
      </text>
    </comment>
    <comment ref="B133" authorId="0" shapeId="0" xr:uid="{D47303F8-F7B4-4BF0-8676-4C8DED33E06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133" authorId="28" shapeId="0" xr:uid="{C56DDA3A-CC26-42D6-AE51-44AF57CE0D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DO SEG CNH</t>
      </text>
    </comment>
    <comment ref="E134" authorId="29" shapeId="0" xr:uid="{8117299D-5B0D-40FB-BEF3-FC6924FB68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O SEG CNH</t>
      </text>
    </comment>
    <comment ref="E135" authorId="30" shapeId="0" xr:uid="{9BC11D7E-B6BC-4265-981C-EB463C9222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SER CNH</t>
      </text>
    </comment>
    <comment ref="B144" authorId="0" shapeId="0" xr:uid="{8A9D4ED2-41E6-4BA8-A007-6FCB246D659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147" authorId="0" shapeId="0" xr:uid="{7E185BC1-644A-4B3C-9F58-2BB4283B3C4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D148" authorId="31" shapeId="0" xr:uid="{603CEFA2-23A2-416E-8CF2-6897BBAB3ED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SEGURO PAGO PELA LOJA A VISTA 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tc={9836C7EC-B832-4B1E-8562-78C467EACEF4}</author>
    <author>Aliança Financeiro</author>
    <author>tc={516AD52A-8753-42D0-A104-EBBE1926A7A4}</author>
    <author>tc={8A333966-4FB4-41C5-8388-FA2C4573146C}</author>
    <author>tc={9B1EF57D-F0CC-4044-945D-13FB6BB2B322}</author>
    <author>tc={0C6EFDB4-ED70-45BC-9588-36D196A11409}</author>
    <author>tc={1DD19DC0-BE6A-493E-9244-DB45948A4FFC}</author>
    <author>tc={F2C629F3-1893-41FD-A2CB-9AB48499AA7C}</author>
    <author>tc={12118582-7E11-46F0-8C9C-D5C0A0672B55}</author>
    <author>tc={49BDD01C-9875-4363-831F-86C4C4C2F4C5}</author>
    <author>tc={7E4C48C5-A945-4362-A811-DE764520667B}</author>
    <author>tc={F31F29FA-0981-4C63-96D4-131B866AB725}</author>
    <author>tc={ACD310BB-895F-4245-972E-DD9F3528ED23}</author>
    <author>tc={51C991A7-0C13-42CC-B6FD-31EFDE2E5281}</author>
    <author>tc={772B7312-BFA3-4398-AA54-4484C1C06684}</author>
    <author>tc={87AD20BB-7EBF-4264-AFE1-6C2536FF0155}</author>
    <author>tc={8DEF3CFC-E315-46FB-975C-5F40AB315A15}</author>
    <author>tc={D91DFCDB-46E1-4F07-B1C1-F9115F1C7FE8}</author>
    <author>tc={0E40755A-363A-427A-9B8F-1EC3C48A6B16}</author>
    <author>tc={6CFBDF19-FF25-4FF0-848D-B65778C56A9E}</author>
    <author>tc={92C66130-BFFA-4FE7-826F-ACA33AC1CE47}</author>
    <author>tc={C3600374-927E-49FD-8FD5-AE5D186B844E}</author>
    <author>tc={1ECBE287-9A1A-4256-AA53-96CA56EDCA57}</author>
    <author>tc={DF401961-20E9-45F3-A5B9-2F925AB3A57D}</author>
  </authors>
  <commentList>
    <comment ref="F4" authorId="0" shapeId="0" xr:uid="{9836C7EC-B832-4B1E-8562-78C467EACE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6" authorId="1" shapeId="0" xr:uid="{9D585279-8A9A-43AA-8913-1E79D781F18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9" authorId="1" shapeId="0" xr:uid="{1110F9D2-0412-44BA-AB75-6482502A1A1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E12" authorId="2" shapeId="0" xr:uid="{516AD52A-8753-42D0-A104-EBBE1926A7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23" authorId="3" shapeId="0" xr:uid="{8A333966-4FB4-41C5-8388-FA2C457314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DO SEG CNH</t>
      </text>
    </comment>
    <comment ref="B29" authorId="1" shapeId="0" xr:uid="{ECADE71F-7071-434B-8A4A-061510625D8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B32" authorId="1" shapeId="0" xr:uid="{767DDA70-767A-4AE7-8471-14C408057C0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32" authorId="4" shapeId="0" xr:uid="{9B1EF57D-F0CC-4044-945D-13FB6BB2B3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NPAGA 1 PARCELA SEG CNH</t>
      </text>
    </comment>
    <comment ref="E33" authorId="5" shapeId="0" xr:uid="{0C6EFDB4-ED70-45BC-9588-36D196A114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34" authorId="6" shapeId="0" xr:uid="{1DD19DC0-BE6A-493E-9244-DB45948A4F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42" authorId="1" shapeId="0" xr:uid="{E3079484-D338-4FFB-A89A-32F71B30FF2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44" authorId="1" shapeId="0" xr:uid="{A3329EFD-F2DE-4F47-9A9F-CD593346EA1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44" authorId="7" shapeId="0" xr:uid="{F2C629F3-1893-41FD-A2CB-9AB48499AA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46" authorId="8" shapeId="0" xr:uid="{12118582-7E11-46F0-8C9C-D5C0A0672B5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</t>
      </text>
    </comment>
    <comment ref="E47" authorId="9" shapeId="0" xr:uid="{49BDD01C-9875-4363-831F-86C4C4C2F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 SEG CNH</t>
      </text>
    </comment>
    <comment ref="B48" authorId="1" shapeId="0" xr:uid="{2A79B08A-FB9D-4692-86A9-79D184D468A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48" authorId="10" shapeId="0" xr:uid="{7E4C48C5-A945-4362-A811-DE76452066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B52" authorId="1" shapeId="0" xr:uid="{4ECD84E8-2026-4DE2-9F67-F7DA5D8DED2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54" authorId="1" shapeId="0" xr:uid="{9827200F-60BD-455D-BE60-DC0F6B49DCF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61" authorId="1" shapeId="0" xr:uid="{B514E739-ECCA-4D2E-B4F3-4E0659EF7F8B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E65" authorId="11" shapeId="0" xr:uid="{F31F29FA-0981-4C63-96D4-131B866AB72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66" authorId="12" shapeId="0" xr:uid="{ACD310BB-895F-4245-972E-DD9F3528ED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80" authorId="1" shapeId="0" xr:uid="{688C00D4-988E-4A2F-A0AF-C34849EA134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B86" authorId="1" shapeId="0" xr:uid="{5D99E2CF-A175-469E-9A5F-CD55E8539A8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610872 
DATA 06/02/2026</t>
        </r>
      </text>
    </comment>
    <comment ref="E86" authorId="13" shapeId="0" xr:uid="{51C991A7-0C13-42CC-B6FD-31EFDE2E52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NPAGA 1 PARCELA SEG CNH</t>
      </text>
    </comment>
    <comment ref="B92" authorId="1" shapeId="0" xr:uid="{37A24699-E844-4746-BC77-3F1A6A38A53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609391 
DATA 09/01/2026</t>
        </r>
      </text>
    </comment>
    <comment ref="E97" authorId="14" shapeId="0" xr:uid="{772B7312-BFA3-4398-AA54-4484C1C0668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98" authorId="1" shapeId="0" xr:uid="{177E5C64-B91C-4391-84C6-A2A730737C3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98" authorId="15" shapeId="0" xr:uid="{87AD20BB-7EBF-4264-AFE1-6C2536FF015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B99" authorId="1" shapeId="0" xr:uid="{1DBF59BD-4698-4B87-B431-3719BCD358A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E99" authorId="16" shapeId="0" xr:uid="{8DEF3CFC-E315-46FB-975C-5F40AB315A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B100" authorId="1" shapeId="0" xr:uid="{651210AF-CB68-4713-AB60-B88EB0EEAFE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100" authorId="17" shapeId="0" xr:uid="{D91DFCDB-46E1-4F07-B1C1-F9115F1C7FE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 </t>
      </text>
    </comment>
    <comment ref="B104" authorId="1" shapeId="0" xr:uid="{65E1C5FA-9245-4B48-B364-CF5CF00D532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B108" authorId="1" shapeId="0" xr:uid="{7DEA1672-0E77-4766-8167-0CD27979605F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E108" authorId="18" shapeId="0" xr:uid="{0E40755A-363A-427A-9B8F-1EC3C48A6B1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PAGA1 PARCELA SEG CNH</t>
      </text>
    </comment>
    <comment ref="B109" authorId="1" shapeId="0" xr:uid="{BAD1FC11-A34B-4748-A9F7-90DCF244871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B111" authorId="1" shapeId="0" xr:uid="{7216E5FE-2330-422E-B6E4-A3231407471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611755  
DATA 20/02/2026</t>
        </r>
      </text>
    </comment>
    <comment ref="B115" authorId="1" shapeId="0" xr:uid="{0ABB027D-A4AB-4BE4-8F68-56F79AB5BBA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B118" authorId="1" shapeId="0" xr:uid="{27E07885-DB2E-477D-B29B-97B2367B245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118" authorId="19" shapeId="0" xr:uid="{6CFBDF19-FF25-4FF0-848D-B65778C56A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 SEG CNH</t>
      </text>
    </comment>
    <comment ref="B119" authorId="1" shapeId="0" xr:uid="{70693C8D-195F-4A12-969B-8FAFD49EB9A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119" authorId="20" shapeId="0" xr:uid="{92C66130-BFFA-4FE7-826F-ACA33AC1CE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B120" authorId="1" shapeId="0" xr:uid="{B67CEFD5-DB69-4EA2-B77B-CC83C394CA7E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613229
DATA 20/03/2026</t>
        </r>
      </text>
    </comment>
    <comment ref="E120" authorId="21" shapeId="0" xr:uid="{C3600374-927E-49FD-8FD5-AE5D186B84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21" authorId="22" shapeId="0" xr:uid="{1ECBE287-9A1A-4256-AA53-96CA56EDCA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PAQRCELA SEG CNH</t>
      </text>
    </comment>
    <comment ref="E122" authorId="23" shapeId="0" xr:uid="{DF401961-20E9-45F3-A5B9-2F925AB3A5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 </t>
      </text>
    </comment>
    <comment ref="B123" authorId="1" shapeId="0" xr:uid="{E1068BD1-54E3-4790-9E52-84A327DF5FD5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Aliança Financeiro</author>
    <author>tc={582CA0C7-3E1B-49F7-B109-0996883BF503}</author>
    <author>tc={ABC9FD8B-00F8-4AC5-8BF3-EDC31A42C472}</author>
    <author>tc={007EDDE9-9C33-4025-B4C2-3EAC569D2407}</author>
    <author>tc={C1B1C016-E798-44D9-BB01-9AB81FA12D6C}</author>
    <author>tc={013A8F64-C352-42A2-A7A5-9082BAE4FAB0}</author>
    <author>tc={B2064D28-8E54-4BC7-9173-3AB85C7A6EC1}</author>
    <author>tc={0974FE39-284C-4AE8-AB32-C5FC5A618977}</author>
    <author>tc={3F139226-999D-4893-8F3D-40C58A249290}</author>
    <author>tc={2F725D49-B52B-4687-85DE-E2D03D6D6D13}</author>
    <author>tc={70AE089B-077B-4FAC-87C0-ADDBC9290E01}</author>
    <author>tc={9AE7B1FB-239E-4B26-8EBF-4C01439644A1}</author>
    <author>tc={550F8267-97B1-487B-B7AA-E5A95555CB1C}</author>
    <author>tc={5BF4006C-80F0-4A0C-9ECC-D2067431E59F}</author>
    <author>tc={F56C0B5D-C258-4EF8-A62D-4D184825C100}</author>
    <author>tc={B5B10DB6-2857-4160-866A-CCCCFC46252C}</author>
    <author>tc={537775A2-98E3-4AB4-B583-C12E2F6B7394}</author>
    <author>tc={2774CD30-5C91-43D5-A470-D36BD40334BC}</author>
    <author>tc={40A8E3EC-E0CD-490A-A702-CA9B92ECD88D}</author>
    <author>tc={451EA271-FF12-4491-AC29-A2FFA3E3F0C5}</author>
    <author>tc={126B45C5-4E9B-441A-BCFD-CB7BAFC31160}</author>
    <author>tc={4080781E-80AF-4C0D-BECA-4F42CC2B41CA}</author>
    <author>tc={61975C39-A713-43F6-B783-64ED161377E5}</author>
    <author>tc={CC8C025D-8F61-4462-8AAA-6B6E2E91ECB7}</author>
    <author>tc={72DB7A28-6055-4C9A-A55D-CA0F019C87FA}</author>
    <author>tc={2A926E13-6A06-4BBA-B5E3-2F84400339D7}</author>
    <author>tc={3FDAFBB5-8EDC-4CD3-AC10-8E492610570E}</author>
    <author>tc={2C889713-0843-4BAD-8472-58947C5958AA}</author>
    <author>tc={229540AD-0B0E-40BF-AC07-AE8EFAD0E985}</author>
  </authors>
  <commentList>
    <comment ref="B9" authorId="0" shapeId="0" xr:uid="{4D12236E-451A-4846-9520-C17F016E379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9" authorId="1" shapeId="0" xr:uid="{582CA0C7-3E1B-49F7-B109-0996883BF5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DUAS PARCELAS SEG CNH</t>
      </text>
    </comment>
    <comment ref="B15" authorId="0" shapeId="0" xr:uid="{7DDEE9BC-6400-496B-B094-CE0607CD614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15" authorId="2" shapeId="0" xr:uid="{ABC9FD8B-00F8-4AC5-8BF3-EDC31A42C4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PAGA2 PARCELAS SEG CNH</t>
      </text>
    </comment>
    <comment ref="E16" authorId="3" shapeId="0" xr:uid="{007EDDE9-9C33-4025-B4C2-3EAC569D24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1 X SEG CNH</t>
      </text>
    </comment>
    <comment ref="E17" authorId="4" shapeId="0" xr:uid="{C1B1C016-E798-44D9-BB01-9AB81FA12D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18" authorId="5" shapeId="0" xr:uid="{013A8F64-C352-42A2-A7A5-9082BAE4FAB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 </t>
      </text>
    </comment>
    <comment ref="B21" authorId="0" shapeId="0" xr:uid="{C1A78733-4E19-42F6-AE4A-E8989AC65CC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B23" authorId="0" shapeId="0" xr:uid="{196C90C8-4936-4FB6-BF00-AC3108273E56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INFORMADO SUELANE
DIA 8/01/26</t>
        </r>
      </text>
    </comment>
    <comment ref="B25" authorId="0" shapeId="0" xr:uid="{1E151296-44A1-471F-AD6B-92689D9EB75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31" authorId="0" shapeId="0" xr:uid="{4A9042AB-82B3-4E76-A69A-8023786B48E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E47" authorId="6" shapeId="0" xr:uid="{B2064D28-8E54-4BC7-9173-3AB85C7A6E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55" authorId="7" shapeId="0" xr:uid="{0974FE39-284C-4AE8-AB32-C5FC5A6189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64" authorId="8" shapeId="0" xr:uid="{3F139226-999D-4893-8F3D-40C58A2492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B66" authorId="0" shapeId="0" xr:uid="{4139E56E-1482-4863-A90E-4D13151D22F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611362 
DATA 13/02/2026</t>
        </r>
      </text>
    </comment>
    <comment ref="B68" authorId="0" shapeId="0" xr:uid="{93770BF1-FE02-4AEB-8E53-E8AD09C07598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72" authorId="0" shapeId="0" xr:uid="{2D8CF03C-9031-4E5A-B334-49014FE30C0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E72" authorId="9" shapeId="0" xr:uid="{2F725D49-B52B-4687-85DE-E2D03D6D6D1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73" authorId="10" shapeId="0" xr:uid="{70AE089B-077B-4FAC-87C0-ADDBC9290E0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PARCELA ÚNICA SEG CNH</t>
      </text>
    </comment>
    <comment ref="B74" authorId="0" shapeId="0" xr:uid="{EC1A9A76-21A5-4EE6-A648-3D94A891E81D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E74" authorId="11" shapeId="0" xr:uid="{9AE7B1FB-239E-4B26-8EBF-4C01439644A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 </t>
      </text>
    </comment>
    <comment ref="B75" authorId="0" shapeId="0" xr:uid="{15D44A7B-7FBB-4480-840E-5125C2C4347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75" authorId="12" shapeId="0" xr:uid="{550F8267-97B1-487B-B7AA-E5A95555CB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B76" authorId="0" shapeId="0" xr:uid="{42BB3D7A-F750-4714-9F9A-C94576FB8723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614261
DATA 10/04/2026</t>
        </r>
      </text>
    </comment>
    <comment ref="E76" authorId="13" shapeId="0" xr:uid="{5BF4006C-80F0-4A0C-9ECC-D2067431E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E77" authorId="14" shapeId="0" xr:uid="{F56C0B5D-C258-4EF8-A62D-4D184825C1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3 PARCELAS SEG CNH</t>
      </text>
    </comment>
    <comment ref="B81" authorId="0" shapeId="0" xr:uid="{C19BE931-FAD2-409C-8A66-7BF908463EE9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B82" authorId="0" shapeId="0" xr:uid="{EE564BB8-B54F-4838-A3CD-1BA8CFF79FD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610354 
DATA 23/01/2026</t>
        </r>
      </text>
    </comment>
    <comment ref="E87" authorId="15" shapeId="0" xr:uid="{B5B10DB6-2857-4160-866A-CCCCFC4625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SEG TOTAL CNH</t>
      </text>
    </comment>
    <comment ref="E88" authorId="16" shapeId="0" xr:uid="{537775A2-98E3-4AB4-B583-C12E2F6B73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SEG TOTAL CNH</t>
      </text>
    </comment>
    <comment ref="B89" authorId="0" shapeId="0" xr:uid="{8FF6CE69-A258-4E02-94C2-6E8ACF503BD1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89" authorId="17" shapeId="0" xr:uid="{2774CD30-5C91-43D5-A470-D36BD40334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F90" authorId="18" shapeId="0" xr:uid="{40A8E3EC-E0CD-490A-A702-CA9B92ECD8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PAGATOTAL SEG CNH</t>
      </text>
    </comment>
    <comment ref="E91" authorId="19" shapeId="0" xr:uid="{451EA271-FF12-4491-AC29-A2FFA3E3F0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LOJAPAGA TOTAL SEG CNH</t>
      </text>
    </comment>
    <comment ref="B105" authorId="0" shapeId="0" xr:uid="{F0E41A7A-190B-44CC-929A-D0DA6D65F6BC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E107" authorId="20" shapeId="0" xr:uid="{126B45C5-4E9B-441A-BCFD-CB7BAFC311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TOTALSEG CNH</t>
      </text>
    </comment>
    <comment ref="E108" authorId="21" shapeId="0" xr:uid="{4080781E-80AF-4C0D-BECA-4F42CC2B41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09" authorId="22" shapeId="0" xr:uid="{61975C39-A713-43F6-B783-64ED161377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 </t>
      </text>
    </comment>
    <comment ref="B113" authorId="0" shapeId="0" xr:uid="{A3B936C1-DFBC-4E77-BD19-EE5496145FC0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613764
DATA 02/04/2026</t>
        </r>
      </text>
    </comment>
    <comment ref="B119" authorId="0" shapeId="0" xr:uid="{F2517458-F0D8-43A2-B6FF-A51B317B84C4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E126" authorId="23" shapeId="0" xr:uid="{CC8C025D-8F61-4462-8AAA-6B6E2E91E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27" authorId="24" shapeId="0" xr:uid="{72DB7A28-6055-4C9A-A55D-CA0F019C87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B128" authorId="0" shapeId="0" xr:uid="{A01DA158-49EB-4FCB-80E2-92B168B2D6AA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612249
DATA 06/03/2026</t>
        </r>
      </text>
    </comment>
    <comment ref="E128" authorId="25" shapeId="0" xr:uid="{2A926E13-6A06-4BBA-B5E3-2F84400339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  <comment ref="B129" authorId="0" shapeId="0" xr:uid="{BBB7540B-D996-48E4-895B-2B7B2FFD46E7}">
      <text>
        <r>
          <rPr>
            <b/>
            <sz val="9"/>
            <color indexed="81"/>
            <rFont val="Segoe UI"/>
            <family val="2"/>
          </rPr>
          <t>Aliança Financeiro:</t>
        </r>
        <r>
          <rPr>
            <sz val="9"/>
            <color indexed="81"/>
            <rFont val="Segoe UI"/>
            <family val="2"/>
          </rPr>
          <t xml:space="preserve">
ESTORNO DE COMISSAO
RECIBO 614725
DATA 17/04/2026</t>
        </r>
      </text>
    </comment>
    <comment ref="E129" authorId="26" shapeId="0" xr:uid="{3FDAFBB5-8EDC-4CD3-AC10-8E49261057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2 PARCELAS SEG CNH</t>
      </text>
    </comment>
    <comment ref="E130" authorId="27" shapeId="0" xr:uid="{2C889713-0843-4BAD-8472-58947C5958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TOTAL SEG CNH</t>
      </text>
    </comment>
    <comment ref="E131" authorId="28" shapeId="0" xr:uid="{229540AD-0B0E-40BF-AC07-AE8EFAD0E9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LOJA PAGA 1 PARCELA SEG CNH</t>
      </text>
    </comment>
  </commentList>
</comments>
</file>

<file path=xl/sharedStrings.xml><?xml version="1.0" encoding="utf-8"?>
<sst xmlns="http://schemas.openxmlformats.org/spreadsheetml/2006/main" count="6154" uniqueCount="1803">
  <si>
    <t>QTDE</t>
  </si>
  <si>
    <t>CLIENTE</t>
  </si>
  <si>
    <t xml:space="preserve">MODELO </t>
  </si>
  <si>
    <t>Nº APÓLICE</t>
  </si>
  <si>
    <t>PROPOSTA</t>
  </si>
  <si>
    <t>VALOR PRÊMIO TOTAL</t>
  </si>
  <si>
    <t>VALOR TAXA IOF</t>
  </si>
  <si>
    <t>PROMOÇÃO (1ª PARCELA)</t>
  </si>
  <si>
    <t>SALDO RESTANTE</t>
  </si>
  <si>
    <t>VENDEDOR</t>
  </si>
  <si>
    <t>CRÉDITO RESTANTE</t>
  </si>
  <si>
    <t>TOTAL</t>
  </si>
  <si>
    <t>CG 160 START</t>
  </si>
  <si>
    <t>BOLETO</t>
  </si>
  <si>
    <t>JACIEL</t>
  </si>
  <si>
    <t>ELIZIANE AVELINO CASSEMIRO</t>
  </si>
  <si>
    <t>CARTAO</t>
  </si>
  <si>
    <t>SUELANE</t>
  </si>
  <si>
    <t>XRE 190</t>
  </si>
  <si>
    <t>BIZ 125</t>
  </si>
  <si>
    <t xml:space="preserve">HORTENCIA </t>
  </si>
  <si>
    <t xml:space="preserve">ISAAC SOARES DE OLIVEIRA </t>
  </si>
  <si>
    <t xml:space="preserve">JOSE CAMILO DA SILVA </t>
  </si>
  <si>
    <t>UEVERTON</t>
  </si>
  <si>
    <t>MARIZA</t>
  </si>
  <si>
    <t>DAIANE</t>
  </si>
  <si>
    <t>JOSIRENE</t>
  </si>
  <si>
    <t>LUIZ GONZAGA VITORINO</t>
  </si>
  <si>
    <t xml:space="preserve">MARCELO DA SILVA PEREIRA </t>
  </si>
  <si>
    <t xml:space="preserve">NXR 160 BROS </t>
  </si>
  <si>
    <t>CG 160 TITAN</t>
  </si>
  <si>
    <t>CB 300 TWISTER</t>
  </si>
  <si>
    <t>CANCELOU</t>
  </si>
  <si>
    <t xml:space="preserve">ANA ALICE </t>
  </si>
  <si>
    <t xml:space="preserve">ADRIANO ALVES DA SILVA </t>
  </si>
  <si>
    <t>NXR 160 BROS</t>
  </si>
  <si>
    <t>MICHAEL</t>
  </si>
  <si>
    <t xml:space="preserve">MARIA DAS VITORIAS XAVIER DA SILVA </t>
  </si>
  <si>
    <t xml:space="preserve">CARTAO </t>
  </si>
  <si>
    <t xml:space="preserve">MARCELO RIBEIRO MACENA DOS SANTOS </t>
  </si>
  <si>
    <t xml:space="preserve">DJANILSON </t>
  </si>
  <si>
    <t xml:space="preserve">SUELANE </t>
  </si>
  <si>
    <t xml:space="preserve">XRE 300 SAHARA </t>
  </si>
  <si>
    <t xml:space="preserve">FORMA DE PGTO </t>
  </si>
  <si>
    <t>COM CONCESSIONARIA</t>
  </si>
  <si>
    <t>COM CORRETORA</t>
  </si>
  <si>
    <t>COMISSÃO VEND</t>
  </si>
  <si>
    <t>COMISSÃO GER</t>
  </si>
  <si>
    <t xml:space="preserve">JACIEL </t>
  </si>
  <si>
    <t>PAULO</t>
  </si>
  <si>
    <t xml:space="preserve">ERIQUE </t>
  </si>
  <si>
    <t>JANDEILSON</t>
  </si>
  <si>
    <t xml:space="preserve">BIZ 125 ES </t>
  </si>
  <si>
    <t xml:space="preserve">JOAO LUCAS </t>
  </si>
  <si>
    <t>BIZ 125 ES</t>
  </si>
  <si>
    <t xml:space="preserve">EDUARDO MARTINS SANTOS </t>
  </si>
  <si>
    <t>CG 160 FAN FLEX</t>
  </si>
  <si>
    <t> 7686039</t>
  </si>
  <si>
    <t>MANOEL DO NASCIMENTO NETO</t>
  </si>
  <si>
    <t>POP 110I ES</t>
  </si>
  <si>
    <t>SANDRA MERE DE OLIVEIRA SANTANA</t>
  </si>
  <si>
    <t xml:space="preserve">CARTÃO </t>
  </si>
  <si>
    <t>FRANCISCO DE ASSI DOS SANTOS</t>
  </si>
  <si>
    <t xml:space="preserve">NXR 160 BROS CBS </t>
  </si>
  <si>
    <t xml:space="preserve">TIAGO CAMELO DE LIMA </t>
  </si>
  <si>
    <t xml:space="preserve">CG 160 CARGO </t>
  </si>
  <si>
    <t xml:space="preserve">ANDRE BERNARDO DO VALE </t>
  </si>
  <si>
    <t xml:space="preserve">MARIA EDUARDA COELHO </t>
  </si>
  <si>
    <t xml:space="preserve">BOLETO </t>
  </si>
  <si>
    <t>Marinesio Benedito dos Santos</t>
  </si>
  <si>
    <t>BIZ 125 EX</t>
  </si>
  <si>
    <t>JOSE IBIAPINA SIMPLICIO DA SILVA</t>
  </si>
  <si>
    <t>FABRICIO DOS SANTOS SILVA</t>
  </si>
  <si>
    <t>JOEL MARTINS DE SOUZA</t>
  </si>
  <si>
    <t>139907326 RENOVA</t>
  </si>
  <si>
    <t>EVENNY PEREIRA NUNES</t>
  </si>
  <si>
    <t>MARIA LIGIANE DA SILVA SOUZA</t>
  </si>
  <si>
    <t xml:space="preserve">JOAO EDUARDO FONSECA PINHEIRO </t>
  </si>
  <si>
    <t xml:space="preserve">NXR 160 BOS </t>
  </si>
  <si>
    <t>ROBERTO</t>
  </si>
  <si>
    <t xml:space="preserve">VALBERIO LIMA DA SILVA </t>
  </si>
  <si>
    <t>MARCELA VERISSIMO DAS FLORES</t>
  </si>
  <si>
    <t>LUCIANO RODRIGUES DE SALES</t>
  </si>
  <si>
    <t xml:space="preserve">MARIA GILVANDA FELIX SANTOS </t>
  </si>
  <si>
    <t xml:space="preserve">EDILEUSA QUERINO DA SILVA </t>
  </si>
  <si>
    <t xml:space="preserve">MARIA JOZILEUDA MOURA DOS SANTOS </t>
  </si>
  <si>
    <t xml:space="preserve">MARIA DA VITORIA DANTAS SILVA </t>
  </si>
  <si>
    <t xml:space="preserve">DANIEL FELIPE DE SOUZA </t>
  </si>
  <si>
    <t xml:space="preserve">JOALY INGRID SILVA GUEDES </t>
  </si>
  <si>
    <t xml:space="preserve">MICHEL RIBEIRO GOMES DA SILVA </t>
  </si>
  <si>
    <t xml:space="preserve">JOSE ERINALDO RIBEIRO DOS SANTOS </t>
  </si>
  <si>
    <t xml:space="preserve">FLAVIA DE FREITAS ALVES DIAS </t>
  </si>
  <si>
    <t xml:space="preserve">VALDECIR ALVES DA SILVA </t>
  </si>
  <si>
    <t>MARIA DO CARMO BRITO</t>
  </si>
  <si>
    <t xml:space="preserve">JOSINETE MOREIRA DELFINO </t>
  </si>
  <si>
    <t xml:space="preserve">BIZ 125 EX  </t>
  </si>
  <si>
    <t xml:space="preserve">MARIA JOSE ALVES LUIS DA CRUZ </t>
  </si>
  <si>
    <t xml:space="preserve">MARCOS ANTONIO COSTA DOS SANTOS </t>
  </si>
  <si>
    <t xml:space="preserve">MARCONE GOMES DA SILVA </t>
  </si>
  <si>
    <t>NXR 160 BROS ABS</t>
  </si>
  <si>
    <t xml:space="preserve">FERNANDA SILVA DOS SANTOS </t>
  </si>
  <si>
    <t xml:space="preserve">JOSE SANTOS DA SILVA </t>
  </si>
  <si>
    <t xml:space="preserve"> BROS NXR 160</t>
  </si>
  <si>
    <t>5287798  RENOV</t>
  </si>
  <si>
    <t xml:space="preserve">FELIPE SILVA MENDES </t>
  </si>
  <si>
    <t>RENATA FERNANDES DE M SERAFIM</t>
  </si>
  <si>
    <t>VANESSA DE LIMA NOBERTO</t>
  </si>
  <si>
    <t>Maria Leticia Guedes Pe. Vieira de Melo</t>
  </si>
  <si>
    <t xml:space="preserve">NADIA DA CONCEIÇAO ALVES </t>
  </si>
  <si>
    <t xml:space="preserve">ANNY KELLY DO NASCIMENTO </t>
  </si>
  <si>
    <t>CICERO SANTOS FIRMINO</t>
  </si>
  <si>
    <t xml:space="preserve">CLEVERTON </t>
  </si>
  <si>
    <t xml:space="preserve">MARIA SELMA MEDEIROS COSTA </t>
  </si>
  <si>
    <t xml:space="preserve">JOAO BATISTA SOUZA SANTOS </t>
  </si>
  <si>
    <t>RAISSA ALVES DE CARVALHO</t>
  </si>
  <si>
    <t>JOBSON DARLAN M LOURENCO</t>
  </si>
  <si>
    <t>5310795 RENOV</t>
  </si>
  <si>
    <t xml:space="preserve">GERALDO VENANCIO DOS SANTOS </t>
  </si>
  <si>
    <t>5313055 RENOV</t>
  </si>
  <si>
    <t>5314635 RENOV</t>
  </si>
  <si>
    <t xml:space="preserve">ANTONE LOPES FERREIRA </t>
  </si>
  <si>
    <t xml:space="preserve">CARLOS VINICIUS ARRUDA DA SILVA </t>
  </si>
  <si>
    <t xml:space="preserve">PRISCILA ISIDRO DA SILVA </t>
  </si>
  <si>
    <t>5316469 RENOV</t>
  </si>
  <si>
    <t xml:space="preserve">MARCIA SILVA DA COSTA </t>
  </si>
  <si>
    <t>GABRIEL FELIX DE ARAUJO</t>
  </si>
  <si>
    <t xml:space="preserve">CLAUDEMIR DA SILVA TORRES </t>
  </si>
  <si>
    <t>JUCELIO ALVES MOUZINHO</t>
  </si>
  <si>
    <t xml:space="preserve">JOAO MAURICIO DE LIMA </t>
  </si>
  <si>
    <t xml:space="preserve">GERMANO GOMES DA SILVA </t>
  </si>
  <si>
    <t xml:space="preserve">MARIA DA VITORIA A MEDEIROS </t>
  </si>
  <si>
    <t xml:space="preserve">EDIVANO MARTINS DE ALMEIDA </t>
  </si>
  <si>
    <t>XRE  190</t>
  </si>
  <si>
    <t xml:space="preserve">MARIA VITORIA DANTAS SILVA </t>
  </si>
  <si>
    <t xml:space="preserve">MARILUCIO MARQUES DA COSTA </t>
  </si>
  <si>
    <t xml:space="preserve">PCX 160 DELUX </t>
  </si>
  <si>
    <t xml:space="preserve">LENILDA SILVA DE OLIVEIRA </t>
  </si>
  <si>
    <t xml:space="preserve">MARIA DA GRACAS ANDRE DOS SANTOS </t>
  </si>
  <si>
    <t xml:space="preserve">CICERO MARTINS DE SALES </t>
  </si>
  <si>
    <t>ARIOSVALDO FERNANDES ARAUJO</t>
  </si>
  <si>
    <t xml:space="preserve">FLAMARION BARROS DOS SANTOS </t>
  </si>
  <si>
    <t xml:space="preserve">NBXR 160 BROS </t>
  </si>
  <si>
    <t xml:space="preserve">ANTONIO MATIAS DA SILVA </t>
  </si>
  <si>
    <t xml:space="preserve">RICARDO ROBERTO DA SILVA </t>
  </si>
  <si>
    <t xml:space="preserve">SABRINA DUARTE DA SILVA </t>
  </si>
  <si>
    <t xml:space="preserve">FRANCISCO TIAGO SILVA SOUZA </t>
  </si>
  <si>
    <t xml:space="preserve">JOSIANE BENEVONUTO NUNES </t>
  </si>
  <si>
    <t xml:space="preserve">JOSE WILLIAM DA SILVA BARBOSA </t>
  </si>
  <si>
    <t xml:space="preserve">ELIANE BATISTA DA SILVA </t>
  </si>
  <si>
    <t>SEGUROS FECHADOS - JANEIRO  2025</t>
  </si>
  <si>
    <t>PAULO (L)</t>
  </si>
  <si>
    <t>LEANDRO (L)</t>
  </si>
  <si>
    <t>SEGUROS FECHADOS - FEVEREIRO  2025</t>
  </si>
  <si>
    <t>refez pra fever</t>
  </si>
  <si>
    <t>BELGA</t>
  </si>
  <si>
    <t>SEGUROS FECHADOS - MARÇO  2025</t>
  </si>
  <si>
    <t xml:space="preserve">GERALDO RODRIGUES DA SILVA </t>
  </si>
  <si>
    <t>5340713 RENOVAÇÃO</t>
  </si>
  <si>
    <t xml:space="preserve">DAIANE </t>
  </si>
  <si>
    <t xml:space="preserve">ANTONIO MARCOS CAMILO BEZERRA </t>
  </si>
  <si>
    <t xml:space="preserve">POOP </t>
  </si>
  <si>
    <t xml:space="preserve">JOSE CAMILO DE MENEZES </t>
  </si>
  <si>
    <t>EDUARDO DOS SANTOS CASSIANO</t>
  </si>
  <si>
    <t xml:space="preserve">POP </t>
  </si>
  <si>
    <t>GEINIO</t>
  </si>
  <si>
    <t xml:space="preserve">MARIA DAS VITORIAS GOMES SANTANA </t>
  </si>
  <si>
    <t>CLEVERTON</t>
  </si>
  <si>
    <t xml:space="preserve">MARIA DE LOURDES SANTOS C NETA </t>
  </si>
  <si>
    <t xml:space="preserve">BIZ EX </t>
  </si>
  <si>
    <t xml:space="preserve">MARIA GLAUCIA DE S FERREIRA </t>
  </si>
  <si>
    <t xml:space="preserve">BIZ 125 </t>
  </si>
  <si>
    <t>5342633 RENOVAÇÃO</t>
  </si>
  <si>
    <t xml:space="preserve">LUZIA SEVERINA DOS SANTOS </t>
  </si>
  <si>
    <t xml:space="preserve">CG 160 FAN </t>
  </si>
  <si>
    <t>DJANILSON</t>
  </si>
  <si>
    <t xml:space="preserve">MARIA APARECIDA RIBEIRO DOS SANTOS </t>
  </si>
  <si>
    <t>ANT CARLOS</t>
  </si>
  <si>
    <t xml:space="preserve">RAFAEL SARAIVA DE MENDONÇA </t>
  </si>
  <si>
    <t>5346454 RENOVÇÃO</t>
  </si>
  <si>
    <t xml:space="preserve">PAULO SERGIO DO NASC P FILHO </t>
  </si>
  <si>
    <t xml:space="preserve">ROBERTO MED </t>
  </si>
  <si>
    <t xml:space="preserve">AMANDA CECILIA SALES </t>
  </si>
  <si>
    <t>ANDRE</t>
  </si>
  <si>
    <t xml:space="preserve">AMANDA MARTINS DE LIMA </t>
  </si>
  <si>
    <t xml:space="preserve">BIZ ES </t>
  </si>
  <si>
    <t>LUCIENE FREIRE MARINHO</t>
  </si>
  <si>
    <t xml:space="preserve">MARIA DAS GRAÇAS PESSOA </t>
  </si>
  <si>
    <t xml:space="preserve">ADEILSON SILVA DOS SANTOS </t>
  </si>
  <si>
    <t xml:space="preserve">CB300F </t>
  </si>
  <si>
    <t>JHONATAN FREIRE DE AGUIAR</t>
  </si>
  <si>
    <t xml:space="preserve">BIZ  125 ES </t>
  </si>
  <si>
    <t>JOSE CUSTODIO ALVES NETO</t>
  </si>
  <si>
    <t xml:space="preserve">LARYSSA KESSYA DOSSANTOS LOURENCO </t>
  </si>
  <si>
    <t xml:space="preserve">LUCIENE SABINO DA SILVA </t>
  </si>
  <si>
    <t xml:space="preserve">MACIO MARTILIANO DA SILVA </t>
  </si>
  <si>
    <t>5350904 RENOVAÇAÕ</t>
  </si>
  <si>
    <t xml:space="preserve">JOSE MOACIIR S DA COSTA </t>
  </si>
  <si>
    <t xml:space="preserve">WELLINGTON ANTONIO DA SILVA </t>
  </si>
  <si>
    <t>CB 300  TWIST</t>
  </si>
  <si>
    <t xml:space="preserve">RODRIGO DE LIMA SILVA </t>
  </si>
  <si>
    <t>5335634 RENOVAÇAO</t>
  </si>
  <si>
    <t xml:space="preserve">JOSE HUMBERTO PEREIRA </t>
  </si>
  <si>
    <t xml:space="preserve">5352537 RENOVAÇÃO </t>
  </si>
  <si>
    <t xml:space="preserve">EDNA ALVES DO NASCIMENTO ANDRADE </t>
  </si>
  <si>
    <t>5355281 RENOVAÇÃO</t>
  </si>
  <si>
    <t xml:space="preserve">RENATO SOARES DA SILVA </t>
  </si>
  <si>
    <t xml:space="preserve">ROSA CLAUDINO DE LIMA </t>
  </si>
  <si>
    <t>JOELMA</t>
  </si>
  <si>
    <t xml:space="preserve">CLAEYSON CASSEMIRO DE SOUZA </t>
  </si>
  <si>
    <t xml:space="preserve">JOSE RODRIGUES DOS SANTOS </t>
  </si>
  <si>
    <t>MANOEL FERREIRA DE BRITO</t>
  </si>
  <si>
    <t xml:space="preserve">JOSIRENE </t>
  </si>
  <si>
    <t xml:space="preserve">JOSE ANTONIO DA SILVA SAMUEL </t>
  </si>
  <si>
    <t xml:space="preserve">MARIA DA LUZ RAMOS DE LUCENA </t>
  </si>
  <si>
    <t xml:space="preserve">CLEVERTHON PEREIRA DA SILVA </t>
  </si>
  <si>
    <t xml:space="preserve">IGOR DA SILVA LIMA DE ANDRADE </t>
  </si>
  <si>
    <t>HORTENCIA</t>
  </si>
  <si>
    <t xml:space="preserve">EDILENE TRAJANEO DE MOURA SILVA </t>
  </si>
  <si>
    <t xml:space="preserve">CLAUDIA OLIVEIRA D FERREIRA </t>
  </si>
  <si>
    <t>5361795 RENOVAÇÃO</t>
  </si>
  <si>
    <t xml:space="preserve">JOSE LUIS DOS SANTOS </t>
  </si>
  <si>
    <t xml:space="preserve">JOAO CASSEMIRO NDE S IRMÃO </t>
  </si>
  <si>
    <t>IGO DE AZEVEDO TARGINO</t>
  </si>
  <si>
    <t xml:space="preserve">MARIA DAS GRACAS DE LIMA OLIVEIRA </t>
  </si>
  <si>
    <t xml:space="preserve">VALTERLON AQUINO ALBUQUERQUE </t>
  </si>
  <si>
    <t>ANA PAULA DA SILVA SABINO</t>
  </si>
  <si>
    <t xml:space="preserve">MARIA DAS VITORIAS CONFESSOR SILVA </t>
  </si>
  <si>
    <t xml:space="preserve">JOELMA </t>
  </si>
  <si>
    <t xml:space="preserve">ERIVALDO NASCIMENTO S JUNIOR </t>
  </si>
  <si>
    <t>XRE 300 SAHARA</t>
  </si>
  <si>
    <t>ERIVAN DA CUNHA MACEDO</t>
  </si>
  <si>
    <t>GIVANILDO DE LIMA MORENO</t>
  </si>
  <si>
    <t xml:space="preserve">GRACILETE GOMES DA COSTA </t>
  </si>
  <si>
    <t xml:space="preserve">FELIPE BELARMINO DOS SANTOS </t>
  </si>
  <si>
    <t xml:space="preserve">CG 160 TITAN </t>
  </si>
  <si>
    <t>LEANDRO</t>
  </si>
  <si>
    <t xml:space="preserve">JOSE IZANILDO AMARO DA SILVA </t>
  </si>
  <si>
    <t xml:space="preserve">EDILANE BATISTA FERREIRA </t>
  </si>
  <si>
    <t>CELSO</t>
  </si>
  <si>
    <t xml:space="preserve">LAUREANO GONCALVES DE OLIVEIRA </t>
  </si>
  <si>
    <t xml:space="preserve">MARCELO SALVIANO DANTAS </t>
  </si>
  <si>
    <t xml:space="preserve">XRE 190 ADV </t>
  </si>
  <si>
    <t xml:space="preserve">MARCELO GONCALVES DOS SANTOS </t>
  </si>
  <si>
    <t>POPO</t>
  </si>
  <si>
    <t xml:space="preserve">EDSON DA COSTA SANTOS </t>
  </si>
  <si>
    <t xml:space="preserve">MAKSON JESUS PONTES ROCHA </t>
  </si>
  <si>
    <t>TARCISIO BARBOSA DA SILVA</t>
  </si>
  <si>
    <t>POP</t>
  </si>
  <si>
    <t xml:space="preserve">MARIA DE FATIMA DA SILVA </t>
  </si>
  <si>
    <t>JOAO PAULO DA SILVA BELMIRO</t>
  </si>
  <si>
    <t xml:space="preserve">SAMUEL SALES </t>
  </si>
  <si>
    <t xml:space="preserve">FERNANDO ANTONIO SOUTO DE LIMA </t>
  </si>
  <si>
    <t xml:space="preserve">MARCELO FIRMINO SANTOS DA SILVA </t>
  </si>
  <si>
    <t xml:space="preserve">JOSE RODRIGUES DA SILVA </t>
  </si>
  <si>
    <t xml:space="preserve">RAFAEL NEVES DA SILVA </t>
  </si>
  <si>
    <t xml:space="preserve">RODRIGUES DA LUZ SILVA </t>
  </si>
  <si>
    <t xml:space="preserve">ALINE </t>
  </si>
  <si>
    <t xml:space="preserve">GLAUCIELLE DOS SANTOS </t>
  </si>
  <si>
    <t>ERIQUE</t>
  </si>
  <si>
    <t xml:space="preserve">DANIEL SILVA DE LIMA </t>
  </si>
  <si>
    <t>RENALLY PINHEIRO DO NASCIMENTO</t>
  </si>
  <si>
    <t xml:space="preserve">VALDEMIR DA SILVA BARBOSA </t>
  </si>
  <si>
    <t>BRUNO DOS SANTOS NASCIMENTO</t>
  </si>
  <si>
    <t xml:space="preserve">LUCIJANE DE SOUSA CAMPOS </t>
  </si>
  <si>
    <t xml:space="preserve">UEVERTON </t>
  </si>
  <si>
    <t xml:space="preserve">WELLINGTON ROCHA DA SILVA </t>
  </si>
  <si>
    <t>MAURICELIO</t>
  </si>
  <si>
    <t xml:space="preserve">VITORIA CAROLINE M DA SILVA </t>
  </si>
  <si>
    <t xml:space="preserve">BIZ 110 </t>
  </si>
  <si>
    <t xml:space="preserve">JAIR MACEDO SILVA </t>
  </si>
  <si>
    <t xml:space="preserve">MARIA DE FATIMA TEIXEIRA ALVES </t>
  </si>
  <si>
    <t xml:space="preserve">VALQUIRIA RUFINO DA SILVA </t>
  </si>
  <si>
    <t>5387756 RENOVAÇAO</t>
  </si>
  <si>
    <t xml:space="preserve">MARCOS MONTEIRO GOMES </t>
  </si>
  <si>
    <t>5386653 RENOVAÇAO</t>
  </si>
  <si>
    <t xml:space="preserve">ALISSON SOARES DA SILVA </t>
  </si>
  <si>
    <t>XRE 300 RALLY</t>
  </si>
  <si>
    <t xml:space="preserve">JOAO VICTOR GUEDES DE OLIVEIRA </t>
  </si>
  <si>
    <t xml:space="preserve">WILLIAN DANTAS A DA COSTA </t>
  </si>
  <si>
    <t xml:space="preserve">EDMILSON SOARES DA SILVA </t>
  </si>
  <si>
    <t xml:space="preserve">ELIVANIA GOMES LEITE </t>
  </si>
  <si>
    <t>JACKELINE SANTOS CASSIMIRO</t>
  </si>
  <si>
    <t>LUANA PIRANGY VITORIO</t>
  </si>
  <si>
    <t>5399655 RENOVAÇAO</t>
  </si>
  <si>
    <t xml:space="preserve">THIAGO QUEIROZ FELIPE </t>
  </si>
  <si>
    <t xml:space="preserve">EVANGELISTA DOS SANTOS PEREIRA </t>
  </si>
  <si>
    <t xml:space="preserve">BRUNA KAYLANNE DE SALES SANTOS </t>
  </si>
  <si>
    <t xml:space="preserve">MARIA JOSINETE G E SILVA </t>
  </si>
  <si>
    <t>5404234 RENOVAÇAO</t>
  </si>
  <si>
    <t xml:space="preserve">TATIANA FERREIRA DA SILVA </t>
  </si>
  <si>
    <t xml:space="preserve">KLEYTON DA FONSECA EVANGELISTA </t>
  </si>
  <si>
    <t xml:space="preserve">PAULO FERNANDES DA SILVA </t>
  </si>
  <si>
    <t xml:space="preserve">GUSTAVO DUARTE PEREIRA </t>
  </si>
  <si>
    <t xml:space="preserve">BRUNO ALENCAR ALVES DE OLIVEIRA </t>
  </si>
  <si>
    <t xml:space="preserve">JOSE CARLOS PEREIRA SANTOS </t>
  </si>
  <si>
    <t xml:space="preserve">JOSUE FERREIRA DE SOUZA </t>
  </si>
  <si>
    <t xml:space="preserve">JOSEMAR PEQUENO DA SILVA </t>
  </si>
  <si>
    <t xml:space="preserve">IRANILDA DE OLIVEIRA LIMA </t>
  </si>
  <si>
    <t>SEGUROS FECHADOS - ABRIL  2025</t>
  </si>
  <si>
    <t>CRIS DAIANE DE OLIVEIRA GALDINO</t>
  </si>
  <si>
    <t xml:space="preserve">POP 110 ES </t>
  </si>
  <si>
    <t xml:space="preserve">MANUEL BERNARDO DA COSTA DIAS </t>
  </si>
  <si>
    <t xml:space="preserve">UBIRAJARA SILVA DOS SANTOS </t>
  </si>
  <si>
    <t xml:space="preserve">5405810 RENOV </t>
  </si>
  <si>
    <t xml:space="preserve">GENILSON DO AMARAL SILVA </t>
  </si>
  <si>
    <t>5404804 RENOV</t>
  </si>
  <si>
    <t xml:space="preserve">AURELIO ALVES DA SILVA </t>
  </si>
  <si>
    <t>5408599 RENOV</t>
  </si>
  <si>
    <t xml:space="preserve">JACKCIEL DOS SANTOS SILVA </t>
  </si>
  <si>
    <t xml:space="preserve">SEVERINO DO RAMO DA SILVA ALBUQUERQUE </t>
  </si>
  <si>
    <t xml:space="preserve">YAGO VIEGAS DA SILVA </t>
  </si>
  <si>
    <t>JOSE WELLINGTON GUEDES TOLENTINO</t>
  </si>
  <si>
    <t>58824408 RENOV</t>
  </si>
  <si>
    <t xml:space="preserve">SEVERINO DO RAMO DE SOUZA XAVIER </t>
  </si>
  <si>
    <t>20831253 RENOV</t>
  </si>
  <si>
    <t xml:space="preserve">ANTONIO PEREIRA DOS SANTOS </t>
  </si>
  <si>
    <t>5412354 RENOV</t>
  </si>
  <si>
    <t xml:space="preserve">FELIPE RAMOS DA SILVA </t>
  </si>
  <si>
    <t>JOSE ADAILTON SANTOS DE AGUIAR</t>
  </si>
  <si>
    <t>LEONILDO OLIVEIRAB DE MELO</t>
  </si>
  <si>
    <t xml:space="preserve">LUCIANO ROCHA DOS SANTOS </t>
  </si>
  <si>
    <t>PAULO ROBERTO</t>
  </si>
  <si>
    <t xml:space="preserve">GABRIEL RODRIGUES DE SOUSA </t>
  </si>
  <si>
    <t xml:space="preserve">JOAO FERREIRA DA COSTA </t>
  </si>
  <si>
    <t xml:space="preserve">AUTA LIMA OLIVEIRA </t>
  </si>
  <si>
    <t>JOSUEL PORFIRIO FILHO</t>
  </si>
  <si>
    <t xml:space="preserve">RAIANE MORENO ALVES </t>
  </si>
  <si>
    <t xml:space="preserve">WELLINGTON DE SOUZA SANTOS </t>
  </si>
  <si>
    <t xml:space="preserve">JOSE CARLOS DA SILVA OLIVEIRA </t>
  </si>
  <si>
    <t xml:space="preserve">TIAGO GERONIMO DE OLIVEIRA </t>
  </si>
  <si>
    <t>ANTONIO CARLOS</t>
  </si>
  <si>
    <t xml:space="preserve">WESLEY KAIO DE AZEVEDO COSTA </t>
  </si>
  <si>
    <t>ANA ALICE</t>
  </si>
  <si>
    <t xml:space="preserve">ADAELSON OLIVEIRA DA SILVA </t>
  </si>
  <si>
    <t xml:space="preserve">KELVIN PEREIRA DA SILVA </t>
  </si>
  <si>
    <t xml:space="preserve">JOANDERSON DE SOUZA RODRIGUES </t>
  </si>
  <si>
    <t xml:space="preserve">KALINE GOMES ANDRADE </t>
  </si>
  <si>
    <t xml:space="preserve">JONATHAN ATAIDE DE FONSECA </t>
  </si>
  <si>
    <t xml:space="preserve">CARLOS JUNIOR ROCHA DA SILVA </t>
  </si>
  <si>
    <t xml:space="preserve">JOSINALDO SOARES JORGE </t>
  </si>
  <si>
    <t>CB 500 F</t>
  </si>
  <si>
    <t xml:space="preserve">JOSEFA DANTAS DOS SANTOS </t>
  </si>
  <si>
    <t xml:space="preserve">JOSE MARCOS VERISSIMO DAS FLORES </t>
  </si>
  <si>
    <t>5408532 RENOVA</t>
  </si>
  <si>
    <t>MIRIAM DE MORAIS CAMILO</t>
  </si>
  <si>
    <t xml:space="preserve">5422354 RENOV </t>
  </si>
  <si>
    <t xml:space="preserve">JANIEL DE AZEVEDO SOARES </t>
  </si>
  <si>
    <t>5421283 RENOV</t>
  </si>
  <si>
    <t xml:space="preserve">CARLOS ANDRE BATISTA DA SIILVA </t>
  </si>
  <si>
    <t>JOSIBERTO VIEIRA DE CARVALHO</t>
  </si>
  <si>
    <t xml:space="preserve">CLAUDIO ROBERTO DOS SANTOS </t>
  </si>
  <si>
    <t xml:space="preserve">MARCONI SOUZA DOS SANTOS </t>
  </si>
  <si>
    <t xml:space="preserve">GILVAN RODRIGUES DA SILVA </t>
  </si>
  <si>
    <t>GRACINHA</t>
  </si>
  <si>
    <t xml:space="preserve">PAULO SERGIO ORANGE GOMES </t>
  </si>
  <si>
    <t>MARIA BELO DE FRANCA SEBASTIAO</t>
  </si>
  <si>
    <t xml:space="preserve">JAIR CARDOSO SALES </t>
  </si>
  <si>
    <t xml:space="preserve">VIVIANYB ALEXANDRE SILVA </t>
  </si>
  <si>
    <t xml:space="preserve">5425723 RENOV </t>
  </si>
  <si>
    <t xml:space="preserve">CRISTIANE QUIRINO DA SILVA FARIAS </t>
  </si>
  <si>
    <t>MANOEL CLEMENTE DE ALMEIDA NETO</t>
  </si>
  <si>
    <t xml:space="preserve">EDUARDO BARBOSA </t>
  </si>
  <si>
    <t>SAMUEL SALES</t>
  </si>
  <si>
    <t xml:space="preserve">LUIS ANTONIO FRANCISCO DA SILVA </t>
  </si>
  <si>
    <t xml:space="preserve">GIVANILSON DOS SANTOS </t>
  </si>
  <si>
    <t>LEONARDO GARCIA DE ARAUJO</t>
  </si>
  <si>
    <t xml:space="preserve">MARIA APARECIDA MARINHO DA ROCHA </t>
  </si>
  <si>
    <t xml:space="preserve">LUCAS MARIANO LISBOA </t>
  </si>
  <si>
    <t xml:space="preserve">XRE 190 </t>
  </si>
  <si>
    <t xml:space="preserve">JOSE NORMANDO MENDES DE ASSIS </t>
  </si>
  <si>
    <t xml:space="preserve">CB 500F </t>
  </si>
  <si>
    <t xml:space="preserve">MACIEL FRANCISCO DA ROCHA </t>
  </si>
  <si>
    <t xml:space="preserve">JOSELI DIAS DA SILVA </t>
  </si>
  <si>
    <t xml:space="preserve">SEVERINO ELIDIO DA SILVA </t>
  </si>
  <si>
    <t xml:space="preserve">EDSON DOS SANTOS </t>
  </si>
  <si>
    <t>MARCELO CONSTANTINO DA SILVA</t>
  </si>
  <si>
    <t>5436638 RENOV</t>
  </si>
  <si>
    <t xml:space="preserve">MARIA DE FATIMA TEIXWEIRA ALVES </t>
  </si>
  <si>
    <t xml:space="preserve">ELIAS RODRIGUES DA SILVA </t>
  </si>
  <si>
    <t xml:space="preserve">RONDNELLY MARINHO DA SILVA </t>
  </si>
  <si>
    <t xml:space="preserve">ANDRE CAMILO LELIS </t>
  </si>
  <si>
    <t xml:space="preserve">JOSE JEFFERSON SILVA ADELINO </t>
  </si>
  <si>
    <t xml:space="preserve">VALDETE FELIX CAVALCANTE </t>
  </si>
  <si>
    <t>5437926 RENOV</t>
  </si>
  <si>
    <t xml:space="preserve">MICAELE MIGUEL GONCALVES </t>
  </si>
  <si>
    <t xml:space="preserve">ELIANE CIPRIANO DA SILVA </t>
  </si>
  <si>
    <t xml:space="preserve">ROSEILMA GALDINO DE MENDONCA </t>
  </si>
  <si>
    <t xml:space="preserve">JOSE AMANCIO DA SILVA </t>
  </si>
  <si>
    <t>MARCOS MENDES BEZERRA</t>
  </si>
  <si>
    <t xml:space="preserve">HUMBERTO ROMAO DOS SANTOS </t>
  </si>
  <si>
    <t xml:space="preserve">NC 750 </t>
  </si>
  <si>
    <t xml:space="preserve">SANDOVAL EMIDIO DA SILVA </t>
  </si>
  <si>
    <t>JOAO MOREIRA DE ARAUJO</t>
  </si>
  <si>
    <t>JOSE CALIXTO DOS S JUNIOR</t>
  </si>
  <si>
    <t>CBR 650</t>
  </si>
  <si>
    <t>ILDEMAX CONSTANTINO DAS SANTOS</t>
  </si>
  <si>
    <t xml:space="preserve">SAMARA MACEDO DOS SANTOS </t>
  </si>
  <si>
    <t>CG 160</t>
  </si>
  <si>
    <t xml:space="preserve">RITA DE CASSIA DA SILVA </t>
  </si>
  <si>
    <t xml:space="preserve">MAURILIO PESSOA DA SILVA </t>
  </si>
  <si>
    <t xml:space="preserve">TIAGO DE AZEVEDO TARGINO </t>
  </si>
  <si>
    <t xml:space="preserve">BRENDA SUENIA FLOR BARBOZA </t>
  </si>
  <si>
    <t xml:space="preserve">TIAGO DA SILVA SANTOS </t>
  </si>
  <si>
    <t xml:space="preserve">LUCIANO BELO DA SILVA </t>
  </si>
  <si>
    <t>ROMILDO FRANCISCO DE BRITO</t>
  </si>
  <si>
    <t xml:space="preserve">JOSE ROMILDO TAVEIRA PEREIRA </t>
  </si>
  <si>
    <t xml:space="preserve">ROMILDO LUCENA TARGINO </t>
  </si>
  <si>
    <t>XR 300 L TORN</t>
  </si>
  <si>
    <t xml:space="preserve">MANOEL MESSIAS DINIZ DA COSTA </t>
  </si>
  <si>
    <t xml:space="preserve">HELENA CRISTINA DA S FARIAS </t>
  </si>
  <si>
    <t xml:space="preserve">ANDRE </t>
  </si>
  <si>
    <t>CINTIA RAFAELA NUNES DE ARAUJO</t>
  </si>
  <si>
    <t xml:space="preserve">ARISTELSON GOMES DE OLIVEIRA </t>
  </si>
  <si>
    <t>BCARTAO</t>
  </si>
  <si>
    <t xml:space="preserve">MARIA JOSEANE SILVA SANTOS </t>
  </si>
  <si>
    <t xml:space="preserve">JOAO AMANCIO DE OLIVEIRA </t>
  </si>
  <si>
    <t xml:space="preserve">JOSE JUNIOR ANIZIO DOS SANTOS </t>
  </si>
  <si>
    <t xml:space="preserve">RENATO FERREIRA DA SILVA </t>
  </si>
  <si>
    <t xml:space="preserve">ROMILDO CESARIO TRAJANO </t>
  </si>
  <si>
    <t>5452079 RENOV</t>
  </si>
  <si>
    <t xml:space="preserve">MARIA JOSE DE OLIVEIRA SOUZA </t>
  </si>
  <si>
    <t xml:space="preserve">5453517 RENOV </t>
  </si>
  <si>
    <t xml:space="preserve">JOSE FRANCISCO DOS SANTOS </t>
  </si>
  <si>
    <t>JOSE WILLYAN SOUSA NASCIMENTO</t>
  </si>
  <si>
    <t xml:space="preserve">DANIEL GERALDO DA SILVA </t>
  </si>
  <si>
    <t xml:space="preserve">ALEKSANDROINACIO DOS SANTOS </t>
  </si>
  <si>
    <t xml:space="preserve">WALTECIO FELICIO DE OLIVEIRA </t>
  </si>
  <si>
    <t xml:space="preserve">RAMON FELIPE DE PONTES </t>
  </si>
  <si>
    <t>MARCOS SALES DE ARAUJO</t>
  </si>
  <si>
    <t>IAGO DE SOUZA RIBEIRO</t>
  </si>
  <si>
    <t>LUCILENE MORAIS DA COSTA DUARTE</t>
  </si>
  <si>
    <t xml:space="preserve">DAVI GOMES DE BARROS </t>
  </si>
  <si>
    <t xml:space="preserve">JOSENILDO DO N RODRIGUES </t>
  </si>
  <si>
    <t xml:space="preserve">SEVERINO CESARIO DA SILVA </t>
  </si>
  <si>
    <t>PCX 160</t>
  </si>
  <si>
    <t>5440177 RENOV</t>
  </si>
  <si>
    <t>LIDIANE DE BARROS PINTO</t>
  </si>
  <si>
    <t xml:space="preserve">5460681 RENOV </t>
  </si>
  <si>
    <t xml:space="preserve">ROSINALDO DA SILVA LUIZ </t>
  </si>
  <si>
    <t xml:space="preserve">ELAINE CRISTINA GALVAO DE ALBUQUERQUE </t>
  </si>
  <si>
    <t xml:space="preserve">IVANILDO MATIAS VIANA </t>
  </si>
  <si>
    <t xml:space="preserve">ALCIMAR PEDRO DOS SANTOS </t>
  </si>
  <si>
    <t xml:space="preserve">JAILSON FRANCISCO DA SILVA </t>
  </si>
  <si>
    <t xml:space="preserve">MARIA DA LUZ SILVA </t>
  </si>
  <si>
    <t>MANOEL FELIX DE LIMA FILHO</t>
  </si>
  <si>
    <t xml:space="preserve">JOSE CARLOS FERREIRA DA SILVA </t>
  </si>
  <si>
    <t>5465481RENOV</t>
  </si>
  <si>
    <t xml:space="preserve">JOAO CLEMENTE DE LIMA </t>
  </si>
  <si>
    <t xml:space="preserve">ADRYELLE RODRIGUES DE ALMEIDA LOPES </t>
  </si>
  <si>
    <t xml:space="preserve">DANIEL LINS DA SILVA </t>
  </si>
  <si>
    <t xml:space="preserve">CECILIA MAMEDE PEREIRA </t>
  </si>
  <si>
    <t>5462940 RENOV</t>
  </si>
  <si>
    <t xml:space="preserve">FERNANDO ANTONIO ALVES DA COSTA </t>
  </si>
  <si>
    <t xml:space="preserve">JANAINA PAULO DE LIMA </t>
  </si>
  <si>
    <t>WALFREDO ALVES DA R NETO</t>
  </si>
  <si>
    <t xml:space="preserve">FABIANO FABRICIO DE LIMA </t>
  </si>
  <si>
    <t xml:space="preserve">CLAUDIA ROBERTA O DA SILVA BARROS </t>
  </si>
  <si>
    <t xml:space="preserve">MARCELO DA SILVA FELIX </t>
  </si>
  <si>
    <t xml:space="preserve">5468083RENOV </t>
  </si>
  <si>
    <t>EDNALDO DA SILVA RODRIGUE</t>
  </si>
  <si>
    <t>5467425 RENOV</t>
  </si>
  <si>
    <t xml:space="preserve">ISAEL INACIO DOS SANTOS </t>
  </si>
  <si>
    <t xml:space="preserve">STIG JORGEN WIKAN </t>
  </si>
  <si>
    <t xml:space="preserve">RAFAEL MOREIRA DOS SANTOS COSTA </t>
  </si>
  <si>
    <t>ELLYTON SANTOS DE CASTRO</t>
  </si>
  <si>
    <t>ANA LAURA V DE ARRUDA WANDERLEY</t>
  </si>
  <si>
    <t>ELITE 125</t>
  </si>
  <si>
    <t>5472558 RENOV</t>
  </si>
  <si>
    <t xml:space="preserve">MARCOS MARTINS DOS SANTOS </t>
  </si>
  <si>
    <t xml:space="preserve">CB 300 TWISTER </t>
  </si>
  <si>
    <t xml:space="preserve">LUCAS AUGUSTO PEREIRA DA SILVA </t>
  </si>
  <si>
    <t xml:space="preserve">RAIANE PINTO DO N SANTOS </t>
  </si>
  <si>
    <t>BIZ EX 125</t>
  </si>
  <si>
    <t xml:space="preserve">JOSEFA SIMOES PEREIRA </t>
  </si>
  <si>
    <t xml:space="preserve">RAFAEL ROBERTO DA SILVA </t>
  </si>
  <si>
    <t>POP 110 I</t>
  </si>
  <si>
    <t xml:space="preserve">LUCIANA DO NASCIMENTO SOUZA </t>
  </si>
  <si>
    <t xml:space="preserve">KLERISSON RENE MENDES DUTRA </t>
  </si>
  <si>
    <t xml:space="preserve">JOSE MARCELO LOURENCIO DOS SANTOS </t>
  </si>
  <si>
    <t xml:space="preserve">5434035 RENOV </t>
  </si>
  <si>
    <t xml:space="preserve">ALINE DELFINO DOS SANTOS </t>
  </si>
  <si>
    <t xml:space="preserve">5481777 RENOV </t>
  </si>
  <si>
    <t xml:space="preserve">THAMYRES DA COSTA ANDRE </t>
  </si>
  <si>
    <t xml:space="preserve">5453837 RENOV </t>
  </si>
  <si>
    <t xml:space="preserve">EVERALDO DA SILVA SOARES </t>
  </si>
  <si>
    <t xml:space="preserve">SEVERINA FARIAS RODRIGUES </t>
  </si>
  <si>
    <t xml:space="preserve">RAFAELA ANDRADE DA SILVA CIANCA </t>
  </si>
  <si>
    <t>BI 125 EX</t>
  </si>
  <si>
    <t>ANTONIO SIMIAO DA SILVA FILHO</t>
  </si>
  <si>
    <t xml:space="preserve">CLEVERTON PEREIRA DA SILVA </t>
  </si>
  <si>
    <t xml:space="preserve">EDINALDO EMIDIO MARTINS </t>
  </si>
  <si>
    <t>ALINE</t>
  </si>
  <si>
    <t xml:space="preserve">JOANA DALVA DE OLIVEIRA SILVA </t>
  </si>
  <si>
    <t xml:space="preserve">PAULO JOAO ALFREDO JUNIOR </t>
  </si>
  <si>
    <t xml:space="preserve">FABIANA EVARISTO DE SOUZA </t>
  </si>
  <si>
    <t>5474533 RENOV</t>
  </si>
  <si>
    <t xml:space="preserve">ALVARO FELIX DA ROCHA </t>
  </si>
  <si>
    <t>ROBERTO  MED</t>
  </si>
  <si>
    <t>ANSELMO MONTEIRO CAMILO</t>
  </si>
  <si>
    <t xml:space="preserve">SEVERINO DOS SANTOS LIMA </t>
  </si>
  <si>
    <t>5443249 RENOV</t>
  </si>
  <si>
    <t>PAULO CEZAR MARTINS DO NASCIMENTO</t>
  </si>
  <si>
    <t xml:space="preserve">ANT CARLOS </t>
  </si>
  <si>
    <t xml:space="preserve">LUCIA CRISTINA CORREIA DA COSTA </t>
  </si>
  <si>
    <t>JOSE JOEL ALVES GREGORIO</t>
  </si>
  <si>
    <t xml:space="preserve">ISIS BARBOSA DA SILVA MATIAS </t>
  </si>
  <si>
    <t xml:space="preserve">EDVALDO JOSE DA SILVA </t>
  </si>
  <si>
    <t>ISAIAS DO NASCIMENTO BATISTA</t>
  </si>
  <si>
    <t>5424032 RENOV</t>
  </si>
  <si>
    <t xml:space="preserve">THIAGO GERALDO DOS SANTOS </t>
  </si>
  <si>
    <t>PETRONIO EDUARDO DE ARAUJO</t>
  </si>
  <si>
    <t>5490412 RENOV</t>
  </si>
  <si>
    <t xml:space="preserve">JOELYTON PEREIRA DA SILVA </t>
  </si>
  <si>
    <t xml:space="preserve">SINESIO ALVES PESSOA </t>
  </si>
  <si>
    <t>546118200 RENOV</t>
  </si>
  <si>
    <t xml:space="preserve">JOELSON BELO DA SILVA </t>
  </si>
  <si>
    <t>JOAO BATISTA</t>
  </si>
  <si>
    <t>FERNANDO ANTONIO BATISTA MONTEIRO</t>
  </si>
  <si>
    <t xml:space="preserve">ALISON FELIPE MELO SILVA </t>
  </si>
  <si>
    <t>JOAO LUCAS</t>
  </si>
  <si>
    <t>JERFFESON BELARMINO DA COSTA</t>
  </si>
  <si>
    <t>JOELMA MARIA DA CONCEIÇÃO</t>
  </si>
  <si>
    <t xml:space="preserve">RAFAEL DA SILVA MEDEIROS </t>
  </si>
  <si>
    <t xml:space="preserve">JOELSON GONCALVES DA SILVA </t>
  </si>
  <si>
    <t xml:space="preserve">JOAO CARLOS RIBEIRO SILVA </t>
  </si>
  <si>
    <t>CG 125 FAN ES</t>
  </si>
  <si>
    <t>EVANDRO DA SILVA QUERINO</t>
  </si>
  <si>
    <t xml:space="preserve">JORGE LUIZ FELIPE DA SILVA </t>
  </si>
  <si>
    <t xml:space="preserve">5495517 RENOV </t>
  </si>
  <si>
    <t xml:space="preserve">ALINE DA SILVA LIMA </t>
  </si>
  <si>
    <t xml:space="preserve">5466942 RENOV </t>
  </si>
  <si>
    <t xml:space="preserve">CLAUDINALDO SALUSTIANO LIMA </t>
  </si>
  <si>
    <t xml:space="preserve">EDNALVA DE ARAUJO DUARTE </t>
  </si>
  <si>
    <t>SEVERINA DA SILVA FRANCISCO</t>
  </si>
  <si>
    <t xml:space="preserve">MARIZA </t>
  </si>
  <si>
    <t xml:space="preserve">PALOMA DA SILVA LOPES </t>
  </si>
  <si>
    <t xml:space="preserve">ANA BEATRIZ AVELINO DANTAS </t>
  </si>
  <si>
    <t>MICHELE VERISSIMO HONORIO</t>
  </si>
  <si>
    <t>5493190 RENOV</t>
  </si>
  <si>
    <t>JOSE AILTON DA SILVA FILHO</t>
  </si>
  <si>
    <t>NATHALIA MARIA VITORINO</t>
  </si>
  <si>
    <t>JOAO BATISTA TOMAS DE O SEGUNDO</t>
  </si>
  <si>
    <t>5500904 RENOV</t>
  </si>
  <si>
    <t xml:space="preserve">HILTON LIMA DA SILVA </t>
  </si>
  <si>
    <t xml:space="preserve">5498888 RENOV </t>
  </si>
  <si>
    <t xml:space="preserve">DAMIAO JOSE DE FARIAS </t>
  </si>
  <si>
    <t>5499846 RENOV</t>
  </si>
  <si>
    <t xml:space="preserve">ADRIANA CARDOSO DA SILVA </t>
  </si>
  <si>
    <t>POLLIANA KESSIA BENTO DE ARAUJO</t>
  </si>
  <si>
    <t>5498857 RENOV</t>
  </si>
  <si>
    <t xml:space="preserve">JOSE RAILSON SANTOS FRANCA </t>
  </si>
  <si>
    <t xml:space="preserve">5502344 RENOV </t>
  </si>
  <si>
    <t xml:space="preserve">JOSE WANDERSON DA SILVA DANTAS </t>
  </si>
  <si>
    <t xml:space="preserve">CICERO GEOVANI RICARDO DOS SANTOS </t>
  </si>
  <si>
    <t xml:space="preserve">LUCIANO DANTAS </t>
  </si>
  <si>
    <t>FRANCISCO DE A MATIAS DO NASCIMNETO</t>
  </si>
  <si>
    <t xml:space="preserve">PETRUS RHUAN LIRA DE OLIVEIRA </t>
  </si>
  <si>
    <t xml:space="preserve">ROBERTO FERREIRA DOS SANTOS </t>
  </si>
  <si>
    <t>ALBA CRISTINA SEVERIANO GAIAO</t>
  </si>
  <si>
    <t xml:space="preserve">BIZ 125 EX </t>
  </si>
  <si>
    <t xml:space="preserve">CICERO FELIX FIRMINO DA SILVA </t>
  </si>
  <si>
    <t xml:space="preserve">JOSENILSON INACIO DE ANDRADE </t>
  </si>
  <si>
    <t xml:space="preserve">ALCELIO PEDRO DOS SANTOS </t>
  </si>
  <si>
    <t xml:space="preserve">ROGERIO DE ALBUQUERQUE GUIMARAES </t>
  </si>
  <si>
    <t>5513333 RENOV</t>
  </si>
  <si>
    <t xml:space="preserve">JOSE ELIVALDO  LAURENTINO DOS SANTOS </t>
  </si>
  <si>
    <t>DIEGO SANTOS SABINO</t>
  </si>
  <si>
    <t xml:space="preserve">MARIA ALBINO DE SOUZA </t>
  </si>
  <si>
    <t xml:space="preserve">JOSEFA RAFAELA DA SILVA </t>
  </si>
  <si>
    <t xml:space="preserve">SEVERINO DOS RAMOS DOS SANTOS LIMA </t>
  </si>
  <si>
    <t>RODRIGO DA SILVA BELARMINO</t>
  </si>
  <si>
    <t xml:space="preserve">EDIVANIA DE LIMA </t>
  </si>
  <si>
    <t xml:space="preserve">FABIO CONSTANTINO FONSECA </t>
  </si>
  <si>
    <t>RAIANE AZEVEDO DE OLIVEIRA</t>
  </si>
  <si>
    <t xml:space="preserve">JAILSON LIRA XAVIER </t>
  </si>
  <si>
    <t>JOANDERSON ALVES DOS SANTOS</t>
  </si>
  <si>
    <t>LUIS SERGIO FERREIRA CHAVIER</t>
  </si>
  <si>
    <t>EDIVANIA RODRIGUES GUEDES</t>
  </si>
  <si>
    <t xml:space="preserve">MARCELA VERISSIMO DAS FLORES </t>
  </si>
  <si>
    <t xml:space="preserve">DENILSON SANTOS MOURA </t>
  </si>
  <si>
    <t xml:space="preserve">VITORIA DA SILVA BATISTA </t>
  </si>
  <si>
    <t xml:space="preserve">ELUCIVALDO DE ARAUJO QUEIROZ </t>
  </si>
  <si>
    <t>FLAVIO JOSE PEREIRA DE MELO</t>
  </si>
  <si>
    <t>5518405 RENOV</t>
  </si>
  <si>
    <t>TIAGO JOSE QUERINO</t>
  </si>
  <si>
    <t xml:space="preserve">5523015 RENOV </t>
  </si>
  <si>
    <t xml:space="preserve">EDUARDA NASCIMENTO VIEIRA </t>
  </si>
  <si>
    <t>ALLYSON DIEGO DA SILVA CANDIDO</t>
  </si>
  <si>
    <t xml:space="preserve">ALEX MICHAEL DA SILVA SANTOS </t>
  </si>
  <si>
    <t xml:space="preserve">KASSIA JANIELE ALVES DE O CRUZ </t>
  </si>
  <si>
    <t xml:space="preserve">VINICIUS SALES </t>
  </si>
  <si>
    <t>5522804 RENOV</t>
  </si>
  <si>
    <t xml:space="preserve">JOALISON FERNADES DOS SANTOS </t>
  </si>
  <si>
    <t>XRE 190 ADV</t>
  </si>
  <si>
    <t>EDJASNIO RIBEIRO AZEVEDO</t>
  </si>
  <si>
    <t xml:space="preserve">ALEX FRANCISCO DA SILVA </t>
  </si>
  <si>
    <t>JOSE JOELITON LEVINO DIAS</t>
  </si>
  <si>
    <t>JOSE ESMERINDO BATISTA FILHO</t>
  </si>
  <si>
    <t xml:space="preserve">LUDMYLLA DE FATIMA SIMPLICIO FERNANDES </t>
  </si>
  <si>
    <t xml:space="preserve">BERTAZIO ANDRADE DA SILVA </t>
  </si>
  <si>
    <t xml:space="preserve">MARIA CLEONICE NDOS SANTOS </t>
  </si>
  <si>
    <t>IVANDRO PEREIRA FERREIRA</t>
  </si>
  <si>
    <t xml:space="preserve">CLEITON DA SILVA TORRES </t>
  </si>
  <si>
    <t xml:space="preserve">LUCIA DE FATIMA MOREIRA </t>
  </si>
  <si>
    <t xml:space="preserve">RITA DE CASSIA DE MEDEIROS MOREIRA </t>
  </si>
  <si>
    <t>FRANCISCO DE ASSIS DA S GERONCIO</t>
  </si>
  <si>
    <t xml:space="preserve">FRANCISCO ALVES DE LIMA </t>
  </si>
  <si>
    <t xml:space="preserve">PAULO FELIX RODRIGUES </t>
  </si>
  <si>
    <t xml:space="preserve">FABIANO BARBOSA ALVES </t>
  </si>
  <si>
    <t xml:space="preserve">JOSE ORLANDO SOARES DE SOUZA </t>
  </si>
  <si>
    <t xml:space="preserve">JOAO RICARDO BELARMINO DA SILVA </t>
  </si>
  <si>
    <t xml:space="preserve">MARIA EDUARDA SILVA CUNHA </t>
  </si>
  <si>
    <t xml:space="preserve">ANDERCIANA IRIALBA DUARTE DA SILVA </t>
  </si>
  <si>
    <t xml:space="preserve">ERIKA MARIA DA NSILVA SOARES </t>
  </si>
  <si>
    <t>5540715 RENOV</t>
  </si>
  <si>
    <t xml:space="preserve">MIKAEL HENRIQUE DA SILVA </t>
  </si>
  <si>
    <t>RAIANE LETICIA DE SOUZA MELO</t>
  </si>
  <si>
    <t>FABIO DE ALMEIDA BERNARDO</t>
  </si>
  <si>
    <t>WILLIANE ANSELMO DE AQUINO</t>
  </si>
  <si>
    <t xml:space="preserve">JOSE BATISTA DOS SANTOS </t>
  </si>
  <si>
    <t>SAMUEL FERRE</t>
  </si>
  <si>
    <t>SEGUROS FECHADOS - MAIO  2025</t>
  </si>
  <si>
    <t xml:space="preserve">NYCOLLE THAMYRES SOUSA SANTOS </t>
  </si>
  <si>
    <t xml:space="preserve">JANICLEIDE MENDES DA SILVA </t>
  </si>
  <si>
    <t xml:space="preserve">VALDICELIA LIRA DA SILVA </t>
  </si>
  <si>
    <t xml:space="preserve">ANDREZA RUFINO ALVES DOS SANTOS </t>
  </si>
  <si>
    <t xml:space="preserve">VALDENIA BATISTA DOS SANTOS </t>
  </si>
  <si>
    <t xml:space="preserve">VANDEILTON SOARES DE SOUZA </t>
  </si>
  <si>
    <t>5544487 RENOV</t>
  </si>
  <si>
    <t xml:space="preserve">JOSE NILTON DA SILVA PEREIRA </t>
  </si>
  <si>
    <t>FERNANDA COSTA DA SILVA</t>
  </si>
  <si>
    <t>8422189 RENOV</t>
  </si>
  <si>
    <t>JOSIMAR SILVA DE SOUSA</t>
  </si>
  <si>
    <t>5545458 RENOV</t>
  </si>
  <si>
    <t xml:space="preserve">ANDRE LUIS NUNES DOS SANTOS </t>
  </si>
  <si>
    <t xml:space="preserve">WILMA DE SOUZA SANTOS </t>
  </si>
  <si>
    <t xml:space="preserve">5546357 RENOV </t>
  </si>
  <si>
    <t>FRANCISCO DE SOUZA FAUSTINO</t>
  </si>
  <si>
    <t>5546659 RENOV</t>
  </si>
  <si>
    <t>DOUGLAS SANTOS DE MACEDO</t>
  </si>
  <si>
    <t xml:space="preserve">JOANA CLECIA MARCELINO DA SILVA </t>
  </si>
  <si>
    <t xml:space="preserve">JANDEILSON </t>
  </si>
  <si>
    <t>JULIANO JOSE DE SOUSA</t>
  </si>
  <si>
    <t>5546488 RENOV</t>
  </si>
  <si>
    <t xml:space="preserve">MARCONDES EDSON GALDINO DA SILVA </t>
  </si>
  <si>
    <t>5548559 RENOV</t>
  </si>
  <si>
    <t>JOAO DAVI DE ARAUJO</t>
  </si>
  <si>
    <t>5553608 RENOV</t>
  </si>
  <si>
    <t xml:space="preserve">THIAGO OLIVEIRA LIMA </t>
  </si>
  <si>
    <t xml:space="preserve">LEONARDO BATISTA DE ALMEIDA </t>
  </si>
  <si>
    <t xml:space="preserve">5552675 RENOV </t>
  </si>
  <si>
    <t>5548449 RENOV</t>
  </si>
  <si>
    <t xml:space="preserve">ALISON JOSE DA SILVA DAMASIO </t>
  </si>
  <si>
    <t>5551781RENOV</t>
  </si>
  <si>
    <t xml:space="preserve">JOSE CARLOS ARAUJO DE FREITAS </t>
  </si>
  <si>
    <t>5547741 RENOV</t>
  </si>
  <si>
    <t xml:space="preserve">LEONARDO SILVA ANGELO </t>
  </si>
  <si>
    <t>5542104 RENOV</t>
  </si>
  <si>
    <t>MARCOS ANTONIO SILVA</t>
  </si>
  <si>
    <t>5553026 RENOV</t>
  </si>
  <si>
    <t xml:space="preserve">ISMAR MARTINS DOS SANTOS </t>
  </si>
  <si>
    <t>JACIEL FELINTO</t>
  </si>
  <si>
    <t xml:space="preserve">JOSE SEVERINO DE ALMEIDA </t>
  </si>
  <si>
    <t xml:space="preserve">ADJAILSON SILVA DE SOUZA </t>
  </si>
  <si>
    <t>5570001RENOV</t>
  </si>
  <si>
    <t>JACIARA SANTOS DE SOUZA</t>
  </si>
  <si>
    <t xml:space="preserve">JOSEMAR FREIRE DA SILVA </t>
  </si>
  <si>
    <t>ALEXSSANDRO DA SILVA RIBEIRO</t>
  </si>
  <si>
    <t xml:space="preserve">JOAO PAULO PEREIRA COSTA </t>
  </si>
  <si>
    <t xml:space="preserve">ATEMAR LOPES DA SILVA </t>
  </si>
  <si>
    <t xml:space="preserve">5561840 RENOV </t>
  </si>
  <si>
    <t xml:space="preserve">FERNANDO XAVIER DA COSTA </t>
  </si>
  <si>
    <t>5560047 RENOV</t>
  </si>
  <si>
    <t xml:space="preserve">PATRICIA FRANCISCO DA S SANTOS </t>
  </si>
  <si>
    <t xml:space="preserve">JOSIVAN BERNARDO DA SILVA </t>
  </si>
  <si>
    <t xml:space="preserve">EDUARDA GOMES MOREIRA </t>
  </si>
  <si>
    <t xml:space="preserve">LUIZ CLAUDI DIAS LIMA </t>
  </si>
  <si>
    <t>CALEBE ADRIEL SANTOS DE MELO</t>
  </si>
  <si>
    <t xml:space="preserve">DAYWSON SILVA OLIVEIRA </t>
  </si>
  <si>
    <t xml:space="preserve">LUIS FELIPE DE PONTES MORAES </t>
  </si>
  <si>
    <t xml:space="preserve">VIRGILIO LIRA DA SILVA </t>
  </si>
  <si>
    <t xml:space="preserve">ZILDA GOMES FEITOSA </t>
  </si>
  <si>
    <t xml:space="preserve">JEANDERSON FARIAS DA SILVA </t>
  </si>
  <si>
    <t>MARIA ELIANE BARBOSA BATISTA</t>
  </si>
  <si>
    <t xml:space="preserve">LUCAS  ALBERTO MIRANDA DO SANTOS </t>
  </si>
  <si>
    <t>ELIZANGELA SANTOS DO NASCIMENTO</t>
  </si>
  <si>
    <t xml:space="preserve">CHARLES DA SILVA FERNANDES </t>
  </si>
  <si>
    <t xml:space="preserve">MARIA DAS VITORIAS CUNHA LIMA </t>
  </si>
  <si>
    <t>PCX 160 DL</t>
  </si>
  <si>
    <t>SHARA SHIRLLY DE OLIVEIRA MELO</t>
  </si>
  <si>
    <t>KAYWAN LIRA SANTOS</t>
  </si>
  <si>
    <t xml:space="preserve">EDINALDO FELIPE DA SILVA </t>
  </si>
  <si>
    <t>5570573 RENOV</t>
  </si>
  <si>
    <t xml:space="preserve">SEVERINO DO NASCIMENTO SILVA </t>
  </si>
  <si>
    <t xml:space="preserve">EUGENIO DANTAS BARBOSA </t>
  </si>
  <si>
    <t>5573538 RENOV</t>
  </si>
  <si>
    <t xml:space="preserve">PAULO GELSON MACEDO DA SILVA </t>
  </si>
  <si>
    <t xml:space="preserve">5574603 RENOV </t>
  </si>
  <si>
    <t xml:space="preserve">ERNANE DA SILVA MARQUES </t>
  </si>
  <si>
    <t xml:space="preserve">ADV 160 </t>
  </si>
  <si>
    <t xml:space="preserve">JOSE ANDERSON SANTOS SILVA </t>
  </si>
  <si>
    <t>MILITZA LAVINIA CORDEIRO RIBEIRO</t>
  </si>
  <si>
    <t xml:space="preserve">DIVONEIDE ALVES DA SILVA </t>
  </si>
  <si>
    <t xml:space="preserve">RONILDO DA SILVA ASSIS </t>
  </si>
  <si>
    <t xml:space="preserve">ANTONIO DA SILVA </t>
  </si>
  <si>
    <t>JOSEMBERG DA SILVA AQUINO</t>
  </si>
  <si>
    <t xml:space="preserve">ALTEIR GONCALVES SILVA </t>
  </si>
  <si>
    <t xml:space="preserve">ADRIANO DE PONTES ALVES </t>
  </si>
  <si>
    <t xml:space="preserve">IZAIAS DOS SANTOS MEDEIROS </t>
  </si>
  <si>
    <t xml:space="preserve">GILRLENE LIRA DA S SANTOS </t>
  </si>
  <si>
    <t>ANTONIO DE SOUSA NETO</t>
  </si>
  <si>
    <t xml:space="preserve">LUIZ  CARLOS DE MACENA FERNANDES </t>
  </si>
  <si>
    <t xml:space="preserve">LUZ CARLOS DOS SANTOS </t>
  </si>
  <si>
    <t>ALINE DA SILVA PINTO</t>
  </si>
  <si>
    <t xml:space="preserve">JOSE ADRIEL PEREIRA DOS SANTOS </t>
  </si>
  <si>
    <t xml:space="preserve">JOSE FERNANDO DOS SANTOS </t>
  </si>
  <si>
    <t xml:space="preserve">5585792 RENOV </t>
  </si>
  <si>
    <t xml:space="preserve">ANTONIO JOSE DOS S ALVES </t>
  </si>
  <si>
    <t xml:space="preserve">ANTONIO DOS SANTOS </t>
  </si>
  <si>
    <t>LUIS CARLOS DE SOUZA S DE AQUINO</t>
  </si>
  <si>
    <t xml:space="preserve">TIAGO ROGERIO BATISTA CAVALCANTE </t>
  </si>
  <si>
    <t>MARCONE  FELIX DA COSTA</t>
  </si>
  <si>
    <t>FERNANDO TEODOSIO SANTIAGO</t>
  </si>
  <si>
    <t xml:space="preserve">DAVI BARROS DOS SANTOS </t>
  </si>
  <si>
    <t>5592217 RENOV</t>
  </si>
  <si>
    <t>ALEXSANDRO DO NASCIMENTO</t>
  </si>
  <si>
    <t>LIGIA PINHEIRO DE ARAUJO ROSENO</t>
  </si>
  <si>
    <t>5590446 RENOV</t>
  </si>
  <si>
    <t xml:space="preserve">JOALISON ALVES DA SILVA </t>
  </si>
  <si>
    <t xml:space="preserve">ADOLFO DE MELO MEDEIROS </t>
  </si>
  <si>
    <t>5583483 RENOV</t>
  </si>
  <si>
    <t xml:space="preserve">RODRIGO DE LIMA OLIVEIRA </t>
  </si>
  <si>
    <t xml:space="preserve">REGINALDO  CORDEIRO DOS SANTOS </t>
  </si>
  <si>
    <t>ROBERTO MED</t>
  </si>
  <si>
    <t>CRISTIANO DA SILVA LIMA</t>
  </si>
  <si>
    <t>GLEWISON EDNEY MENDES DUTRA</t>
  </si>
  <si>
    <t xml:space="preserve">JOSIVAL ARAUJO DA SILVA </t>
  </si>
  <si>
    <t xml:space="preserve">AILTON ALVES DE OLIVEIRA </t>
  </si>
  <si>
    <t xml:space="preserve">ELIANE MAURICIO DOS SANTOS </t>
  </si>
  <si>
    <t xml:space="preserve">BRENO BENVINDO GONDIM </t>
  </si>
  <si>
    <t>WENDELL ALEX F LEANDRO</t>
  </si>
  <si>
    <t xml:space="preserve">VALDEZ ONORIO PEREIRA </t>
  </si>
  <si>
    <t>HARLAN XAVIER DE O MARREIRO</t>
  </si>
  <si>
    <t xml:space="preserve">ISMAEL SILVA GOMES </t>
  </si>
  <si>
    <t xml:space="preserve">MARICELIA EDUARDO DOS SANTOS SALES </t>
  </si>
  <si>
    <t xml:space="preserve">HELIO EDUARDO DOS SANTOS </t>
  </si>
  <si>
    <t xml:space="preserve">ISMAEL MONTEIRO DA SILVA </t>
  </si>
  <si>
    <t xml:space="preserve">JOSE CLAUDINO LOURENÇO </t>
  </si>
  <si>
    <t xml:space="preserve">DARLIENE PAULINO DA SILVA </t>
  </si>
  <si>
    <t xml:space="preserve">55944890 RENOV </t>
  </si>
  <si>
    <t>SEVERINO ARTUR DA CRUZ IRMAO</t>
  </si>
  <si>
    <t xml:space="preserve">5605205 RENOV </t>
  </si>
  <si>
    <t xml:space="preserve">CAMILA MARCELINO FERREIRA </t>
  </si>
  <si>
    <t xml:space="preserve">5548084 RENOV </t>
  </si>
  <si>
    <t xml:space="preserve">FERNANDO JOSE SOARES MATIAS </t>
  </si>
  <si>
    <t xml:space="preserve">ANTHONY LUIZ MENDES MARTINS </t>
  </si>
  <si>
    <t xml:space="preserve">JOSEFA MINERVINA DE AQUINO SILVA </t>
  </si>
  <si>
    <t xml:space="preserve">EVALDO DEN SOUZA LIMA </t>
  </si>
  <si>
    <t xml:space="preserve">JURACI FLORIANO FERREIRA </t>
  </si>
  <si>
    <t>DAVI SILVA BRITO</t>
  </si>
  <si>
    <t xml:space="preserve">LUIZ DE SOUZA GONCALVES </t>
  </si>
  <si>
    <t xml:space="preserve">ANDRESSA DA CUNHA SOARES </t>
  </si>
  <si>
    <t xml:space="preserve">MARIA JOSELIA GONDIM DA SILVA </t>
  </si>
  <si>
    <t xml:space="preserve">5607609 RENOV </t>
  </si>
  <si>
    <t xml:space="preserve">BRENA SEVERIANO DE SANTANA </t>
  </si>
  <si>
    <t>5612002 RENOV</t>
  </si>
  <si>
    <t xml:space="preserve">MARICELIA SANTANA DOS SANTOS PEREIRA </t>
  </si>
  <si>
    <t>JOAO VICTOR DO NASCIMENTO LEOPOLDINO</t>
  </si>
  <si>
    <t xml:space="preserve">WALTER BRUNO CABRAL FERREIRA </t>
  </si>
  <si>
    <t xml:space="preserve">JOAO PEDRO FERREIRA DOS SANTOS </t>
  </si>
  <si>
    <t>XRE 300</t>
  </si>
  <si>
    <t xml:space="preserve">RAYANDERSON DE PAIVA OLIVEIRA </t>
  </si>
  <si>
    <t xml:space="preserve">JOSIVAL RODRIGUES FERREIRA </t>
  </si>
  <si>
    <t>PHABLO TORRES BRASIL</t>
  </si>
  <si>
    <t xml:space="preserve">EDNALDO DA SILVA </t>
  </si>
  <si>
    <t>5546552 RENOV</t>
  </si>
  <si>
    <t xml:space="preserve">PAULINA FREITA DOS SANTOS </t>
  </si>
  <si>
    <t xml:space="preserve">GLEYSON GABRIEL DOS S A SILVA </t>
  </si>
  <si>
    <t xml:space="preserve">LAYANE SOARES DA SILVA </t>
  </si>
  <si>
    <t>JOSE FAGNER DOS SANTOS ROGERIO</t>
  </si>
  <si>
    <t xml:space="preserve">ARTHUR HANDRE SOARES VIEIRA </t>
  </si>
  <si>
    <t>JOAO BATISTA FERNANDES NETO</t>
  </si>
  <si>
    <t xml:space="preserve">VALERIA MOREIRA DOS SANTOS </t>
  </si>
  <si>
    <t xml:space="preserve">AMANDA GABRIELLY VALENTIM GUEDES </t>
  </si>
  <si>
    <t xml:space="preserve">MICHELLY CANDIDO ALVES </t>
  </si>
  <si>
    <t>JOSUE FERREIRA DE SOUZA</t>
  </si>
  <si>
    <t xml:space="preserve">MARCIEL RODRIGUES DE ALMEIDA </t>
  </si>
  <si>
    <t>5611595 RENOV</t>
  </si>
  <si>
    <t xml:space="preserve">KELLY SOUZA DA SILVA </t>
  </si>
  <si>
    <t xml:space="preserve">VERALUCIA BARBOSA DOS SANTOS </t>
  </si>
  <si>
    <t xml:space="preserve">JOSE ANTONIO DA CUNHA </t>
  </si>
  <si>
    <t xml:space="preserve">MADSON SIMAO SANTOS </t>
  </si>
  <si>
    <t xml:space="preserve">MILLENA VIEIRA BATISTA </t>
  </si>
  <si>
    <t>5617490 RENOV</t>
  </si>
  <si>
    <t>P</t>
  </si>
  <si>
    <t>SEGUROS FECHADOS - JUNHO  2025</t>
  </si>
  <si>
    <t>MARIA DA GUIA DA S GON RODRIGUES</t>
  </si>
  <si>
    <t xml:space="preserve">JOSE EVANDRO ALVES </t>
  </si>
  <si>
    <t xml:space="preserve">SONIA GOMES DA SILVA </t>
  </si>
  <si>
    <t>CG 160 FAN</t>
  </si>
  <si>
    <t>ALBERTO CLAUDINO DA SOLVA</t>
  </si>
  <si>
    <t xml:space="preserve">ELIVALDO CORREIA LUIS </t>
  </si>
  <si>
    <t>ALLEPH FELIPE SANTIAGO</t>
  </si>
  <si>
    <t xml:space="preserve">ANDRESSA DOS SANTOS SILVA </t>
  </si>
  <si>
    <t>KALLINE KELLY DOS SANTOS SOUZA</t>
  </si>
  <si>
    <t xml:space="preserve">CICERO SILVINO BISPO BATISTA </t>
  </si>
  <si>
    <t xml:space="preserve">MARIA DO SOCORRO DA SILVA SANTOS </t>
  </si>
  <si>
    <t xml:space="preserve">CASSIO AUGUSTO NOGUEIRA FELIX </t>
  </si>
  <si>
    <t xml:space="preserve">JOSE HAMILTON DA COSTA SILVA </t>
  </si>
  <si>
    <t>XRE 300 SAHARA RALLY</t>
  </si>
  <si>
    <t xml:space="preserve">MARIA APARECIDA PASCOAL DOS S MENDES </t>
  </si>
  <si>
    <t>LAIS TOMAZ FERREIRA</t>
  </si>
  <si>
    <t>5629766 RENOV</t>
  </si>
  <si>
    <t xml:space="preserve">JOAO PAULO DE ARAUJO OLIVEIRA </t>
  </si>
  <si>
    <t>5629129 RENOV</t>
  </si>
  <si>
    <t xml:space="preserve">GISLAINE OLIVEIRA SANTOS </t>
  </si>
  <si>
    <t xml:space="preserve">WALLACE RAMOS DOS SANTOS </t>
  </si>
  <si>
    <t>MARIA DAS GRACAS DA S ARAUJO</t>
  </si>
  <si>
    <t>VALDEMIR GONZAGA DE BRITO</t>
  </si>
  <si>
    <t xml:space="preserve">JOAO LUCAS GUEDES DE ALMEIDA </t>
  </si>
  <si>
    <t xml:space="preserve">SAMARA DOS SANTOS FRANCA </t>
  </si>
  <si>
    <t xml:space="preserve">LEONARDO FERREIRA DOS SANTOS </t>
  </si>
  <si>
    <t>JOSE HENRIQUE CAMILO</t>
  </si>
  <si>
    <t xml:space="preserve">RAFAEL PEREIRA DOS SANTOS </t>
  </si>
  <si>
    <t>5630025 RENOV</t>
  </si>
  <si>
    <t xml:space="preserve">MARCOS ADRIANO DOS SANTOS </t>
  </si>
  <si>
    <t>RAIMUNDO CAMELO DA SILVA NETO</t>
  </si>
  <si>
    <t xml:space="preserve">GEAN SOUSA DA SILVA </t>
  </si>
  <si>
    <t xml:space="preserve">PAULO LUIS DA SILVA </t>
  </si>
  <si>
    <t xml:space="preserve">PEDRO CLEMENTINO DOS SANTOS </t>
  </si>
  <si>
    <t xml:space="preserve">DAVID MARQUES DA SILVA </t>
  </si>
  <si>
    <t xml:space="preserve">GERALDO CANDIDO DE LIMA </t>
  </si>
  <si>
    <t xml:space="preserve">JAILSON PONTES DA SILVA </t>
  </si>
  <si>
    <t xml:space="preserve">SEVERINO ALVES DA COSTA </t>
  </si>
  <si>
    <t>HESLANE CRISTINA DOS S DE BRITO</t>
  </si>
  <si>
    <t>PALOMA GABRIELLA DA SILVA BALBINO</t>
  </si>
  <si>
    <t>5639706 RENOV</t>
  </si>
  <si>
    <t xml:space="preserve">RYAN HENRIQUE FERREIRA DA SILVA </t>
  </si>
  <si>
    <t xml:space="preserve">EUCLIDES LIMA DA SILVA </t>
  </si>
  <si>
    <t>CB 300 TUWISTER</t>
  </si>
  <si>
    <t>FERNANDO ANTONIO DO AMARAL M FILHO</t>
  </si>
  <si>
    <t xml:space="preserve">GILVANILDO GOMES DA SILVA </t>
  </si>
  <si>
    <t>5637580 RENOV</t>
  </si>
  <si>
    <t xml:space="preserve">YURI GONÇALVES FERNANDES </t>
  </si>
  <si>
    <t xml:space="preserve">MARILENE MATIAS DA SILVA </t>
  </si>
  <si>
    <t>5641897 RENOV</t>
  </si>
  <si>
    <t xml:space="preserve">FABIANA RIBEIRO DE SALES </t>
  </si>
  <si>
    <t xml:space="preserve">BI 125 EX </t>
  </si>
  <si>
    <t xml:space="preserve">JOSE CAVALCANTE DOS SANTOS </t>
  </si>
  <si>
    <t>EZEQUIEL ANDRADE DE BRITO</t>
  </si>
  <si>
    <t xml:space="preserve">ADILSON GUIMARAES GONCALVES </t>
  </si>
  <si>
    <t xml:space="preserve">IRENILDO FRANCISCO DA SILVA </t>
  </si>
  <si>
    <t>RENATA MARIA DE BRITO</t>
  </si>
  <si>
    <t xml:space="preserve">JOSE DE OLIVEIRA SOARES </t>
  </si>
  <si>
    <t xml:space="preserve">IVANA CARLA SILVA DAS NEVES </t>
  </si>
  <si>
    <t xml:space="preserve">JOSE PEREIRA DA SILVA </t>
  </si>
  <si>
    <t xml:space="preserve">5641263 RENOV </t>
  </si>
  <si>
    <t xml:space="preserve">RAFAEL LUCENA DE PONTES </t>
  </si>
  <si>
    <t>WELLINGTON FARIAS DE MEIRELES</t>
  </si>
  <si>
    <t>ERIVAN LINDOLFO</t>
  </si>
  <si>
    <t xml:space="preserve">MATHEUS DO NASCIMENTO LIMA </t>
  </si>
  <si>
    <t>ESTEFANIO SOARES DA SILVA B</t>
  </si>
  <si>
    <t xml:space="preserve">LIVIA DA COSTA ALVES </t>
  </si>
  <si>
    <t xml:space="preserve">BRUNO LEONARDO FERREIRA LOPES </t>
  </si>
  <si>
    <t xml:space="preserve">MARCIO JUCELINO G DOS SANTOS </t>
  </si>
  <si>
    <t xml:space="preserve">ADERONILDO DE MORAIS </t>
  </si>
  <si>
    <t xml:space="preserve">5649465 RENOV </t>
  </si>
  <si>
    <t xml:space="preserve">ADRIANO CICERO  DOS SANTOS </t>
  </si>
  <si>
    <t xml:space="preserve">LUIS FRNACISCO DOS SANTOS </t>
  </si>
  <si>
    <t xml:space="preserve">ALINE BARBOSA DOS SANTOS </t>
  </si>
  <si>
    <t>5655145 RENOV</t>
  </si>
  <si>
    <t xml:space="preserve">ANA CLARA ALMEIDA FELIX </t>
  </si>
  <si>
    <t xml:space="preserve">ISAAC PEREIRA DA SILVA </t>
  </si>
  <si>
    <t xml:space="preserve">MIRELLE MARIA DE OLIVEIRA ROCHA </t>
  </si>
  <si>
    <t xml:space="preserve">ISABELLA ALVES DOS NREIS </t>
  </si>
  <si>
    <t xml:space="preserve">BERGELA GRAZIANNE DE LIMA B GOMES </t>
  </si>
  <si>
    <t>JOSE DINIZ FERREIRA DE NARAUJO</t>
  </si>
  <si>
    <t xml:space="preserve">RODSON SANTOS BELICIO DA SILVA </t>
  </si>
  <si>
    <t xml:space="preserve">SANDRA ELIAS DA SILVA </t>
  </si>
  <si>
    <t xml:space="preserve">FRANCISCO DE ASSIS CARDOSO ALVES </t>
  </si>
  <si>
    <t>5657485 RENOV</t>
  </si>
  <si>
    <t xml:space="preserve">EDIVALDO ALVES DA SILVA </t>
  </si>
  <si>
    <t>MARCELO NOEL FRANCISCO</t>
  </si>
  <si>
    <t xml:space="preserve">5659368 RENOV </t>
  </si>
  <si>
    <t xml:space="preserve">ANTONIO DE LIMA COSTA </t>
  </si>
  <si>
    <t>PABLO RODOLFO DOS SANTOS BURUITI</t>
  </si>
  <si>
    <t xml:space="preserve">5653887 RENOV </t>
  </si>
  <si>
    <t xml:space="preserve">FERNANDO SINEZIO DAS NEVES </t>
  </si>
  <si>
    <t>LUCIENE ALMEIDA PINTO</t>
  </si>
  <si>
    <t xml:space="preserve">GEANGELA ALVES DOS SANTOS </t>
  </si>
  <si>
    <t>LUIS CARLOS COUTINHO</t>
  </si>
  <si>
    <t>XRE300 SAHARA ADV</t>
  </si>
  <si>
    <t xml:space="preserve">FRANCISCO DE ASSIS DE OLIVEIRA </t>
  </si>
  <si>
    <t xml:space="preserve">RORESILDA INACIO DA SILVA </t>
  </si>
  <si>
    <t xml:space="preserve">SEVERINO PEDRO DA SILVA </t>
  </si>
  <si>
    <t xml:space="preserve">LUCAS DA COSTA SANTOS </t>
  </si>
  <si>
    <t>CG 160 FAN ESDI</t>
  </si>
  <si>
    <t>5668610 RENOV</t>
  </si>
  <si>
    <t xml:space="preserve">JOSE GUILHERME DE MIRANDA </t>
  </si>
  <si>
    <t xml:space="preserve">EDIJANE DE LIMA SILVA </t>
  </si>
  <si>
    <t xml:space="preserve">LINDINES BASTOS DOS SANTOS </t>
  </si>
  <si>
    <t xml:space="preserve">HELENO SILVA PEREIRA JUNIOR </t>
  </si>
  <si>
    <t xml:space="preserve">ALISON BATISTA DA SILVA </t>
  </si>
  <si>
    <t xml:space="preserve">JOSE JOVELINO DA SILVA </t>
  </si>
  <si>
    <t xml:space="preserve">THIAGO ARAUJO PESSOA </t>
  </si>
  <si>
    <t xml:space="preserve">JOSE MARCIO MACIANO DA SILVA </t>
  </si>
  <si>
    <t xml:space="preserve">JOSEILTON DOS SANTOS </t>
  </si>
  <si>
    <t xml:space="preserve">FRANCIELE ALVES GOMES </t>
  </si>
  <si>
    <t>ADRIANO MARCOLINO DO NASCIMENTO</t>
  </si>
  <si>
    <t>CG 150  FAN ESDI</t>
  </si>
  <si>
    <t xml:space="preserve">HIBRAHIM ELIAB MACHADO DA SILVA </t>
  </si>
  <si>
    <t>MILTON CESAR RODRIGUEZ GIRALDO</t>
  </si>
  <si>
    <t xml:space="preserve">RYQUELME HENRIQUENARAUJO DOS SANTOS </t>
  </si>
  <si>
    <t xml:space="preserve">DANILO JOABSON REIS NDE MORAIS </t>
  </si>
  <si>
    <t xml:space="preserve">JOSIMAR OLIVEIRA DE LIMA </t>
  </si>
  <si>
    <t>5684396 RENOV</t>
  </si>
  <si>
    <t>SEGUROS FECHADOS - JULHO  2025</t>
  </si>
  <si>
    <t xml:space="preserve">SALETE MARIA FREIRE RAMOS </t>
  </si>
  <si>
    <t>ANA MARIA SANCHO</t>
  </si>
  <si>
    <t xml:space="preserve">EDILSON BARBOSA DA COSTA </t>
  </si>
  <si>
    <t xml:space="preserve">JOSE GUILHERME SOUZA FERNANDES </t>
  </si>
  <si>
    <t xml:space="preserve">LUCIENE DE FATIMA ALVES DA SILVA </t>
  </si>
  <si>
    <t xml:space="preserve">KAROLINE MINERVINO DE OLIVEIRA </t>
  </si>
  <si>
    <t>HILDEBRANDO MOURA DE SOUZA</t>
  </si>
  <si>
    <t>5662431 RENOV</t>
  </si>
  <si>
    <t>CARTÃO</t>
  </si>
  <si>
    <t xml:space="preserve">ELINALDO FELIPE DOS SANTOS </t>
  </si>
  <si>
    <t>CG 160  FAN</t>
  </si>
  <si>
    <t xml:space="preserve">JOSENILDO SOARES DA SILVA </t>
  </si>
  <si>
    <t xml:space="preserve">REGINALDO AVELINO ALVES </t>
  </si>
  <si>
    <t>JARBSON RODRIGUES MARINHO</t>
  </si>
  <si>
    <t>NXR 160 BROS CBS</t>
  </si>
  <si>
    <t xml:space="preserve">LUIS CARLOS PEREIRA DA SILVA </t>
  </si>
  <si>
    <t>JOILSON DE OLIVEIRA FREIRE</t>
  </si>
  <si>
    <t xml:space="preserve">MARIA EDUARDA BRAZ DOS SANTOS </t>
  </si>
  <si>
    <t xml:space="preserve">ROBSON JOSE ARAUJO T JUNIOR </t>
  </si>
  <si>
    <t xml:space="preserve">JOAO PAULO DA SILVA </t>
  </si>
  <si>
    <t xml:space="preserve">VANDO LINO DE SANTANA </t>
  </si>
  <si>
    <t>CIDELANDIA DA SILVA MEDEIROS</t>
  </si>
  <si>
    <t xml:space="preserve">TAINARA DOS SANTOS LIMA </t>
  </si>
  <si>
    <t>LAIS DAIANE DA SILVA SOUSA</t>
  </si>
  <si>
    <t>5699880 RENOV</t>
  </si>
  <si>
    <t xml:space="preserve">ALACIDE FERREIRA ALVES </t>
  </si>
  <si>
    <t xml:space="preserve">FABIO JUNIOR BARBOSA </t>
  </si>
  <si>
    <t xml:space="preserve">MARIA DAS GRAÇAS T DA SILVA </t>
  </si>
  <si>
    <t xml:space="preserve">JOALISON AVELINO DA SILVA </t>
  </si>
  <si>
    <t xml:space="preserve">MARTINHO JANUARIO DA SILVA </t>
  </si>
  <si>
    <t>ANTONIO LINO F NETO</t>
  </si>
  <si>
    <t xml:space="preserve">5705819 RENOV </t>
  </si>
  <si>
    <t xml:space="preserve">EDVANIA MARCELINO DOS S LIMA </t>
  </si>
  <si>
    <t xml:space="preserve">EDVALDO DOMINGOS DA SILVA </t>
  </si>
  <si>
    <t xml:space="preserve">EVERTON DA SILVA GONCALVES </t>
  </si>
  <si>
    <t xml:space="preserve">ROSILENE DA SILVA </t>
  </si>
  <si>
    <t xml:space="preserve">VALMIR VIRGINIO DA SILVA </t>
  </si>
  <si>
    <t xml:space="preserve">RICARDO FERREIRA DOS SANTOS </t>
  </si>
  <si>
    <t xml:space="preserve">ALESSANDRA FRANCISCO DOS SANTOS </t>
  </si>
  <si>
    <t xml:space="preserve">JOSE LUCAS DA SILVA </t>
  </si>
  <si>
    <t xml:space="preserve">JOCELIO GOMES DE LIMA </t>
  </si>
  <si>
    <t>FERNANDA DIAS MONTEIRO</t>
  </si>
  <si>
    <t xml:space="preserve">ALYSON SANTOS DE OLIVEIRA </t>
  </si>
  <si>
    <t xml:space="preserve">GILVANDO FIDELIS DE LIMA </t>
  </si>
  <si>
    <t xml:space="preserve">JOSE CARLOS DA SILVA </t>
  </si>
  <si>
    <t xml:space="preserve">IZAIAS BEZERRA DA SILVA </t>
  </si>
  <si>
    <t>RAFAEL PONTES FRANCELINO</t>
  </si>
  <si>
    <t xml:space="preserve">GUILHERME BESERRA LOPES </t>
  </si>
  <si>
    <t>5714096 RENOV</t>
  </si>
  <si>
    <t xml:space="preserve">ANTONIO ALVES DA COSTA </t>
  </si>
  <si>
    <t xml:space="preserve">MARIA DAS GAÇAS DE A LIMA </t>
  </si>
  <si>
    <t xml:space="preserve">LENILSON FELIPE FERNANDES </t>
  </si>
  <si>
    <t xml:space="preserve">JOSE NILTON SALUSTINO DA SILVA </t>
  </si>
  <si>
    <t>LUIZ EDNALDO CHIANCA DE MEDEIROS</t>
  </si>
  <si>
    <t xml:space="preserve">EDSON PAULINO SOARES DA SILVA </t>
  </si>
  <si>
    <t xml:space="preserve">RAYANA DOS SANTOS SILVA </t>
  </si>
  <si>
    <t>5707118 RENOV</t>
  </si>
  <si>
    <t xml:space="preserve">CICERO DE SOUZA GONCALVES </t>
  </si>
  <si>
    <t xml:space="preserve">RAFAEL LAURENTINO DE SOUZA </t>
  </si>
  <si>
    <t xml:space="preserve">ALUIZIO COELHO DOS SANTOS </t>
  </si>
  <si>
    <t xml:space="preserve">JOSE RODRIGO ALVES GALDINO </t>
  </si>
  <si>
    <t xml:space="preserve">ANA LUCIA BARRETO FERREIRA </t>
  </si>
  <si>
    <t xml:space="preserve">ANDRE AGUIAR RODRIGUES </t>
  </si>
  <si>
    <t>ADRIANO DUARTE ARAUJO</t>
  </si>
  <si>
    <t xml:space="preserve">IZAQUE FERREIRA DA SILVA </t>
  </si>
  <si>
    <t>SAMUEL BRANCO</t>
  </si>
  <si>
    <t xml:space="preserve">JOAO FERNANDES DE OLIVEIRA </t>
  </si>
  <si>
    <t>5733325 RENOV</t>
  </si>
  <si>
    <t xml:space="preserve">JUSSARA MARIA DAS MERCES PTES SANTOS </t>
  </si>
  <si>
    <t xml:space="preserve">ALANA BATISTA DA SILVA </t>
  </si>
  <si>
    <t>5708778 RENOV</t>
  </si>
  <si>
    <t>ALEXSANDRO RODRIGUES DE ANDRADE</t>
  </si>
  <si>
    <t xml:space="preserve">JOAO BATISTA ESTEVAO DOS SANTOS </t>
  </si>
  <si>
    <t>5732079 RENOV</t>
  </si>
  <si>
    <t xml:space="preserve">JOSINALDO PEREIRA DA SILVA </t>
  </si>
  <si>
    <t xml:space="preserve">EDMEIA MAXIMIANO QUARESMA </t>
  </si>
  <si>
    <t xml:space="preserve">JUCYBELY FIDELIS </t>
  </si>
  <si>
    <t>5736106 RENOV</t>
  </si>
  <si>
    <t xml:space="preserve">EDILSON MANUEL DOS SANTOS </t>
  </si>
  <si>
    <t xml:space="preserve">DANNIEL BATISTA FREIRE </t>
  </si>
  <si>
    <t xml:space="preserve">ANTONIO RODRIGUES DA SILVA </t>
  </si>
  <si>
    <t xml:space="preserve">ROGERIO TARGINO DA SILVA </t>
  </si>
  <si>
    <t xml:space="preserve">JOSE NOGUEIRA DE SOUZA </t>
  </si>
  <si>
    <t>5695285 RENOV</t>
  </si>
  <si>
    <t xml:space="preserve">LEONARDO ALVES DA SILVA </t>
  </si>
  <si>
    <t>DANILO TORRES DE SOUZA</t>
  </si>
  <si>
    <t xml:space="preserve">ADRIANO SANTOS DA SILVA </t>
  </si>
  <si>
    <t>5706968 RENOV</t>
  </si>
  <si>
    <t xml:space="preserve">FERNANDES MATIAS DA SILVA </t>
  </si>
  <si>
    <t>5739838 RENOIV</t>
  </si>
  <si>
    <t>GENILSON GUEDES DE PAULA</t>
  </si>
  <si>
    <t xml:space="preserve">GERALDO SILVA DOS SANTOS </t>
  </si>
  <si>
    <t xml:space="preserve">EMANUELA KARLA LOURENCO DA SILVA </t>
  </si>
  <si>
    <t xml:space="preserve">LUIZ CLAUDIO DIAS LIMA </t>
  </si>
  <si>
    <t xml:space="preserve">JOAO VICTOR SILVA LINS </t>
  </si>
  <si>
    <t xml:space="preserve">JOSENILDO RIBEIRO DA SILVA </t>
  </si>
  <si>
    <t>TALLES DA SILVA ALMEIDA</t>
  </si>
  <si>
    <t xml:space="preserve">JONAS JACINTO DE LIMA </t>
  </si>
  <si>
    <t xml:space="preserve">JOSE MARCOS SALUSTINO DOS SANTOS </t>
  </si>
  <si>
    <t xml:space="preserve">ADILMA BATISTA FERREIRA </t>
  </si>
  <si>
    <t xml:space="preserve">JOABSON DOUGLAS DA COSTA </t>
  </si>
  <si>
    <t>SEVERINO FELIX SANTANA</t>
  </si>
  <si>
    <t xml:space="preserve">GILBERTO FELICIO DA COSTA </t>
  </si>
  <si>
    <t xml:space="preserve">RICHELLE KARLA CLAUDINO BARBOSA </t>
  </si>
  <si>
    <t xml:space="preserve">BI 125 ES </t>
  </si>
  <si>
    <t>5729123 RENOV</t>
  </si>
  <si>
    <t xml:space="preserve">FELIPE DO AMARAL SILVA </t>
  </si>
  <si>
    <t>5737904 RENOV</t>
  </si>
  <si>
    <t>JONATHA BATISTA GALDINO</t>
  </si>
  <si>
    <t xml:space="preserve">FABIO VICENTE PESSOA </t>
  </si>
  <si>
    <t xml:space="preserve">FRANCISCO GUIMARAES DA SILVA </t>
  </si>
  <si>
    <t>5759692 RENOV</t>
  </si>
  <si>
    <t xml:space="preserve">JOSE VAMBERTO PEREIRA TAVARES </t>
  </si>
  <si>
    <t xml:space="preserve">MARIA JOSE DE LIMA FERNANDES </t>
  </si>
  <si>
    <t xml:space="preserve">JOSE MARCO ADAO DE SOUSA </t>
  </si>
  <si>
    <t>5728588 RENOV</t>
  </si>
  <si>
    <t xml:space="preserve">WLDECLEYTHON MACHADO DA SILVA </t>
  </si>
  <si>
    <t xml:space="preserve">MARIVANDO BARBOSA DA CUNHA </t>
  </si>
  <si>
    <t>SEGUROS FECHADOS - AGOSTO  2025</t>
  </si>
  <si>
    <t xml:space="preserve">SILVANO LINS DE OLIVEIRA JUNIOR </t>
  </si>
  <si>
    <t>WELIX DO NASCIMENTO COSTA</t>
  </si>
  <si>
    <t>NXR 160 BROS ESDD</t>
  </si>
  <si>
    <t xml:space="preserve">571505 RENOV </t>
  </si>
  <si>
    <t>CLEANE TRAJANO DE OLIVEIRA MACHADO</t>
  </si>
  <si>
    <t xml:space="preserve">CARLOS DE OLIVEIRA SILVA </t>
  </si>
  <si>
    <t>MATHEUS DOS SANTOS AGUIAR</t>
  </si>
  <si>
    <t>DENIZE DA SILVA OLIVEIRA</t>
  </si>
  <si>
    <t xml:space="preserve">AURIMAR DE ARAUJO FERREIRA </t>
  </si>
  <si>
    <t>5768200 RENOV</t>
  </si>
  <si>
    <t xml:space="preserve">ELIO GOMES DE ARRUDA </t>
  </si>
  <si>
    <t xml:space="preserve">5767326 RENOV </t>
  </si>
  <si>
    <t xml:space="preserve">ROGERIO DE ARAUJO MOREIRA </t>
  </si>
  <si>
    <t xml:space="preserve">PAULO CAVALCANTE VIEIRA </t>
  </si>
  <si>
    <t xml:space="preserve">MISAEL BARBOSA DA CUNHA </t>
  </si>
  <si>
    <t xml:space="preserve">JOSE EVERTON SALUSTIANO BARBOSA </t>
  </si>
  <si>
    <t xml:space="preserve">MARIA DAS VITORIAS D DA SILVA </t>
  </si>
  <si>
    <t xml:space="preserve">LUIZ ANDRE DE LIMA </t>
  </si>
  <si>
    <t xml:space="preserve">GRACINHA </t>
  </si>
  <si>
    <t xml:space="preserve">WILLIANE MARTINS DA SILVA </t>
  </si>
  <si>
    <t xml:space="preserve">MARIA JOSE AVELINO GOMES </t>
  </si>
  <si>
    <t>RUI BATISTA CHAGAS NETO</t>
  </si>
  <si>
    <t xml:space="preserve">LEANDRO NASCIMENTO MOURA </t>
  </si>
  <si>
    <t>JOAO SALES COUTINHO</t>
  </si>
  <si>
    <t>5783139 RENOV</t>
  </si>
  <si>
    <t>VALDICE DA SILVA FERNANDES BESERRA</t>
  </si>
  <si>
    <t xml:space="preserve">CLEYTON SILVA SANTOS </t>
  </si>
  <si>
    <t xml:space="preserve">EDUARDA GABRIELLY FIRMINO DE LIMA </t>
  </si>
  <si>
    <t xml:space="preserve">FABRICIO DOS SANTOS SILVA </t>
  </si>
  <si>
    <t xml:space="preserve">JOAO DE OLIVEIRA DANTAS </t>
  </si>
  <si>
    <t xml:space="preserve">5768807 RENOV </t>
  </si>
  <si>
    <t xml:space="preserve">LAIS PORPINO ANDRADE DE LIMA </t>
  </si>
  <si>
    <t>5789329 RENOV</t>
  </si>
  <si>
    <t xml:space="preserve">ELEONEL LOPES HENRIQUE </t>
  </si>
  <si>
    <t xml:space="preserve">JOAO ERIBERTO VIRGINIO HENRIQUE </t>
  </si>
  <si>
    <t xml:space="preserve">AMAURI JUSTINO DA SILVA </t>
  </si>
  <si>
    <t xml:space="preserve">FERNANDO CABRAL DA COSTA </t>
  </si>
  <si>
    <t>NXR 160 BROZ ESDD</t>
  </si>
  <si>
    <t xml:space="preserve">AMANDO JOAQUINM DE LIMA </t>
  </si>
  <si>
    <t>5745292 RENOV</t>
  </si>
  <si>
    <t xml:space="preserve">SUENIA DOS SANTOS GOMES </t>
  </si>
  <si>
    <t xml:space="preserve">JOSE MARCELO DE FARIAS </t>
  </si>
  <si>
    <t xml:space="preserve">JOAO AVELINO DA SILVA </t>
  </si>
  <si>
    <t>FLAVIA REJANE DA SILVA GINO</t>
  </si>
  <si>
    <t>DIOGO RAMOM SILVA DE LIMA</t>
  </si>
  <si>
    <t>PEDRO ALVES DE ALMEIDA FILHO</t>
  </si>
  <si>
    <t xml:space="preserve">BRENO RODRIGUES DA SILVA </t>
  </si>
  <si>
    <t xml:space="preserve">CELIO ROBERTO DE SOUZA PEREIRA </t>
  </si>
  <si>
    <t xml:space="preserve">RENATO SOARES DE ALMEIDA </t>
  </si>
  <si>
    <t xml:space="preserve">IVANEIDE ALMNEIDA DE OLIVEIRA </t>
  </si>
  <si>
    <t>5797723 RENOV</t>
  </si>
  <si>
    <t xml:space="preserve">GRACIELE DOS SANTOS NCRUZ </t>
  </si>
  <si>
    <t xml:space="preserve">RAYLENE PAULINO DE SOUZA </t>
  </si>
  <si>
    <t>SAMUEL SANTOS</t>
  </si>
  <si>
    <t xml:space="preserve">JOSE CARLOS DOS SANTOS LOPES </t>
  </si>
  <si>
    <t xml:space="preserve">MARCOS OLIVEIRA SANTOS </t>
  </si>
  <si>
    <t xml:space="preserve">WENDEL FERNANDES BERNARDO DA SILVA </t>
  </si>
  <si>
    <t>ROMERO DE ANDRADE LIRA</t>
  </si>
  <si>
    <t xml:space="preserve">JOSEMAR GONZAGA DA SILVA </t>
  </si>
  <si>
    <t xml:space="preserve">5805968 RENOV </t>
  </si>
  <si>
    <t xml:space="preserve">DIEGO ESTEFANY PINHEIRO DANTAS </t>
  </si>
  <si>
    <t xml:space="preserve">RAFAELE MIRANDA DA SILVA </t>
  </si>
  <si>
    <t xml:space="preserve">ERIVAN CARLOS FERREIRA DA SILVA </t>
  </si>
  <si>
    <t xml:space="preserve">FRANCISCO DE ASSIS SANTOS LUNA </t>
  </si>
  <si>
    <t>JOSE ADERCIO VENANCIO SOBRINHO</t>
  </si>
  <si>
    <t xml:space="preserve">SILVANIO ALVES DE FARIAS </t>
  </si>
  <si>
    <t xml:space="preserve">AVANILDA SILVA DE OLIVEIRA SANTOS </t>
  </si>
  <si>
    <t>5812961 RENOV</t>
  </si>
  <si>
    <t xml:space="preserve">JOSEANO MACENA DA SILVA </t>
  </si>
  <si>
    <t xml:space="preserve">JOSE JUNIOR GALDINO DE OLIVEIRA </t>
  </si>
  <si>
    <t>ALUIZIO DE NSOUZA JUNIOR</t>
  </si>
  <si>
    <t xml:space="preserve">GERLANE SILVA DE LIMA </t>
  </si>
  <si>
    <t xml:space="preserve">LIVANE KARLA COSTA DE OLIVEIRA </t>
  </si>
  <si>
    <t xml:space="preserve">5812389 RENOV </t>
  </si>
  <si>
    <t>5818094 RENOV</t>
  </si>
  <si>
    <t>GEANE MENDES DUTRA</t>
  </si>
  <si>
    <t xml:space="preserve">BELLGA DE BARROS XAVIER </t>
  </si>
  <si>
    <t xml:space="preserve">5765069 RENOV </t>
  </si>
  <si>
    <t xml:space="preserve">LUCIANO ALEXANDRE DOS SANTOS </t>
  </si>
  <si>
    <t>JORGE LUIS SOARES CARNEIRO</t>
  </si>
  <si>
    <t xml:space="preserve">JOALISSON DOS SANTOS OLIVEIRA </t>
  </si>
  <si>
    <t xml:space="preserve">ROSEANE ALVES DOS SANTOS </t>
  </si>
  <si>
    <t>MAYARA SANTOS BELMIRO</t>
  </si>
  <si>
    <t xml:space="preserve">JOSE EDMILSON FELINTO GOMES </t>
  </si>
  <si>
    <t>MARCOS VINICIUS FERREIRA DO NASCIMENTO</t>
  </si>
  <si>
    <t xml:space="preserve">PEDRO VITORINO DE MOURA </t>
  </si>
  <si>
    <t xml:space="preserve">ADRIANO FILGUEIRA MAIA </t>
  </si>
  <si>
    <t xml:space="preserve">VINICIUS KLEBER ORANGE GOMES </t>
  </si>
  <si>
    <t xml:space="preserve">ANTONIO PEREIRA DA SILVA </t>
  </si>
  <si>
    <t>MARCELO RODRIGUES DE ARAUJO</t>
  </si>
  <si>
    <t>MARIA ELIANE DOS SANTOS SANTIAGO</t>
  </si>
  <si>
    <t xml:space="preserve">ADEILSON DOS SANTOS SILVA </t>
  </si>
  <si>
    <t xml:space="preserve">MARIA GORETE GOMES DA SILVA </t>
  </si>
  <si>
    <t xml:space="preserve">KELVIN DAVID MACEDO FERREIRA </t>
  </si>
  <si>
    <t xml:space="preserve">MIICHAEL </t>
  </si>
  <si>
    <t>DAVID RICARDO DA SILVA</t>
  </si>
  <si>
    <t xml:space="preserve">IZABEL SOARES DA SILVA </t>
  </si>
  <si>
    <t>DAYANE BANDEIRA DE BRITO</t>
  </si>
  <si>
    <t xml:space="preserve">FELIPE DE LIMA CASSIANO DANTAS </t>
  </si>
  <si>
    <t xml:space="preserve">MARIA DAS DORES DE JESUS </t>
  </si>
  <si>
    <t xml:space="preserve">JOSEILTON MARCOLINO DA SILVA </t>
  </si>
  <si>
    <t>SAHARA 300 RALLY</t>
  </si>
  <si>
    <t xml:space="preserve">LEOCLECIO PEREIRA DOS SANTOS SILVA </t>
  </si>
  <si>
    <t xml:space="preserve">DESIANE MAIARA GOMES DOS SANTOS </t>
  </si>
  <si>
    <t xml:space="preserve">ROMERO EDUARDO  SOUSA DA COSTA </t>
  </si>
  <si>
    <t xml:space="preserve">GILVANIA DE LIMA BRITO SILVA </t>
  </si>
  <si>
    <t>LUCIA DE FATIMA DA CONCEICAO</t>
  </si>
  <si>
    <t>FABIANO LOURENCO DO NASCIMENTO</t>
  </si>
  <si>
    <t xml:space="preserve">CLAUDIANA DOS SANTOS AL,MEIDA </t>
  </si>
  <si>
    <t xml:space="preserve">NILDERLANDIO FERREIRA DA SILVA </t>
  </si>
  <si>
    <t>ROBEANO SOUTO</t>
  </si>
  <si>
    <t>5836446 RENOV</t>
  </si>
  <si>
    <t>SEVERINO HERCULANO ANTONIO JUNIOR</t>
  </si>
  <si>
    <t xml:space="preserve">JOSE ROBERTO P DOS SANTOS </t>
  </si>
  <si>
    <t xml:space="preserve">JOSE CARLOS DE SOUZA </t>
  </si>
  <si>
    <t xml:space="preserve">LUANA CARLA FERREIRA DA SILVA </t>
  </si>
  <si>
    <t xml:space="preserve">MARIA MARCIANA MORAIS DA SILVA </t>
  </si>
  <si>
    <t xml:space="preserve">JORGE KLAIVER DUARTE DE MELO OLIVEIRA </t>
  </si>
  <si>
    <t xml:space="preserve">MARCELO MONTENEGRO LEITE </t>
  </si>
  <si>
    <t xml:space="preserve">MARCELO ASSIS HIPOLITO DE CARVALHO </t>
  </si>
  <si>
    <t xml:space="preserve">5843685 RENOV </t>
  </si>
  <si>
    <t>cancelou</t>
  </si>
  <si>
    <t>SEGUROS FECHADOS - SETEMBRO  2025</t>
  </si>
  <si>
    <t xml:space="preserve">JOAO HENRIQUE DIAS </t>
  </si>
  <si>
    <t xml:space="preserve">POP 110 </t>
  </si>
  <si>
    <t xml:space="preserve">RENATO BELARMINO DA SILVA </t>
  </si>
  <si>
    <t xml:space="preserve">ERIKA CARLA DE FREITAS LIMA </t>
  </si>
  <si>
    <t xml:space="preserve">MICHAEL PAULINO DA SILVA CUNHA </t>
  </si>
  <si>
    <t xml:space="preserve">VANDILSON FAUSTINO DE OLIVEIRA </t>
  </si>
  <si>
    <t xml:space="preserve">JOELSON NASCIMENTO DOS SANTOS </t>
  </si>
  <si>
    <t>MARCIA ALVES DOS SANTOS</t>
  </si>
  <si>
    <t>NXR 160 CBS</t>
  </si>
  <si>
    <t>ALDIR FERREIRA DE LIMA JUNIOR</t>
  </si>
  <si>
    <t xml:space="preserve">JOSELMA FERNANDES DA COSTA </t>
  </si>
  <si>
    <t xml:space="preserve">BI 125 </t>
  </si>
  <si>
    <t xml:space="preserve">MARCELO ALVES DE OLIVEIRA </t>
  </si>
  <si>
    <t xml:space="preserve">5925411 RENOV </t>
  </si>
  <si>
    <t>MARIA DE LOURDES COSMO</t>
  </si>
  <si>
    <t>5855499 RENOV</t>
  </si>
  <si>
    <t xml:space="preserve">AVANILDO JOSE DA SILVA </t>
  </si>
  <si>
    <t xml:space="preserve">ISAC GONCALVES DE LIMA </t>
  </si>
  <si>
    <r>
      <t>MANOEL  ANTONIO DOS SANTOS</t>
    </r>
    <r>
      <rPr>
        <sz val="14"/>
        <color rgb="FF00B050"/>
        <rFont val="Calibri"/>
        <family val="2"/>
        <scheme val="minor"/>
      </rPr>
      <t xml:space="preserve"> (OBS)</t>
    </r>
  </si>
  <si>
    <t>9223338 RENOV</t>
  </si>
  <si>
    <t xml:space="preserve">GINALDO RIBEIRO DA SILVA </t>
  </si>
  <si>
    <t xml:space="preserve">NXR 160 BROS ABS </t>
  </si>
  <si>
    <t>JACKSON MATEUS CUNHA DE AGUIAR</t>
  </si>
  <si>
    <t xml:space="preserve">SEBASTIAO FRANCISCO DOS SANTOS </t>
  </si>
  <si>
    <t xml:space="preserve">JULIO RIFINO DA SILVA </t>
  </si>
  <si>
    <t>CB 300TWISTER CBS</t>
  </si>
  <si>
    <t xml:space="preserve">GERALDO MARINHO GOMES </t>
  </si>
  <si>
    <t xml:space="preserve">ITALO ROMERO DIAS DOS SANTOS </t>
  </si>
  <si>
    <t xml:space="preserve">VERA LUCIA ANSELMO DE LIMA </t>
  </si>
  <si>
    <t xml:space="preserve">PAULO ALBERTO GOMES DA SILVA </t>
  </si>
  <si>
    <t xml:space="preserve">LILIA RODRIGUES FARIAS DE LIMA </t>
  </si>
  <si>
    <t xml:space="preserve">VALERIA FIRMINO DOS SANTOS </t>
  </si>
  <si>
    <t xml:space="preserve">MARCOS ANTONIO DA SILVA </t>
  </si>
  <si>
    <t>MARIA DAPENHA BELARMINO</t>
  </si>
  <si>
    <t>VICENTE PEREIRA TORRES DO CARMO</t>
  </si>
  <si>
    <t xml:space="preserve">JOSE LEANDRO DOS SANTOS </t>
  </si>
  <si>
    <t>5860625 RENOV</t>
  </si>
  <si>
    <t xml:space="preserve">JANMERSON DA SILVA DINIZ </t>
  </si>
  <si>
    <t xml:space="preserve">GABRIELA MELO DOS SANTOS </t>
  </si>
  <si>
    <t xml:space="preserve">MARIA EDILEUSA SOARES </t>
  </si>
  <si>
    <t xml:space="preserve">ANDRE DE LIMA MARTINS </t>
  </si>
  <si>
    <t xml:space="preserve">THAYSSA GOMES DA SILVA </t>
  </si>
  <si>
    <t xml:space="preserve">JULIO CESAR DELFINO DE SOUSA </t>
  </si>
  <si>
    <t xml:space="preserve">RENALISSON BARBOSA DA SILVA </t>
  </si>
  <si>
    <t xml:space="preserve">JACKSON DOUGLAS BARBOSA DOS SANTOS </t>
  </si>
  <si>
    <t>JOSE CORDEIRO DE SOUTO</t>
  </si>
  <si>
    <t xml:space="preserve">MARCELO RIBEIRO DE MEIRELES </t>
  </si>
  <si>
    <t xml:space="preserve">NICODEMOS DE LIMA SILVA </t>
  </si>
  <si>
    <t xml:space="preserve">5824645 RENOV </t>
  </si>
  <si>
    <t xml:space="preserve">CESAR ALVES PESSOA </t>
  </si>
  <si>
    <t xml:space="preserve">5865215 RENOV </t>
  </si>
  <si>
    <r>
      <t>ADERIVAN DE BARROS BEZERRA  (</t>
    </r>
    <r>
      <rPr>
        <sz val="14"/>
        <color rgb="FF00B050"/>
        <rFont val="Calibri"/>
        <family val="2"/>
        <scheme val="minor"/>
      </rPr>
      <t>OBS)</t>
    </r>
  </si>
  <si>
    <t xml:space="preserve">9154737 RENOV </t>
  </si>
  <si>
    <t xml:space="preserve">ANTONIO CARLOS VIEIRA </t>
  </si>
  <si>
    <t xml:space="preserve">VALTEILSON ALEXANDRINO DA SILVA </t>
  </si>
  <si>
    <t xml:space="preserve">AGUINALDO SANTOS DE SOUSA </t>
  </si>
  <si>
    <t>MARIA APARECIDA ARAUJO DE ANDRADE</t>
  </si>
  <si>
    <t>SILMANY TEODOSIO ARCANJA</t>
  </si>
  <si>
    <t xml:space="preserve">ROBERTO MEDEIROS </t>
  </si>
  <si>
    <t xml:space="preserve">JOSE JOALYSON SILVA SANTOS </t>
  </si>
  <si>
    <t xml:space="preserve">LEVI DA SILVA FERREIRA </t>
  </si>
  <si>
    <t xml:space="preserve">CLEBERSON ALVES DE OLIVEIRA </t>
  </si>
  <si>
    <t xml:space="preserve">JAILSON FERNANDES DA SILVA </t>
  </si>
  <si>
    <t xml:space="preserve">NXR  160 BROS </t>
  </si>
  <si>
    <t xml:space="preserve">LUIS ANTONIO DA SILVA </t>
  </si>
  <si>
    <t>VITAL SOUTO MONTENEGRO</t>
  </si>
  <si>
    <t xml:space="preserve">JOELSON BERNARDO DA SILVA </t>
  </si>
  <si>
    <t>EDSON ALVES DO NASCIMENTO</t>
  </si>
  <si>
    <t>JOSE AMARO DE ARAUJO</t>
  </si>
  <si>
    <t xml:space="preserve">RAFAEL PEREIRA DA SILVA </t>
  </si>
  <si>
    <t xml:space="preserve">ADAO BATISTA DA SILVA </t>
  </si>
  <si>
    <t xml:space="preserve">WALLISON GLEIDSON SILVA OLIVEIRA </t>
  </si>
  <si>
    <t xml:space="preserve">MARCILENE BEZERRA COSTA DA SILVA </t>
  </si>
  <si>
    <t xml:space="preserve">ANTONIO CARLOS </t>
  </si>
  <si>
    <t xml:space="preserve">MOZANIEL PAULO DOS SANTOS TAVEIRA </t>
  </si>
  <si>
    <t xml:space="preserve">DANIEL DA SILVA </t>
  </si>
  <si>
    <t xml:space="preserve">GABRIEL FRANCISCO DOS SANTOS </t>
  </si>
  <si>
    <t xml:space="preserve">JOAO PAULO DA CUNHA </t>
  </si>
  <si>
    <t xml:space="preserve">WANDERLI BATISTA DE VASCONCELOS </t>
  </si>
  <si>
    <t xml:space="preserve">MARIA JOSE SILVA DOS SANTOS </t>
  </si>
  <si>
    <t xml:space="preserve">MARIA APARECIDA JERONIMO PEREIRA </t>
  </si>
  <si>
    <t xml:space="preserve">VALDIR SANTOS DE SOUZA </t>
  </si>
  <si>
    <t xml:space="preserve">SAMUEL </t>
  </si>
  <si>
    <t xml:space="preserve">JOSE BENTO DOS SANTOS </t>
  </si>
  <si>
    <t xml:space="preserve">JOSE CICERO MARIANO FERREIRA </t>
  </si>
  <si>
    <t xml:space="preserve">VITORIA DA SILVA FELIX </t>
  </si>
  <si>
    <t>JOAQUIM PEREIRA DE MORAIS NETO</t>
  </si>
  <si>
    <t xml:space="preserve">YGOR KALENIEVES DOS SANTOS SILVA </t>
  </si>
  <si>
    <t xml:space="preserve">RICHARDSON PEREIRA DA SILVA GONCALVES </t>
  </si>
  <si>
    <t xml:space="preserve">DANILO GOMES SILVA </t>
  </si>
  <si>
    <t xml:space="preserve">5888834 RENOV </t>
  </si>
  <si>
    <t>LEONARDO DE LIMA NOBERTO</t>
  </si>
  <si>
    <t>ALISON RAFAEL GALDINO</t>
  </si>
  <si>
    <t xml:space="preserve">EDMILSON NUNES DE OLIVEIRA </t>
  </si>
  <si>
    <t>FABIOLA DIAS BERNARDO</t>
  </si>
  <si>
    <t>BOZ 125 EX</t>
  </si>
  <si>
    <t xml:space="preserve">MARCIO THIAGO PEREIRA DA SILVA </t>
  </si>
  <si>
    <t>NXR 160 BROS 160</t>
  </si>
  <si>
    <t xml:space="preserve">SEBATIAO FERREIRA DE LIMA FILHO </t>
  </si>
  <si>
    <t xml:space="preserve">EDILEUZA FELIPE DE TORRES </t>
  </si>
  <si>
    <t xml:space="preserve">MARIA DE FATIMA COSTA BARBOSA </t>
  </si>
  <si>
    <t xml:space="preserve">ANTONIO FERNANDES NERIS DOS SANTOS </t>
  </si>
  <si>
    <t xml:space="preserve">AURELIANA OLIVEIRA DA SILVA GONZAGA </t>
  </si>
  <si>
    <t xml:space="preserve">JOSE ARNALDO PEREIRA DA S JUNIOR </t>
  </si>
  <si>
    <t>JESSICA PATRICIO APOLINARIO</t>
  </si>
  <si>
    <t xml:space="preserve">ARTHUR SERAFIM DA SILVA </t>
  </si>
  <si>
    <t xml:space="preserve">5899366 RENOV </t>
  </si>
  <si>
    <t xml:space="preserve">PAULO CESAR DE LIMA </t>
  </si>
  <si>
    <t xml:space="preserve">NATALIA FERNANDA ISIDRO DA SILVA </t>
  </si>
  <si>
    <t xml:space="preserve">ALMIR RODRIGUES ALVES </t>
  </si>
  <si>
    <t xml:space="preserve">FRANCISCO DE ASSIS DA SILVA </t>
  </si>
  <si>
    <t>OZIEL DOS SANTOS MONTEIRO</t>
  </si>
  <si>
    <t xml:space="preserve">JOAO ALUISIO SILVA </t>
  </si>
  <si>
    <t>5897818 RENOV</t>
  </si>
  <si>
    <t xml:space="preserve">HELIO BERNARDO DA SILVA JUNIOR </t>
  </si>
  <si>
    <t xml:space="preserve">MARIA ALVES DE FARIAS </t>
  </si>
  <si>
    <t>ISRAEL ANDRADE DE SOUZA</t>
  </si>
  <si>
    <t xml:space="preserve">ROSILDA BATISTA DE OLIVEIRA </t>
  </si>
  <si>
    <t xml:space="preserve">JAELSON CLEMENTINO DA COSTA </t>
  </si>
  <si>
    <t>GLAUCOSSUEL DOS SANTOS MORENO</t>
  </si>
  <si>
    <t xml:space="preserve">CAMILA TEOFILO DA SILVA </t>
  </si>
  <si>
    <t xml:space="preserve">EMANOEL DAVID BELO DE LIMA </t>
  </si>
  <si>
    <t xml:space="preserve">VENICIUS GABRIEL CARDOSO DE OLIVEIRA </t>
  </si>
  <si>
    <t>NXR160 BROS ABS</t>
  </si>
  <si>
    <t xml:space="preserve">LUCAS ARAUJO BATISTA </t>
  </si>
  <si>
    <t>DAVID BALBINO JUNIOR</t>
  </si>
  <si>
    <t xml:space="preserve">ANA CLARA VASCONCELOS DE SOUZA </t>
  </si>
  <si>
    <t>VINICIUS PEREIRA PATRICIO</t>
  </si>
  <si>
    <t xml:space="preserve">RAFAEL COELHO PEREIRA </t>
  </si>
  <si>
    <t>CLODOALDO INACIO DA SILVA BENEDITO</t>
  </si>
  <si>
    <t xml:space="preserve">MARIA DE LOURDES FAUSTINO DOS SANTOS </t>
  </si>
  <si>
    <t>5914247 RENOV</t>
  </si>
  <si>
    <t xml:space="preserve">JERFERSON BELARMINO DA COSTA </t>
  </si>
  <si>
    <t xml:space="preserve">5914162 RENOV </t>
  </si>
  <si>
    <t xml:space="preserve">JOSEFA MILITANA DA COSTA </t>
  </si>
  <si>
    <t xml:space="preserve">5892806 RENOV </t>
  </si>
  <si>
    <t xml:space="preserve">FABIO  JUNIOR MARIANO DOS SANTOS </t>
  </si>
  <si>
    <t xml:space="preserve">FABIO GIOMAR DOS SANTOS </t>
  </si>
  <si>
    <t>JOSE ANTONIO DE PONTES</t>
  </si>
  <si>
    <t xml:space="preserve">UEVERTON FERREIRA DA SILVEIRA </t>
  </si>
  <si>
    <t>MANOEL AVELINO B FILHO</t>
  </si>
  <si>
    <t xml:space="preserve">IVONALDO SOUZA GONCALVES </t>
  </si>
  <si>
    <t>RAYLLA CRISTINA DO NASCIMENTO BARRETO</t>
  </si>
  <si>
    <t xml:space="preserve">ANTONIO CARLOS FERNANDES DA SILVA </t>
  </si>
  <si>
    <t>MIKELVE BARROS PACHECO</t>
  </si>
  <si>
    <t xml:space="preserve">EDJANEIDE SILVA FREITAS </t>
  </si>
  <si>
    <t xml:space="preserve">ANTONIO EMERSON DA CRUZ ALVES </t>
  </si>
  <si>
    <t xml:space="preserve">IZAQUIEL SOARES BATISTA </t>
  </si>
  <si>
    <t>RAYANE COSTA DE BARROS</t>
  </si>
  <si>
    <t xml:space="preserve">JOSE ADAILTON DE LIMA LAURENTINO </t>
  </si>
  <si>
    <t>MONICA MATIAS RODRIGUES SEVERINO</t>
  </si>
  <si>
    <t>FRANCISCO DE ASSIS ANDRE DA SILVA</t>
  </si>
  <si>
    <t xml:space="preserve">EDNA DIAS LIRA </t>
  </si>
  <si>
    <t xml:space="preserve">REGINALDO APOLINARIO DA CRUZ </t>
  </si>
  <si>
    <t>XR300TORNADO</t>
  </si>
  <si>
    <t xml:space="preserve">ANTONIO JOSE ALVES DA SILVA </t>
  </si>
  <si>
    <t xml:space="preserve">NILSON JOSE CORREIA </t>
  </si>
  <si>
    <t xml:space="preserve">IVAMBERTO SOUZA GONCALVES </t>
  </si>
  <si>
    <t xml:space="preserve">EDILSON DE AZEVEDO JUNIOR </t>
  </si>
  <si>
    <t xml:space="preserve">RAYLTTON KELSEN POLICARPO DA SILVA </t>
  </si>
  <si>
    <t xml:space="preserve">FELIPE DE SOUSA SILVA </t>
  </si>
  <si>
    <t>5927650 RENOV</t>
  </si>
  <si>
    <t xml:space="preserve">MARIVALDO LOPES DA SILVA </t>
  </si>
  <si>
    <t xml:space="preserve">5927532 RENOV </t>
  </si>
  <si>
    <t>SEGUROS FECHADOS - OUTUBRO  2025</t>
  </si>
  <si>
    <t>GUSTAVO DIAS DE SOUZA LIMA</t>
  </si>
  <si>
    <t xml:space="preserve">JOANDERSON LINS DOS SANTOS </t>
  </si>
  <si>
    <t xml:space="preserve">5935262 RENOV </t>
  </si>
  <si>
    <t xml:space="preserve">KAILLANY DE OLIVEIRA SOARES </t>
  </si>
  <si>
    <t xml:space="preserve">ADEMAR GABRIEL DOS SANTOS </t>
  </si>
  <si>
    <t xml:space="preserve">CG 16+0 FAN </t>
  </si>
  <si>
    <t xml:space="preserve">5936037 RENOV </t>
  </si>
  <si>
    <t>5937833 RENOV</t>
  </si>
  <si>
    <t xml:space="preserve">MARIA PAULA GOMES DE OLIVEIRA </t>
  </si>
  <si>
    <t xml:space="preserve">JOSIVAL LOURENCO DOS SANTOS </t>
  </si>
  <si>
    <t xml:space="preserve">JOSEFA MINERVINO DE A SILVA </t>
  </si>
  <si>
    <t xml:space="preserve">5948846 RENOV </t>
  </si>
  <si>
    <t xml:space="preserve">FABIANA PEREIRA DOS SANTOS </t>
  </si>
  <si>
    <t xml:space="preserve">5939568 RENOV </t>
  </si>
  <si>
    <t xml:space="preserve">JOSINALDO CANDIDO DE OLIVEIRA </t>
  </si>
  <si>
    <t xml:space="preserve">5947726 RENOV </t>
  </si>
  <si>
    <t xml:space="preserve">PEDRO HENRIQUE G DOS SANTOS </t>
  </si>
  <si>
    <t>DANIELLE DOS SANTOS VITORIO</t>
  </si>
  <si>
    <t xml:space="preserve">ALEXANDRE GONCALVES DIAS </t>
  </si>
  <si>
    <t xml:space="preserve">GIOVANNA FREIRE DIAS </t>
  </si>
  <si>
    <t xml:space="preserve">SIMONE CLEMENTINO A FERNANDES </t>
  </si>
  <si>
    <t xml:space="preserve">ANTONIO AGENOR CRISPIN </t>
  </si>
  <si>
    <t xml:space="preserve">JUCICLEIDE ALVES DE OLIVEIRA </t>
  </si>
  <si>
    <t>MARCELO ASSIS HIPÓLITO DE CARVALHO</t>
  </si>
  <si>
    <t>ANDRE LUCAS DE OLIVEIRA FERNANDES ( CNH)</t>
  </si>
  <si>
    <t xml:space="preserve">PAULO </t>
  </si>
  <si>
    <t xml:space="preserve">JOSENILDO BRAS SILVA </t>
  </si>
  <si>
    <t xml:space="preserve">BIANCA PEREIRA DA SILVA </t>
  </si>
  <si>
    <t xml:space="preserve">SOLON DE LIMA RAMOS </t>
  </si>
  <si>
    <t xml:space="preserve">ARIVELTON SOUZA DIAS </t>
  </si>
  <si>
    <t xml:space="preserve">ERIONALDO ANTONIO DA SILVA JUNIOR </t>
  </si>
  <si>
    <t xml:space="preserve">DAYANA PEREIRA DA SILVA </t>
  </si>
  <si>
    <t>SEVERINA MATIAS DA COSTA B</t>
  </si>
  <si>
    <t xml:space="preserve">5936163 RENOV </t>
  </si>
  <si>
    <t>SAMUEL</t>
  </si>
  <si>
    <t>TIAGO JOSE DOS SANTOS</t>
  </si>
  <si>
    <t xml:space="preserve">GILDERLAN FERREIRA DOMINGOS </t>
  </si>
  <si>
    <t>CAMILA MATHEUS HONORATO</t>
  </si>
  <si>
    <t xml:space="preserve">ELIAS DA SILVA RODRIGUES </t>
  </si>
  <si>
    <t xml:space="preserve">ANTONIO UPIRAKTAN SANTOS </t>
  </si>
  <si>
    <t>YASMIM SANTOS LIMA</t>
  </si>
  <si>
    <t xml:space="preserve">JAQUELINE BARBOSA DA SILVA </t>
  </si>
  <si>
    <t>5954714 RENOV</t>
  </si>
  <si>
    <t xml:space="preserve">JOAO PAULO SANTOS SILVA </t>
  </si>
  <si>
    <t xml:space="preserve">RAISSA </t>
  </si>
  <si>
    <t xml:space="preserve">ADJAILSON DE SOUSA SILVA </t>
  </si>
  <si>
    <t xml:space="preserve">MARCIO DA SILVA NUNES </t>
  </si>
  <si>
    <t>JAELSON DE SALES PAULO</t>
  </si>
  <si>
    <t xml:space="preserve">5964173 RENOV </t>
  </si>
  <si>
    <t xml:space="preserve">RICARDO BERNARDINO DA SILVA </t>
  </si>
  <si>
    <t xml:space="preserve">VAMBERTO LUCENA DE OLIVEIRA </t>
  </si>
  <si>
    <t>EDUARDO DE SOUZA LOPES</t>
  </si>
  <si>
    <t xml:space="preserve">EDINALVA BRITO LIMA DE NPONTES </t>
  </si>
  <si>
    <t xml:space="preserve">LEANDRO DA SILVA BARBOSA </t>
  </si>
  <si>
    <t xml:space="preserve">EDVALDO BATISTA DA SILVA </t>
  </si>
  <si>
    <t xml:space="preserve">ANASTACIO BATISTA DE SOUZA JUNIOR </t>
  </si>
  <si>
    <t xml:space="preserve">RENATA KESSIA NOBREGA SOARES </t>
  </si>
  <si>
    <t xml:space="preserve">ROSEILTON SALUSTIANO DA SILVA </t>
  </si>
  <si>
    <t xml:space="preserve">LIGIA KAYLANINE MAIA DE OLIVEIRA </t>
  </si>
  <si>
    <t xml:space="preserve">FRANCISCO DO NASCIMENTO SOARES </t>
  </si>
  <si>
    <t>5968953 RENOV</t>
  </si>
  <si>
    <t xml:space="preserve">MARIA JOSE BATISTA DE PONTES </t>
  </si>
  <si>
    <t>JOAO JEFSON GUEDES DE MACEDO</t>
  </si>
  <si>
    <t xml:space="preserve">ANTONIO CARLOS LIMA DA CUNHA </t>
  </si>
  <si>
    <t xml:space="preserve">FABIANA MARINHO SILVA </t>
  </si>
  <si>
    <t xml:space="preserve">PATRICIA DE OLIVEIRA SANTOS CORREIA </t>
  </si>
  <si>
    <t xml:space="preserve">RAYSSA DOS SANTOS </t>
  </si>
  <si>
    <t xml:space="preserve">MARIA LUCIA SANTOS DE FREITAS </t>
  </si>
  <si>
    <t xml:space="preserve">OLAVIA RODRIGUES DA SILVA </t>
  </si>
  <si>
    <t>ALESSANDRA SOUZA DALTRO</t>
  </si>
  <si>
    <t>JOSE EDILSON ALVES SERAFIM</t>
  </si>
  <si>
    <t>MARIA APARECIDA SOUSA DE BRITO</t>
  </si>
  <si>
    <t>AURELIO SOARES DE ARAUJO</t>
  </si>
  <si>
    <t xml:space="preserve">SEVERINO DO RAMO DE LIMA OLIVEIRA </t>
  </si>
  <si>
    <t>JOAO RODRIGUES DA SILVA FILHO</t>
  </si>
  <si>
    <t>VALDIANE DOS SANTOS MONTEIRO</t>
  </si>
  <si>
    <t xml:space="preserve">RODRIGO VAGNER SILVA ROCHA </t>
  </si>
  <si>
    <t xml:space="preserve">LUCAS BANDEIRA NDA SILVA MARQUES </t>
  </si>
  <si>
    <t>CAUA BASILIO JACINTO</t>
  </si>
  <si>
    <t>JUAREZ CLAUDINO DA SILVA V</t>
  </si>
  <si>
    <t>ANA ELOISA DO NASCIMENTO SOUZA</t>
  </si>
  <si>
    <t>LARISSA MARTINS PAULINO</t>
  </si>
  <si>
    <t>ANTONIO FARIAS DE OLIVEIRA FILHO</t>
  </si>
  <si>
    <t xml:space="preserve">GEOVANE DE SOUZA SILVA </t>
  </si>
  <si>
    <t>JOSE CARLOS ANDRADE DE MELO</t>
  </si>
  <si>
    <t xml:space="preserve">5982544 RENOV </t>
  </si>
  <si>
    <t xml:space="preserve">ROBERTO </t>
  </si>
  <si>
    <t xml:space="preserve">MARIA CALIXTO DOS SANTOS </t>
  </si>
  <si>
    <t>MARIA JOSE NEGREIROS SANTOS BELARMINO</t>
  </si>
  <si>
    <t xml:space="preserve">RAYSSA ADRIELLY SANTOS XAVIER </t>
  </si>
  <si>
    <t xml:space="preserve">MARCIA MARIA DANTAS SOARES </t>
  </si>
  <si>
    <t>SEVERINO JOSE BERNARDO</t>
  </si>
  <si>
    <t xml:space="preserve">EDGLAYDSON DE PONTES AMORIM SANTOS </t>
  </si>
  <si>
    <t>5990961 RENOV</t>
  </si>
  <si>
    <t xml:space="preserve">RICARDO DOS SANTOS PESSOA </t>
  </si>
  <si>
    <t xml:space="preserve">JOSENILDO DA SILVA FERREIRA </t>
  </si>
  <si>
    <t xml:space="preserve">JOSE ALEXANDRE SILVA </t>
  </si>
  <si>
    <t xml:space="preserve">CESAR AUGUSTO PINHEIRO DE SANTANA </t>
  </si>
  <si>
    <t>RAFAEL DOS SANTOS DO NASCIMENTO</t>
  </si>
  <si>
    <t>VALDIR DOS SANTOS DE BRITO</t>
  </si>
  <si>
    <t xml:space="preserve">ANTONIO MARCIO LIMA DA SILVA </t>
  </si>
  <si>
    <t>FRANCISCO DE ASSIS ALVES SOBRINHO</t>
  </si>
  <si>
    <t xml:space="preserve">SERGIO RUFINO SOARES </t>
  </si>
  <si>
    <t>MARIA VALDENICE DE SOUZA FRANCELINO</t>
  </si>
  <si>
    <t xml:space="preserve">GLADSTONE GUEDES DA SILVA </t>
  </si>
  <si>
    <t>XRE SAHARA RALLY</t>
  </si>
  <si>
    <t xml:space="preserve">ADRIANO PEREIRA DOS SANTOS </t>
  </si>
  <si>
    <t>LUCIELIO DA SILVA TEIXEIRA</t>
  </si>
  <si>
    <t>JOSE DE ASSIS CIRILO DE SOUZA</t>
  </si>
  <si>
    <t xml:space="preserve">LENILDO BELARMINO DA SILVA </t>
  </si>
  <si>
    <t xml:space="preserve">IVANILDA ALVES MUNIZ </t>
  </si>
  <si>
    <t xml:space="preserve">VITORIA REGIA DANTAS DA SILVA </t>
  </si>
  <si>
    <t xml:space="preserve">MARIA DEUZANIR DE LIMA ALCANTARA </t>
  </si>
  <si>
    <t xml:space="preserve">JAQUELINE ANTERO DOS SANTOS </t>
  </si>
  <si>
    <t xml:space="preserve">5998596 RENOV </t>
  </si>
  <si>
    <t>5953359 RENOV</t>
  </si>
  <si>
    <t xml:space="preserve">MARINALDO FELIPE DE LIMA </t>
  </si>
  <si>
    <t>CLAUDEMIR DE OLIVEIRA ARAUJO</t>
  </si>
  <si>
    <t xml:space="preserve">6001127 RENOV </t>
  </si>
  <si>
    <t xml:space="preserve">FELIPE HILARIO DA COSTA </t>
  </si>
  <si>
    <t>MARLON ALVES DE SOUZA</t>
  </si>
  <si>
    <t>6005275 RENOV</t>
  </si>
  <si>
    <t xml:space="preserve">ADRILAINE CARFANY SANTOS DE MOURA </t>
  </si>
  <si>
    <t xml:space="preserve">ANDRE PEREIRA DOS SANTOS </t>
  </si>
  <si>
    <t xml:space="preserve">RAQUELANDIA VITORINO DOS SANTOS </t>
  </si>
  <si>
    <t xml:space="preserve">CAYO CESAR PEREIRA LIMA </t>
  </si>
  <si>
    <t xml:space="preserve">JOSE ROBERTO DE OLIVEIRA </t>
  </si>
  <si>
    <t xml:space="preserve">BRUNO CLEMENTINO DA SILVA </t>
  </si>
  <si>
    <t xml:space="preserve">6008716 RENOV </t>
  </si>
  <si>
    <t xml:space="preserve">EDNALDO PAULINO LEITE </t>
  </si>
  <si>
    <t>RAILSON DOS SANTOS BERNARDO</t>
  </si>
  <si>
    <t xml:space="preserve">ALESSANDRO SOARES </t>
  </si>
  <si>
    <t>6010739 RENOV</t>
  </si>
  <si>
    <t xml:space="preserve">LUZINETE DO NASCIMENTO SANTOS </t>
  </si>
  <si>
    <t xml:space="preserve">RENATO MAURICIO DOS SANTOS </t>
  </si>
  <si>
    <t xml:space="preserve">JANDEILSON SANTOS DE LIMA </t>
  </si>
  <si>
    <t xml:space="preserve">SEVERINO RIBEIRO DUARTE </t>
  </si>
  <si>
    <t>CG 160  TITAN</t>
  </si>
  <si>
    <t xml:space="preserve">JERFFESSON DAMIAO PEREIRA DOS SANTOS </t>
  </si>
  <si>
    <t xml:space="preserve">MARIA DA LUZ BATISTA SILVA OLIVEIRA </t>
  </si>
  <si>
    <t xml:space="preserve">ITALO RAMOM VALENTIM DA SILVA </t>
  </si>
  <si>
    <t xml:space="preserve">WELLINGTON FREITAS DA SILVA </t>
  </si>
  <si>
    <t>NXR 150 BRPOS KS</t>
  </si>
  <si>
    <t xml:space="preserve">LEANDRO FIRMINO DOS SANTOS </t>
  </si>
  <si>
    <t xml:space="preserve">MARIA VITORIA FERNANDES ADELAIDE </t>
  </si>
  <si>
    <t xml:space="preserve">RONALDO BARBOSA DA SILVA </t>
  </si>
  <si>
    <t>ASSIS ARISTIDES DE MELO</t>
  </si>
  <si>
    <t xml:space="preserve">EDUARDO  FRANCISCO DOS SANTOS </t>
  </si>
  <si>
    <t xml:space="preserve">IOLANDA GOMES DA SILVA </t>
  </si>
  <si>
    <t xml:space="preserve">GILMAR PEREIRA DA SILVA </t>
  </si>
  <si>
    <t xml:space="preserve">MATEUS VINICIUS SIMOES DE OLIVEIRA </t>
  </si>
  <si>
    <t xml:space="preserve">FERNANDA RODRIGUES DA SILVA </t>
  </si>
  <si>
    <t>PAULA FRASSINETTI L M ARAUJO</t>
  </si>
  <si>
    <t xml:space="preserve">FRANCINALDA JUSSARA T DOS SANTOS </t>
  </si>
  <si>
    <t xml:space="preserve">MARIA DE LOURDES ROSENO LUIS </t>
  </si>
  <si>
    <t xml:space="preserve">AVANI BORGES DA SILVA  BARBOSA </t>
  </si>
  <si>
    <t xml:space="preserve">GEOVANO RICARDO SILVA </t>
  </si>
  <si>
    <t xml:space="preserve">ALAN DA SILVA FELIX </t>
  </si>
  <si>
    <t xml:space="preserve">MARIA DAS GRACAS PEREIRA DOS S SILVA </t>
  </si>
  <si>
    <t xml:space="preserve">MARIA JOSE DE O F SILVA </t>
  </si>
  <si>
    <t xml:space="preserve">6027741 RENOV </t>
  </si>
  <si>
    <t xml:space="preserve">LENILSON ANTONIO DA SILVA </t>
  </si>
  <si>
    <t xml:space="preserve">ALEXANDRE DA SILVA OLIVEIRA </t>
  </si>
  <si>
    <t>ROSILENE DE SOUSA ALBOINO</t>
  </si>
  <si>
    <t xml:space="preserve">FABIO JUNIOR A DE SOUZA </t>
  </si>
  <si>
    <t xml:space="preserve">ALISSON BRAS NUNES </t>
  </si>
  <si>
    <t xml:space="preserve">EDMILSON XAVIER DE OLIVEIRA </t>
  </si>
  <si>
    <t>ISAIANA ANGELICA FERREIRA PEREIRA (CNH)</t>
  </si>
  <si>
    <t>SEGUROS FECHADOS - NOVEMBRO  2025</t>
  </si>
  <si>
    <t>ANTONIO DE ARAUJO LEITE</t>
  </si>
  <si>
    <t xml:space="preserve">FATIMA CHAVES CAVALCANTE </t>
  </si>
  <si>
    <t xml:space="preserve">ANA LIGIA PEREIRA SILVA </t>
  </si>
  <si>
    <t xml:space="preserve">GILIANA CRISPIM DOS SANTOS </t>
  </si>
  <si>
    <t xml:space="preserve">CLAUDIA DA CRUZ TRAJANO DE MOURA </t>
  </si>
  <si>
    <t xml:space="preserve">LUIZ CARLOS SOUZA DE OLIVEIRA </t>
  </si>
  <si>
    <t xml:space="preserve">FRANCISCO DE ASSIS DOS SANTOS </t>
  </si>
  <si>
    <t>POP 110</t>
  </si>
  <si>
    <t xml:space="preserve">6035959 RENOV </t>
  </si>
  <si>
    <t xml:space="preserve">ANDRESSA GOMES DIAS </t>
  </si>
  <si>
    <t>ADALBERTO DA SILVA LEAL FILHO</t>
  </si>
  <si>
    <t xml:space="preserve">DOUGLAS DA SILVA AVELINO </t>
  </si>
  <si>
    <t xml:space="preserve">JOAO CARNEIRO DE OLIVEIRA </t>
  </si>
  <si>
    <t xml:space="preserve">MARIA AUXILIADORA FERREIRA DE LIMA </t>
  </si>
  <si>
    <t xml:space="preserve">6033661 RENOV </t>
  </si>
  <si>
    <t>ALYZONILTON DOS SANTOS NASCIMENTO</t>
  </si>
  <si>
    <t xml:space="preserve">EDIGAR DA SILVA LUNA </t>
  </si>
  <si>
    <t>GEOVANA SANTOS DA NOBREGA BRONZEADO</t>
  </si>
  <si>
    <t xml:space="preserve">JOSE FRANCIEL BARBOSA CABRAL </t>
  </si>
  <si>
    <t>6023489 RENOV</t>
  </si>
  <si>
    <t xml:space="preserve">SAMUEL SALES DOS SANTOS </t>
  </si>
  <si>
    <t xml:space="preserve">6038393 RENOV </t>
  </si>
  <si>
    <t xml:space="preserve">ROMERO DE SOUZA OLIVEIRA </t>
  </si>
  <si>
    <t>CB 300 F TWISTER</t>
  </si>
  <si>
    <t xml:space="preserve">JOSE CICERO SILVA SANTOS </t>
  </si>
  <si>
    <t>JERRY ADRIANE DE MENEZES FILHO</t>
  </si>
  <si>
    <t xml:space="preserve">EDIVANIA RIBEIRO DA SILVA </t>
  </si>
  <si>
    <t xml:space="preserve">MARIA DAS DORES  DE JESUS </t>
  </si>
  <si>
    <t xml:space="preserve">CRISTIANE FIDELIS ALCANTARA SOARES </t>
  </si>
  <si>
    <t xml:space="preserve">FABIO DE SOUSA SILVA </t>
  </si>
  <si>
    <t xml:space="preserve">JOSE BENTO ALVES </t>
  </si>
  <si>
    <t>NXR 160 BROS  CBS</t>
  </si>
  <si>
    <t xml:space="preserve">MARIA DE FATIMA SINESIO DA SILVA MAIA </t>
  </si>
  <si>
    <t>IVONE DE SOUZA NUNES NETA</t>
  </si>
  <si>
    <t>MARILENE TAVARES DE SOUTO</t>
  </si>
  <si>
    <t>FRANCISCO SOUSA FERREIRA N</t>
  </si>
  <si>
    <t xml:space="preserve">ULISSES MANUEL DA SILVA </t>
  </si>
  <si>
    <t xml:space="preserve">NXR  160 BROS CBS </t>
  </si>
  <si>
    <t xml:space="preserve">MARIA DO LIVRAMENTO DELFINO DE LIMA </t>
  </si>
  <si>
    <t xml:space="preserve">FRANCISCO DE ASSIS MARTINS JUNIOR </t>
  </si>
  <si>
    <t>ADRIAN ROBERTO DOS SANTOS BENTO</t>
  </si>
  <si>
    <t xml:space="preserve">LUIZA RAFAELA LIMA DE OLIVEIRA </t>
  </si>
  <si>
    <t xml:space="preserve">6036213 RENOV </t>
  </si>
  <si>
    <t xml:space="preserve">FABIANA PEREIRA DA COSTA </t>
  </si>
  <si>
    <t xml:space="preserve">MARCOS LUIZ MARCULINO DE OLIVEIRA </t>
  </si>
  <si>
    <t>HOZANA DE FATIMA SANTOS NASCIMENTO</t>
  </si>
  <si>
    <t>JOSE CRISTIANO COSTA FILHO</t>
  </si>
  <si>
    <t xml:space="preserve">XR 300 TORNADO   </t>
  </si>
  <si>
    <t>6046111 RENOV</t>
  </si>
  <si>
    <t xml:space="preserve">MARCONE DOS SANTOS OLIVEIRA </t>
  </si>
  <si>
    <t xml:space="preserve">LUIS FELIPE VENTURA DA SILVA </t>
  </si>
  <si>
    <t xml:space="preserve"> POP 110</t>
  </si>
  <si>
    <t xml:space="preserve">LUCLECIO ARAUJO DA SILVA </t>
  </si>
  <si>
    <t xml:space="preserve">JURANDIR MARCOS ROCHA </t>
  </si>
  <si>
    <t xml:space="preserve">DANILO PEREIRA DA COSTA </t>
  </si>
  <si>
    <t xml:space="preserve">RAPHAEL BEZERRA DA CRUZ </t>
  </si>
  <si>
    <t xml:space="preserve">GEANDRO DE MACEDO FERREIRA </t>
  </si>
  <si>
    <t>RAYSSA</t>
  </si>
  <si>
    <t xml:space="preserve">SUELANE FERREIRA GOMES </t>
  </si>
  <si>
    <t xml:space="preserve">SERGIO RIBEIRO DE LIMA </t>
  </si>
  <si>
    <t xml:space="preserve">MAURICIO PEREIRA GOMES </t>
  </si>
  <si>
    <t>ROBERTO MEDEIRO</t>
  </si>
  <si>
    <t xml:space="preserve">MARIA JOSELE DE QUEIROZ FELIPE </t>
  </si>
  <si>
    <t xml:space="preserve">GUSTAVO DOS SANTOS CAVALCANTE </t>
  </si>
  <si>
    <t>NXR 160 BROS  ABS</t>
  </si>
  <si>
    <t xml:space="preserve">GEOVANNY MEDEIROS DA CUNHA </t>
  </si>
  <si>
    <t xml:space="preserve">MIKAEL DA SILVA SANTOS </t>
  </si>
  <si>
    <t xml:space="preserve">6039200 RENOV </t>
  </si>
  <si>
    <t xml:space="preserve">JOERIKA CRISTINA LINS DOS SANTOS </t>
  </si>
  <si>
    <t xml:space="preserve">6043163 RENOV </t>
  </si>
  <si>
    <t xml:space="preserve">SEVERINO DO RAMO MARQUES </t>
  </si>
  <si>
    <t xml:space="preserve">6058672 RENOV </t>
  </si>
  <si>
    <t>IVANILDO DE BRITO</t>
  </si>
  <si>
    <t xml:space="preserve">6059686 RENOV </t>
  </si>
  <si>
    <t xml:space="preserve">JOSE PAULINO DA SILVA </t>
  </si>
  <si>
    <t xml:space="preserve">EZEQUIEL GUILHERME DA SILVA </t>
  </si>
  <si>
    <t xml:space="preserve">HIOLANDA  SILVA CADETE </t>
  </si>
  <si>
    <t xml:space="preserve">6038017 RENOV </t>
  </si>
  <si>
    <t xml:space="preserve">GABRIEL DA SILVA COSTA </t>
  </si>
  <si>
    <t xml:space="preserve">JARDEL MONTEIRO DA SILVA </t>
  </si>
  <si>
    <t>MARILIA DAS ILVA SANTOS CAVALCANTE</t>
  </si>
  <si>
    <t xml:space="preserve">LUCAS SANTOS DA SILVA </t>
  </si>
  <si>
    <t xml:space="preserve">JOSE EDUARDO GALDINO DA SILVA </t>
  </si>
  <si>
    <t xml:space="preserve">RAISSA LAFAIETY DA SILVA </t>
  </si>
  <si>
    <t>MATHEUS DE LIMA RIBEIRO</t>
  </si>
  <si>
    <t>RAFAELA DA SILVA ARAUJO</t>
  </si>
  <si>
    <t xml:space="preserve">6062496 RENOV </t>
  </si>
  <si>
    <t>EGUINALDO SANTOS DE SOUZA</t>
  </si>
  <si>
    <t>6070597 RENOV</t>
  </si>
  <si>
    <t>VAGNER CARLOS DE SOUZA CAVALCANTI</t>
  </si>
  <si>
    <t xml:space="preserve">6069919 RENOV </t>
  </si>
  <si>
    <t xml:space="preserve">JORGE LUIZ DO NASCIMENTO RODRIGUES </t>
  </si>
  <si>
    <t>NXR160 BROS CBS</t>
  </si>
  <si>
    <t xml:space="preserve">ELIZAMA TRAJANO DE MORAIS SOUZA </t>
  </si>
  <si>
    <t xml:space="preserve">JOSE HUMBERTO POMPEU DOS SANTOS JUNIOR </t>
  </si>
  <si>
    <t xml:space="preserve">JOSE ANDSON PEREIRA DA SILVA </t>
  </si>
  <si>
    <t>JANDEILSON DA SILVA FREIRE</t>
  </si>
  <si>
    <t xml:space="preserve">THIAGO DE OLIVEIRA TAVARES </t>
  </si>
  <si>
    <t>ITALO DE LIMA DUTRA</t>
  </si>
  <si>
    <t>ITALO</t>
  </si>
  <si>
    <t xml:space="preserve">NIVALDO BARROS </t>
  </si>
  <si>
    <t xml:space="preserve">BIZ 110 ES </t>
  </si>
  <si>
    <t>6074236 RENOV</t>
  </si>
  <si>
    <t>IZENILDA LIMA CANANEA</t>
  </si>
  <si>
    <t xml:space="preserve">6074052 RENOV </t>
  </si>
  <si>
    <t xml:space="preserve">HUMBERTO BALBINO DA SILVA JUNIOR </t>
  </si>
  <si>
    <t xml:space="preserve">GIAN DA SILVA DOS SANTOS </t>
  </si>
  <si>
    <t xml:space="preserve">OTACILIO XAVIER DE ALMEIDA </t>
  </si>
  <si>
    <t>GERLANE MACEDO CASSIMIRO</t>
  </si>
  <si>
    <t>VANDERLEI SEVERINO</t>
  </si>
  <si>
    <t>6081007 RENOV</t>
  </si>
  <si>
    <t xml:space="preserve">GIVALDO FRANCISCO DA S JUNIOR </t>
  </si>
  <si>
    <t xml:space="preserve">JOSE ALENCAR BRAGA DA COSTA </t>
  </si>
  <si>
    <t xml:space="preserve">PEDRO CANDIDO DE FRANCA </t>
  </si>
  <si>
    <t xml:space="preserve">LUZIA JOAO MATIAS </t>
  </si>
  <si>
    <t xml:space="preserve">ELIANE TARGINO MATIAS </t>
  </si>
  <si>
    <t>LUCAS BENICIO DO NASCIMENTO</t>
  </si>
  <si>
    <t>JOAO RAFAEL ALVES GALDINO</t>
  </si>
  <si>
    <t xml:space="preserve">ANTONIO CASSIANO LOPES </t>
  </si>
  <si>
    <t>IVALDO ARAUJO</t>
  </si>
  <si>
    <t>MARIA GILVANIA FERREIRA DOS SANTOS PAULINO</t>
  </si>
  <si>
    <t xml:space="preserve">JOAO ALBERTO LUIS DA SILVA </t>
  </si>
  <si>
    <t xml:space="preserve">JOSIANE DA SILVA GONZAGA </t>
  </si>
  <si>
    <t xml:space="preserve">JOSELMA DA SILVA VIEIRA </t>
  </si>
  <si>
    <t xml:space="preserve">ANTONIO LUCAS CORREIA </t>
  </si>
  <si>
    <t>REGINALDO DO NASCIMENTO</t>
  </si>
  <si>
    <t>6052655 RENOV</t>
  </si>
  <si>
    <t xml:space="preserve">DENIZE DA SILVA OLIVEIRA </t>
  </si>
  <si>
    <t xml:space="preserve">MANOEL MESSIAS DA SILVA SANTOS </t>
  </si>
  <si>
    <t xml:space="preserve">JOSINALDO INACIO DOS SANTOS </t>
  </si>
  <si>
    <t xml:space="preserve">TICIANO CORREIA MATOS </t>
  </si>
  <si>
    <t xml:space="preserve">MARIA CRISTINA DA SILVA </t>
  </si>
  <si>
    <t xml:space="preserve">MATHEUS DA SILVA ROSAS </t>
  </si>
  <si>
    <t>FABIO LUIS MACEDO PEQUENO</t>
  </si>
  <si>
    <t>JARDIEL CARVALHO MAXIMINO</t>
  </si>
  <si>
    <t>6098408 RENOV</t>
  </si>
  <si>
    <t xml:space="preserve">GEOVANE DA SILVA ALVES </t>
  </si>
  <si>
    <t xml:space="preserve">OZIEL FRANCISCO DA ROCHA </t>
  </si>
  <si>
    <t xml:space="preserve">JOSE EDSON RODRIGUES FIRMINO </t>
  </si>
  <si>
    <t xml:space="preserve">JEFFERSON JOSE DA SILVA </t>
  </si>
  <si>
    <t>ROSINALDO RODRIGUES DO NASCIMENTO</t>
  </si>
  <si>
    <t>6102110 RENOV</t>
  </si>
  <si>
    <t>MARCELO RODRIGUES DO NASCIMENTO</t>
  </si>
  <si>
    <t xml:space="preserve">ALANIO GALDINO DE LIMA </t>
  </si>
  <si>
    <t xml:space="preserve">MARIA APARECIDA DA SILVA </t>
  </si>
  <si>
    <t>LEONETE DA SILVA CAETANO</t>
  </si>
  <si>
    <t xml:space="preserve">MARIA APARECIDA DIAS FREIRE </t>
  </si>
  <si>
    <t xml:space="preserve">MARIA DAS GRACAS SILVA </t>
  </si>
  <si>
    <t xml:space="preserve">JOSE IBIAPINA ALVES MAIA </t>
  </si>
  <si>
    <t xml:space="preserve">JOSELIO JENUINO DOS SANTOS </t>
  </si>
  <si>
    <t xml:space="preserve">JOSE ANTONIO MARTINS DA SILVA </t>
  </si>
  <si>
    <t>SEGUROS FECHADOS - DEZEMBRO-  2025</t>
  </si>
  <si>
    <t xml:space="preserve">ERYLAM GOMES PEREIRA </t>
  </si>
  <si>
    <t xml:space="preserve">JOSE MARCO DA SILVA SANTOS </t>
  </si>
  <si>
    <t>LUCILEIDE ANDRADE DA SILVA CASTRO</t>
  </si>
  <si>
    <t>POP 110 ES</t>
  </si>
  <si>
    <t xml:space="preserve">EDVALDO DA SILVA </t>
  </si>
  <si>
    <t xml:space="preserve">GABRIEL FERREIRA DE LIMA </t>
  </si>
  <si>
    <t xml:space="preserve">JULIO CESAR DOS SANTOS SILVA </t>
  </si>
  <si>
    <t>6100336B RENOV</t>
  </si>
  <si>
    <t>ALANA KARLA FREIRE LAUREANO</t>
  </si>
  <si>
    <t xml:space="preserve">MARIA DAS DORES AMARO DA SILVA </t>
  </si>
  <si>
    <t>LINDERMAN DA SILVA ARAUJO</t>
  </si>
  <si>
    <t xml:space="preserve">HUMBERTO KELSON DOS SANTOS </t>
  </si>
  <si>
    <t xml:space="preserve">JOEL ADRIANO DA SILVA </t>
  </si>
  <si>
    <t xml:space="preserve">TONE RAMOS DA SILVA </t>
  </si>
  <si>
    <t>RODRIGO SOUZA MACIEL</t>
  </si>
  <si>
    <t>JOSE HIARLEY DOS SANTOS MELO</t>
  </si>
  <si>
    <t xml:space="preserve">JOAO PAULO SOARES DE SOUZA </t>
  </si>
  <si>
    <t xml:space="preserve">EDUARDO DA COSTA SILVA </t>
  </si>
  <si>
    <t xml:space="preserve">VIVIANE SILVA VICENTE </t>
  </si>
  <si>
    <t xml:space="preserve">IZAIAS BEZERRA SANTOS </t>
  </si>
  <si>
    <t xml:space="preserve">RAIMUNDO BATISTA DE OLIVEIRA </t>
  </si>
  <si>
    <t xml:space="preserve">JOSE DOUGLAS BERTOLDO DA COSTA </t>
  </si>
  <si>
    <t xml:space="preserve">SELMA ALVES DE LIMA </t>
  </si>
  <si>
    <t xml:space="preserve">CARLOS EDUARDO AGUIAR DA SILVA </t>
  </si>
  <si>
    <t xml:space="preserve">LEONARDO DA SILVA BARBOSA </t>
  </si>
  <si>
    <t xml:space="preserve">JOSE GONCALVES DA SILVA </t>
  </si>
  <si>
    <t xml:space="preserve">JOSE BARBOSA DE LIMA </t>
  </si>
  <si>
    <t xml:space="preserve">JOSE FABIO DOS SANTOS </t>
  </si>
  <si>
    <t xml:space="preserve">ADENILDA DIAS DE OLIVEIRA </t>
  </si>
  <si>
    <t xml:space="preserve">JOSE ALENCAR RAFAEL DOS SANTOS </t>
  </si>
  <si>
    <t xml:space="preserve">ERIBERTO GONCALO PEREIRA </t>
  </si>
  <si>
    <t xml:space="preserve">GUTEMBERG GOMES DOS SANTOS </t>
  </si>
  <si>
    <t xml:space="preserve">ANTONIO AVELINO DA SILVA </t>
  </si>
  <si>
    <t xml:space="preserve">MARCOS ANTONIO PONTES BARBOSA </t>
  </si>
  <si>
    <t xml:space="preserve">MATEUS BEZERRA DA SILVA </t>
  </si>
  <si>
    <t xml:space="preserve">CG160 TITAN </t>
  </si>
  <si>
    <t xml:space="preserve">ANTONIO CELESTINO DOS SANTOS </t>
  </si>
  <si>
    <t xml:space="preserve">MARIA DO SOCORRO DE ARAUJO </t>
  </si>
  <si>
    <t xml:space="preserve">SEVERINO  BERNARDINO DA SILVA </t>
  </si>
  <si>
    <t>6125040 RENOV</t>
  </si>
  <si>
    <t xml:space="preserve">ARISTON BRUNO DOS S XAVIER </t>
  </si>
  <si>
    <t xml:space="preserve">6088827 RENOV </t>
  </si>
  <si>
    <t xml:space="preserve">ANA CAROLINA DE SOUZA LIMA </t>
  </si>
  <si>
    <t>DANIELE LIMA DE BRITO</t>
  </si>
  <si>
    <t>PAULO HENRIQUE DA SILVA B</t>
  </si>
  <si>
    <t xml:space="preserve">RONILDO DE PAIVA </t>
  </si>
  <si>
    <t>CLOVES TAVARES DO NASCIMENTO</t>
  </si>
  <si>
    <t xml:space="preserve">JOANA DARC TAVEIRA DOS SANTOS </t>
  </si>
  <si>
    <t xml:space="preserve">JOSE TRAJANO DE PONTES </t>
  </si>
  <si>
    <t xml:space="preserve">GILBERTO DE AMORIM LIMA </t>
  </si>
  <si>
    <t>6128905 RENOV</t>
  </si>
  <si>
    <t>FRANCISCO JORDAO DIAS MONTEIRO</t>
  </si>
  <si>
    <t xml:space="preserve">ERIKA MARIA ELIAS PEREIRA </t>
  </si>
  <si>
    <t>ELIDIANE DOS SANTOS CIRILO</t>
  </si>
  <si>
    <t>6134997 RENOV</t>
  </si>
  <si>
    <t>SEVERINO FABRICIO DA SILVA NETO</t>
  </si>
  <si>
    <t xml:space="preserve">6129851 RENOV </t>
  </si>
  <si>
    <t xml:space="preserve">6130488 RENOV </t>
  </si>
  <si>
    <t xml:space="preserve">IGOR BRUNO GOMES DA SILVA </t>
  </si>
  <si>
    <t xml:space="preserve">ARTUR BLUIS VILLAS BOAS </t>
  </si>
  <si>
    <t xml:space="preserve">JOSE BRUNO URSULINO RODRIGUES </t>
  </si>
  <si>
    <t xml:space="preserve">JACINTO FERREIRA DA SILVA </t>
  </si>
  <si>
    <t xml:space="preserve">LEANDRO BERNARDO DE SOUZA </t>
  </si>
  <si>
    <t xml:space="preserve">ERIVALDO SERAFIM DA SILVA </t>
  </si>
  <si>
    <t xml:space="preserve">6142714 RENOV </t>
  </si>
  <si>
    <t xml:space="preserve">JOSE WILSON ALVES DA SILVA </t>
  </si>
  <si>
    <t>MARCONI COSTA DA SILVA NETO</t>
  </si>
  <si>
    <t xml:space="preserve">6146379 RENOV </t>
  </si>
  <si>
    <t xml:space="preserve">LEONARDO GOMES DE SOUSA </t>
  </si>
  <si>
    <t xml:space="preserve">WESLLEY BELO DE ANDRADE </t>
  </si>
  <si>
    <t xml:space="preserve">OANDSON KYLDERY ROSEMIRO DA SILVA </t>
  </si>
  <si>
    <t>6132186 RENOV</t>
  </si>
  <si>
    <t xml:space="preserve">JAILSON EDUARDO DE LIMA  </t>
  </si>
  <si>
    <t xml:space="preserve">6149869 RENOV </t>
  </si>
  <si>
    <t xml:space="preserve">ANTONIO RONALDO  DA SILVA SAMUEL </t>
  </si>
  <si>
    <t>615241541 RENOV</t>
  </si>
  <si>
    <t xml:space="preserve">DIANA FAUSTINO DA SILVA </t>
  </si>
  <si>
    <t>VALDEMIR DOS SANTOS DE BRITO</t>
  </si>
  <si>
    <t xml:space="preserve">EDILENE DA SILVA VICENTE </t>
  </si>
  <si>
    <t>MARIA GABRIELLY PEREIRA VALCACA</t>
  </si>
  <si>
    <t>CRISTIANO NEPOMUCENO COSTA</t>
  </si>
  <si>
    <t xml:space="preserve">FABIANO SILVA LIMA </t>
  </si>
  <si>
    <t>LEONARDO DE OLIVEIRA FABRICIO</t>
  </si>
  <si>
    <t xml:space="preserve">MARIA DA GUIA MENDES DO MONTE </t>
  </si>
  <si>
    <t xml:space="preserve">ERICK DE ALMEIDA SILVA </t>
  </si>
  <si>
    <t xml:space="preserve">RONALDO GONCALO DA SILVA </t>
  </si>
  <si>
    <t xml:space="preserve">6156763 RENOV </t>
  </si>
  <si>
    <t>JOSENICE LIMA DO NASCIMENTO</t>
  </si>
  <si>
    <t>6147127 RENOV</t>
  </si>
  <si>
    <t>JOAO GOMES MACEDO</t>
  </si>
  <si>
    <t xml:space="preserve">WELLINGTON FREITAS DA SILVA JUNIOR </t>
  </si>
  <si>
    <t xml:space="preserve">PAULO ROBERTO GABRIEL DE LIMA </t>
  </si>
  <si>
    <t>JOSE ROBERTO FRANCISCO DE MELO</t>
  </si>
  <si>
    <t>CLEMILSON BARBOSA GALDINO</t>
  </si>
  <si>
    <t>JOAO DE DEUS ALES DE CARVALHO</t>
  </si>
  <si>
    <t xml:space="preserve">DAVI DA SILVA TOMAZ </t>
  </si>
  <si>
    <t xml:space="preserve">JOSE RONALDO MATIAS FERNANDES </t>
  </si>
  <si>
    <t xml:space="preserve">MARCONI FERREIRA BSILVA </t>
  </si>
  <si>
    <t>JOSILMA SILVA DE OLIVEIRA BERNARDO</t>
  </si>
  <si>
    <t>IRAILDO GOMES DE AZEVEDO</t>
  </si>
  <si>
    <t xml:space="preserve">MARIA APARECIDA DA SILVA SANTOS </t>
  </si>
  <si>
    <t xml:space="preserve">MICHAEL ROCHA DA SILVA </t>
  </si>
  <si>
    <t xml:space="preserve">CG 160  FAN </t>
  </si>
  <si>
    <t xml:space="preserve">ALTAMIR DA SILVA SANTOS </t>
  </si>
  <si>
    <t xml:space="preserve">JOSE FERNANDES RODRIGUES </t>
  </si>
  <si>
    <t xml:space="preserve">6161809 RENOV </t>
  </si>
  <si>
    <t xml:space="preserve">JOSE VICTOR NDE LIMA BARBOSA </t>
  </si>
  <si>
    <t>6162151 RENOV</t>
  </si>
  <si>
    <t xml:space="preserve">LUCIENE PEREIRA DOS SANTOS </t>
  </si>
  <si>
    <t xml:space="preserve">FELIPE CARNEIRO DE BRITO LYRA </t>
  </si>
  <si>
    <t xml:space="preserve">SANDRA MERE DE OLIVEIRA SANTANA </t>
  </si>
  <si>
    <t xml:space="preserve">6166423 RENOV </t>
  </si>
  <si>
    <t xml:space="preserve">MARIA DA GLORIA XAVIER DE OLIVEIRA </t>
  </si>
  <si>
    <t>6155933 RENOV</t>
  </si>
  <si>
    <t xml:space="preserve">JOSE WELLINGTON CRUZ GONCALVES </t>
  </si>
  <si>
    <t xml:space="preserve">JEAN ALEXANDRE DA CUNHA </t>
  </si>
  <si>
    <t xml:space="preserve">ROBERTO PEREIRA DA SILVA </t>
  </si>
  <si>
    <t xml:space="preserve">LUCIA MARIA PEREIRA ALVES </t>
  </si>
  <si>
    <t xml:space="preserve">PCX 160 </t>
  </si>
  <si>
    <t xml:space="preserve">ANTONIO MOREIRA DA SILVA </t>
  </si>
  <si>
    <t xml:space="preserve">CG 60 TITAN </t>
  </si>
  <si>
    <t xml:space="preserve">6160514 RENOV </t>
  </si>
  <si>
    <t>CLAUDIA DE OLIVEIRA DUARTE</t>
  </si>
  <si>
    <t xml:space="preserve">VALDILENE DOS SANTOS </t>
  </si>
  <si>
    <t xml:space="preserve">MAURICELIO </t>
  </si>
  <si>
    <t xml:space="preserve">IVANILDO MACARIO DA COSTA </t>
  </si>
  <si>
    <t xml:space="preserve">JANAILSON SANTOS DE LIMA </t>
  </si>
  <si>
    <t>MARCOS FREIRE DO NASCIMNETO</t>
  </si>
  <si>
    <t xml:space="preserve">LIDIANE DA CAMARA DE SOUSA </t>
  </si>
  <si>
    <t>JOHNNY</t>
  </si>
  <si>
    <t>REJANE DE LIMA PEREIRA MORENO</t>
  </si>
  <si>
    <t xml:space="preserve">6172496 RENOV </t>
  </si>
  <si>
    <t xml:space="preserve">JUVENAL MACENA </t>
  </si>
  <si>
    <t xml:space="preserve">MARIA LIGIA ALEXANDRE BEZERRA MARQUES </t>
  </si>
  <si>
    <t xml:space="preserve">RAILSON TEODOSIO DA SILVA </t>
  </si>
  <si>
    <t xml:space="preserve">JOSE ALCIDES </t>
  </si>
  <si>
    <t xml:space="preserve">SABRINA DE CASSIA DA SILVA SANTOS </t>
  </si>
  <si>
    <t>EDMILSON DA SILVA NASCIMENTO</t>
  </si>
  <si>
    <t>6178339 RENOV</t>
  </si>
  <si>
    <t xml:space="preserve">JOSEFA VANDERLEIA SILVA DOS SANTOS </t>
  </si>
  <si>
    <t>XR 300L</t>
  </si>
  <si>
    <t xml:space="preserve">FRANCISCO JOSE  SILVA VASCONCELOS </t>
  </si>
  <si>
    <t>EXPEDITO ANTONIO DA SILVA CANDIDO</t>
  </si>
  <si>
    <t xml:space="preserve">JEAN JUNIOR DA SILVA DUARTE </t>
  </si>
  <si>
    <t xml:space="preserve">ADEILAM OLIVEIRA DE BARROS </t>
  </si>
  <si>
    <t>MANUEL SILVESTRE DOS SANTOS FILHO</t>
  </si>
  <si>
    <t>GERCIANA TRAJANO DE SOUZA</t>
  </si>
  <si>
    <t xml:space="preserve">EDNALDO DOS SANTOS SILVA </t>
  </si>
  <si>
    <t xml:space="preserve">MARIA DAS GRACAS DINIZ SILVA </t>
  </si>
  <si>
    <t xml:space="preserve">SIMONE MENDES DA SILVA </t>
  </si>
  <si>
    <t xml:space="preserve">MARIA GENELVA MARCELINO DE SOUZA </t>
  </si>
  <si>
    <t xml:space="preserve">JAEDSON DUTRA DA SILVA </t>
  </si>
  <si>
    <t xml:space="preserve">FABRICIA TAINAH DE LIMA A NOGUEIRA </t>
  </si>
  <si>
    <t>GABRIELLY DOS SANTOS PEIXOTO</t>
  </si>
  <si>
    <t>JOSE FERREIRA DA SILVA FILHO</t>
  </si>
  <si>
    <t xml:space="preserve">NC 750MX </t>
  </si>
  <si>
    <t xml:space="preserve">ROSA BALBINO DA SILVA </t>
  </si>
  <si>
    <t xml:space="preserve">6181076 RENOV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</si>
</sst>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&quot;-R$&quot;* #,##0.00_-;_-&quot;R$&quot;* \-??_-;_-@_-"/>
    <numFmt numFmtId="165" formatCode="_-[$R$-416]\ * #,##0.00_-;\-[$R$-416]\ * #,##0.00_-;_-[$R$-416]\ * &quot;-&quot;??_-;_-@_-"/>
    <numFmt numFmtId="166" formatCode="0.0"/>
  </numFmts>
  <fonts count="7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146EAA"/>
      <name val="Arial"/>
      <family val="2"/>
    </font>
    <font>
      <sz val="8"/>
      <name val="Arial"/>
      <family val="2"/>
    </font>
    <font>
      <b/>
      <sz val="18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46EA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4"/>
      <color rgb="FF00B050"/>
      <name val="Calibri"/>
      <family val="2"/>
      <scheme val="minor"/>
    </font>
    <font>
      <sz val="10"/>
      <color rgb="FFFF0000"/>
      <name val="Calibri"/>
      <family val="2"/>
    </font>
    <font>
      <b/>
      <sz val="9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7E4BD"/>
      </patternFill>
    </fill>
    <fill>
      <patternFill patternType="solid">
        <fgColor theme="0" tint="-0.249977111117893"/>
        <bgColor rgb="FFD7E4BD"/>
      </patternFill>
    </fill>
    <fill>
      <patternFill patternType="solid">
        <fgColor theme="0"/>
        <bgColor rgb="FFDCE6F2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0.249977111117893"/>
        <bgColor rgb="FFDCE6F2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CE6F2"/>
      </patternFill>
    </fill>
    <fill>
      <patternFill patternType="solid">
        <fgColor rgb="FFFFFF00"/>
        <bgColor rgb="FFFFFFCC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CE6F2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FFFCC"/>
      </patternFill>
    </fill>
    <fill>
      <patternFill patternType="solid">
        <fgColor rgb="FFFF7C80"/>
        <bgColor rgb="FFDCE6F2"/>
      </patternFill>
    </fill>
    <fill>
      <patternFill patternType="solid">
        <fgColor theme="2" tint="-9.9978637043366805E-2"/>
        <bgColor rgb="FFFFFFCC"/>
      </patternFill>
    </fill>
    <fill>
      <patternFill patternType="solid">
        <fgColor theme="2" tint="-9.9978637043366805E-2"/>
        <bgColor rgb="FFDCE6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37" fillId="0" borderId="0" applyFont="0" applyFill="0" applyBorder="0" applyAlignment="0" applyProtection="0"/>
    <xf numFmtId="43" fontId="45" fillId="0" borderId="0" applyFont="0" applyFill="0" applyBorder="0" applyAlignment="0" applyProtection="0"/>
    <xf numFmtId="9" fontId="5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48">
    <xf numFmtId="0" fontId="0" fillId="0" borderId="0" xfId="0"/>
    <xf numFmtId="0" fontId="35" fillId="3" borderId="2" xfId="0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36" fillId="7" borderId="1" xfId="0" applyFont="1" applyFill="1" applyBorder="1" applyAlignment="1">
      <alignment horizontal="center"/>
    </xf>
    <xf numFmtId="164" fontId="35" fillId="7" borderId="1" xfId="0" applyNumberFormat="1" applyFont="1" applyFill="1" applyBorder="1"/>
    <xf numFmtId="164" fontId="0" fillId="7" borderId="0" xfId="0" applyNumberFormat="1" applyFill="1" applyAlignment="1">
      <alignment horizontal="center" vertical="center"/>
    </xf>
    <xf numFmtId="44" fontId="0" fillId="7" borderId="0" xfId="1" applyFont="1" applyFill="1" applyBorder="1" applyAlignment="1" applyProtection="1"/>
    <xf numFmtId="164" fontId="35" fillId="7" borderId="0" xfId="0" applyNumberFormat="1" applyFont="1" applyFill="1"/>
    <xf numFmtId="0" fontId="35" fillId="3" borderId="3" xfId="0" applyFont="1" applyFill="1" applyBorder="1" applyAlignment="1">
      <alignment horizontal="center" vertical="center"/>
    </xf>
    <xf numFmtId="0" fontId="35" fillId="3" borderId="5" xfId="0" applyFont="1" applyFill="1" applyBorder="1" applyAlignment="1">
      <alignment horizontal="center" vertical="center"/>
    </xf>
    <xf numFmtId="1" fontId="35" fillId="3" borderId="1" xfId="0" applyNumberFormat="1" applyFont="1" applyFill="1" applyBorder="1" applyAlignment="1">
      <alignment horizontal="center" vertical="center"/>
    </xf>
    <xf numFmtId="1" fontId="0" fillId="7" borderId="0" xfId="0" applyNumberFormat="1" applyFill="1"/>
    <xf numFmtId="1" fontId="44" fillId="2" borderId="1" xfId="0" applyNumberFormat="1" applyFont="1" applyFill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/>
    </xf>
    <xf numFmtId="1" fontId="46" fillId="0" borderId="1" xfId="2" applyNumberFormat="1" applyFont="1" applyBorder="1" applyAlignment="1">
      <alignment horizontal="center"/>
    </xf>
    <xf numFmtId="0" fontId="47" fillId="0" borderId="6" xfId="0" applyFont="1" applyBorder="1" applyAlignment="1">
      <alignment horizontal="center"/>
    </xf>
    <xf numFmtId="1" fontId="46" fillId="0" borderId="1" xfId="2" applyNumberFormat="1" applyFont="1" applyBorder="1" applyAlignment="1">
      <alignment horizontal="center" vertical="top"/>
    </xf>
    <xf numFmtId="1" fontId="40" fillId="0" borderId="1" xfId="1" applyNumberFormat="1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35" fillId="3" borderId="2" xfId="0" applyFont="1" applyFill="1" applyBorder="1" applyAlignment="1">
      <alignment vertical="center"/>
    </xf>
    <xf numFmtId="0" fontId="34" fillId="5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/>
    </xf>
    <xf numFmtId="44" fontId="34" fillId="6" borderId="1" xfId="1" applyFont="1" applyFill="1" applyBorder="1" applyAlignment="1" applyProtection="1">
      <alignment horizontal="center" vertical="center"/>
    </xf>
    <xf numFmtId="44" fontId="34" fillId="5" borderId="1" xfId="1" applyFont="1" applyFill="1" applyBorder="1" applyAlignment="1" applyProtection="1">
      <alignment horizontal="center" vertical="center"/>
    </xf>
    <xf numFmtId="44" fontId="34" fillId="8" borderId="1" xfId="1" applyFont="1" applyFill="1" applyBorder="1" applyAlignment="1" applyProtection="1">
      <alignment horizontal="center" vertical="center"/>
    </xf>
    <xf numFmtId="164" fontId="34" fillId="6" borderId="1" xfId="0" applyNumberFormat="1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/>
    </xf>
    <xf numFmtId="44" fontId="34" fillId="7" borderId="1" xfId="1" applyFont="1" applyFill="1" applyBorder="1" applyAlignment="1" applyProtection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center"/>
    </xf>
    <xf numFmtId="0" fontId="34" fillId="5" borderId="4" xfId="0" applyFont="1" applyFill="1" applyBorder="1" applyAlignment="1">
      <alignment horizontal="center" vertical="center"/>
    </xf>
    <xf numFmtId="165" fontId="34" fillId="0" borderId="0" xfId="0" applyNumberFormat="1" applyFont="1"/>
    <xf numFmtId="44" fontId="34" fillId="0" borderId="0" xfId="0" applyNumberFormat="1" applyFont="1"/>
    <xf numFmtId="1" fontId="34" fillId="0" borderId="1" xfId="0" applyNumberFormat="1" applyFont="1" applyBorder="1" applyAlignment="1">
      <alignment horizontal="center"/>
    </xf>
    <xf numFmtId="1" fontId="34" fillId="5" borderId="1" xfId="0" applyNumberFormat="1" applyFont="1" applyFill="1" applyBorder="1" applyAlignment="1">
      <alignment horizontal="center" vertical="center"/>
    </xf>
    <xf numFmtId="165" fontId="34" fillId="0" borderId="6" xfId="1" applyNumberFormat="1" applyFont="1" applyBorder="1"/>
    <xf numFmtId="0" fontId="34" fillId="0" borderId="0" xfId="0" applyFont="1"/>
    <xf numFmtId="1" fontId="34" fillId="7" borderId="1" xfId="0" applyNumberFormat="1" applyFont="1" applyFill="1" applyBorder="1" applyAlignment="1">
      <alignment horizontal="center" vertical="center"/>
    </xf>
    <xf numFmtId="44" fontId="34" fillId="0" borderId="6" xfId="1" applyFont="1" applyBorder="1"/>
    <xf numFmtId="0" fontId="34" fillId="7" borderId="1" xfId="0" applyFont="1" applyFill="1" applyBorder="1" applyAlignment="1">
      <alignment horizontal="center"/>
    </xf>
    <xf numFmtId="44" fontId="34" fillId="0" borderId="0" xfId="1" applyFont="1"/>
    <xf numFmtId="0" fontId="34" fillId="5" borderId="1" xfId="0" applyFont="1" applyFill="1" applyBorder="1" applyAlignment="1">
      <alignment horizontal="center"/>
    </xf>
    <xf numFmtId="164" fontId="34" fillId="8" borderId="1" xfId="0" applyNumberFormat="1" applyFont="1" applyFill="1" applyBorder="1" applyAlignment="1">
      <alignment horizontal="center" vertical="center"/>
    </xf>
    <xf numFmtId="0" fontId="34" fillId="7" borderId="1" xfId="0" applyFont="1" applyFill="1" applyBorder="1"/>
    <xf numFmtId="44" fontId="34" fillId="7" borderId="6" xfId="1" applyFont="1" applyFill="1" applyBorder="1" applyAlignment="1" applyProtection="1">
      <alignment horizontal="center" vertical="center"/>
    </xf>
    <xf numFmtId="0" fontId="34" fillId="5" borderId="1" xfId="0" applyFont="1" applyFill="1" applyBorder="1"/>
    <xf numFmtId="44" fontId="34" fillId="5" borderId="6" xfId="1" applyFont="1" applyFill="1" applyBorder="1" applyAlignment="1" applyProtection="1">
      <alignment horizontal="center" vertical="center"/>
    </xf>
    <xf numFmtId="2" fontId="34" fillId="5" borderId="1" xfId="0" applyNumberFormat="1" applyFont="1" applyFill="1" applyBorder="1" applyAlignment="1">
      <alignment horizontal="center" vertical="center"/>
    </xf>
    <xf numFmtId="0" fontId="34" fillId="5" borderId="6" xfId="0" applyFont="1" applyFill="1" applyBorder="1" applyAlignment="1">
      <alignment horizontal="center"/>
    </xf>
    <xf numFmtId="0" fontId="43" fillId="0" borderId="0" xfId="0" applyFont="1"/>
    <xf numFmtId="0" fontId="34" fillId="7" borderId="1" xfId="0" applyFont="1" applyFill="1" applyBorder="1" applyAlignment="1">
      <alignment horizontal="left"/>
    </xf>
    <xf numFmtId="0" fontId="34" fillId="5" borderId="1" xfId="0" applyFont="1" applyFill="1" applyBorder="1" applyAlignment="1">
      <alignment horizontal="left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1" fontId="34" fillId="7" borderId="8" xfId="0" applyNumberFormat="1" applyFont="1" applyFill="1" applyBorder="1" applyAlignment="1">
      <alignment horizontal="center" vertical="center"/>
    </xf>
    <xf numFmtId="164" fontId="34" fillId="9" borderId="1" xfId="0" applyNumberFormat="1" applyFont="1" applyFill="1" applyBorder="1" applyAlignment="1">
      <alignment horizontal="center" vertical="center"/>
    </xf>
    <xf numFmtId="44" fontId="34" fillId="9" borderId="1" xfId="1" applyFont="1" applyFill="1" applyBorder="1" applyAlignment="1" applyProtection="1">
      <alignment horizontal="center" vertical="center"/>
    </xf>
    <xf numFmtId="44" fontId="34" fillId="10" borderId="1" xfId="1" applyFont="1" applyFill="1" applyBorder="1" applyAlignment="1" applyProtection="1">
      <alignment horizontal="center" vertical="center"/>
    </xf>
    <xf numFmtId="0" fontId="34" fillId="7" borderId="0" xfId="0" applyFont="1" applyFill="1" applyAlignment="1">
      <alignment horizontal="center" vertical="center"/>
    </xf>
    <xf numFmtId="1" fontId="34" fillId="7" borderId="0" xfId="0" applyNumberFormat="1" applyFont="1" applyFill="1" applyAlignment="1">
      <alignment horizontal="center" vertical="center"/>
    </xf>
    <xf numFmtId="44" fontId="34" fillId="7" borderId="0" xfId="1" applyFont="1" applyFill="1" applyBorder="1" applyAlignment="1" applyProtection="1">
      <alignment horizontal="center" vertical="center"/>
    </xf>
    <xf numFmtId="164" fontId="34" fillId="7" borderId="0" xfId="0" applyNumberFormat="1" applyFont="1" applyFill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/>
    </xf>
    <xf numFmtId="44" fontId="33" fillId="7" borderId="1" xfId="1" applyFont="1" applyFill="1" applyBorder="1" applyAlignment="1" applyProtection="1">
      <alignment horizontal="center" vertical="center"/>
    </xf>
    <xf numFmtId="0" fontId="33" fillId="7" borderId="1" xfId="0" applyFont="1" applyFill="1" applyBorder="1" applyAlignment="1">
      <alignment horizontal="left" vertical="center"/>
    </xf>
    <xf numFmtId="0" fontId="32" fillId="7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horizontal="center"/>
    </xf>
    <xf numFmtId="44" fontId="32" fillId="7" borderId="1" xfId="1" applyFont="1" applyFill="1" applyBorder="1" applyAlignment="1" applyProtection="1">
      <alignment horizontal="center" vertical="center"/>
    </xf>
    <xf numFmtId="0" fontId="32" fillId="7" borderId="1" xfId="0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center"/>
    </xf>
    <xf numFmtId="44" fontId="31" fillId="7" borderId="1" xfId="1" applyFont="1" applyFill="1" applyBorder="1" applyAlignment="1" applyProtection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/>
    </xf>
    <xf numFmtId="44" fontId="30" fillId="7" borderId="1" xfId="1" applyFont="1" applyFill="1" applyBorder="1" applyAlignment="1" applyProtection="1">
      <alignment horizontal="center" vertical="center"/>
    </xf>
    <xf numFmtId="0" fontId="30" fillId="7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/>
    </xf>
    <xf numFmtId="44" fontId="29" fillId="7" borderId="1" xfId="1" applyFont="1" applyFill="1" applyBorder="1" applyAlignment="1" applyProtection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/>
    </xf>
    <xf numFmtId="44" fontId="28" fillId="7" borderId="1" xfId="1" applyFont="1" applyFill="1" applyBorder="1" applyAlignment="1" applyProtection="1">
      <alignment horizontal="center" vertical="center"/>
    </xf>
    <xf numFmtId="0" fontId="28" fillId="7" borderId="1" xfId="0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/>
    </xf>
    <xf numFmtId="44" fontId="27" fillId="7" borderId="1" xfId="1" applyFont="1" applyFill="1" applyBorder="1" applyAlignment="1" applyProtection="1">
      <alignment horizontal="center" vertical="center"/>
    </xf>
    <xf numFmtId="0" fontId="27" fillId="7" borderId="1" xfId="0" applyFont="1" applyFill="1" applyBorder="1" applyAlignment="1">
      <alignment horizontal="left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/>
    </xf>
    <xf numFmtId="44" fontId="26" fillId="7" borderId="1" xfId="1" applyFont="1" applyFill="1" applyBorder="1" applyAlignment="1" applyProtection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5" fillId="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/>
    </xf>
    <xf numFmtId="44" fontId="25" fillId="7" borderId="1" xfId="1" applyFont="1" applyFill="1" applyBorder="1" applyAlignment="1" applyProtection="1">
      <alignment horizontal="center" vertical="center"/>
    </xf>
    <xf numFmtId="0" fontId="25" fillId="7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/>
    </xf>
    <xf numFmtId="44" fontId="24" fillId="7" borderId="1" xfId="1" applyFont="1" applyFill="1" applyBorder="1" applyAlignment="1" applyProtection="1">
      <alignment horizontal="center" vertical="center"/>
    </xf>
    <xf numFmtId="0" fontId="24" fillId="7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44" fontId="23" fillId="7" borderId="1" xfId="1" applyFont="1" applyFill="1" applyBorder="1" applyAlignment="1" applyProtection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/>
    </xf>
    <xf numFmtId="44" fontId="22" fillId="7" borderId="1" xfId="1" applyFont="1" applyFill="1" applyBorder="1" applyAlignment="1" applyProtection="1">
      <alignment horizontal="center" vertical="center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/>
    </xf>
    <xf numFmtId="44" fontId="21" fillId="7" borderId="1" xfId="1" applyFont="1" applyFill="1" applyBorder="1" applyAlignment="1" applyProtection="1">
      <alignment horizontal="center" vertical="center"/>
    </xf>
    <xf numFmtId="0" fontId="21" fillId="11" borderId="1" xfId="0" applyFont="1" applyFill="1" applyBorder="1" applyAlignment="1">
      <alignment vertical="center"/>
    </xf>
    <xf numFmtId="0" fontId="21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44" fontId="34" fillId="11" borderId="1" xfId="1" applyFont="1" applyFill="1" applyBorder="1" applyAlignment="1" applyProtection="1">
      <alignment horizontal="center" vertical="center"/>
    </xf>
    <xf numFmtId="0" fontId="34" fillId="12" borderId="1" xfId="0" applyFont="1" applyFill="1" applyBorder="1" applyAlignment="1">
      <alignment horizontal="left" vertical="center"/>
    </xf>
    <xf numFmtId="0" fontId="34" fillId="12" borderId="4" xfId="0" applyFont="1" applyFill="1" applyBorder="1" applyAlignment="1">
      <alignment horizontal="center" vertical="center"/>
    </xf>
    <xf numFmtId="44" fontId="34" fillId="12" borderId="1" xfId="1" applyFont="1" applyFill="1" applyBorder="1" applyAlignment="1" applyProtection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44" fontId="20" fillId="12" borderId="1" xfId="1" applyFont="1" applyFill="1" applyBorder="1" applyAlignment="1" applyProtection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44" fontId="34" fillId="14" borderId="1" xfId="1" applyFont="1" applyFill="1" applyBorder="1" applyAlignment="1" applyProtection="1">
      <alignment horizontal="center" vertical="center"/>
    </xf>
    <xf numFmtId="44" fontId="20" fillId="14" borderId="1" xfId="1" applyFont="1" applyFill="1" applyBorder="1" applyAlignment="1" applyProtection="1">
      <alignment horizontal="center" vertical="center"/>
    </xf>
    <xf numFmtId="1" fontId="34" fillId="12" borderId="1" xfId="0" applyNumberFormat="1" applyFont="1" applyFill="1" applyBorder="1" applyAlignment="1">
      <alignment horizontal="center"/>
    </xf>
    <xf numFmtId="0" fontId="39" fillId="12" borderId="6" xfId="0" applyFont="1" applyFill="1" applyBorder="1" applyAlignment="1">
      <alignment horizontal="center"/>
    </xf>
    <xf numFmtId="0" fontId="34" fillId="13" borderId="0" xfId="0" applyFont="1" applyFill="1"/>
    <xf numFmtId="1" fontId="34" fillId="14" borderId="1" xfId="0" applyNumberFormat="1" applyFont="1" applyFill="1" applyBorder="1" applyAlignment="1">
      <alignment horizontal="center" vertical="center"/>
    </xf>
    <xf numFmtId="0" fontId="39" fillId="13" borderId="1" xfId="0" applyFont="1" applyFill="1" applyBorder="1" applyAlignment="1">
      <alignment horizontal="center"/>
    </xf>
    <xf numFmtId="0" fontId="34" fillId="14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1" fontId="46" fillId="2" borderId="1" xfId="2" applyNumberFormat="1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43" fillId="2" borderId="11" xfId="0" applyFont="1" applyFill="1" applyBorder="1" applyAlignment="1">
      <alignment horizontal="center"/>
    </xf>
    <xf numFmtId="0" fontId="40" fillId="15" borderId="0" xfId="0" applyFont="1" applyFill="1"/>
    <xf numFmtId="0" fontId="34" fillId="16" borderId="4" xfId="0" applyFont="1" applyFill="1" applyBorder="1" applyAlignment="1">
      <alignment horizontal="center" vertical="center"/>
    </xf>
    <xf numFmtId="2" fontId="49" fillId="15" borderId="1" xfId="2" applyNumberFormat="1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44" fontId="34" fillId="16" borderId="6" xfId="1" applyFont="1" applyFill="1" applyBorder="1" applyAlignment="1" applyProtection="1">
      <alignment horizontal="center" vertical="center"/>
    </xf>
    <xf numFmtId="44" fontId="34" fillId="16" borderId="1" xfId="1" applyFont="1" applyFill="1" applyBorder="1" applyAlignment="1" applyProtection="1">
      <alignment horizontal="center" vertical="center"/>
    </xf>
    <xf numFmtId="0" fontId="34" fillId="16" borderId="1" xfId="0" applyFont="1" applyFill="1" applyBorder="1" applyAlignment="1">
      <alignment horizontal="center"/>
    </xf>
    <xf numFmtId="0" fontId="34" fillId="17" borderId="1" xfId="0" applyFont="1" applyFill="1" applyBorder="1"/>
    <xf numFmtId="0" fontId="34" fillId="17" borderId="4" xfId="0" applyFont="1" applyFill="1" applyBorder="1" applyAlignment="1">
      <alignment horizontal="center" vertical="center"/>
    </xf>
    <xf numFmtId="1" fontId="0" fillId="15" borderId="1" xfId="0" applyNumberFormat="1" applyFill="1" applyBorder="1" applyAlignment="1">
      <alignment horizontal="center"/>
    </xf>
    <xf numFmtId="0" fontId="43" fillId="15" borderId="0" xfId="0" applyFont="1" applyFill="1" applyAlignment="1">
      <alignment horizontal="center"/>
    </xf>
    <xf numFmtId="44" fontId="34" fillId="17" borderId="1" xfId="1" applyFont="1" applyFill="1" applyBorder="1" applyAlignment="1" applyProtection="1">
      <alignment horizontal="center" vertical="center"/>
    </xf>
    <xf numFmtId="0" fontId="34" fillId="17" borderId="1" xfId="0" applyFont="1" applyFill="1" applyBorder="1" applyAlignment="1">
      <alignment horizontal="center"/>
    </xf>
    <xf numFmtId="0" fontId="40" fillId="2" borderId="1" xfId="0" applyFont="1" applyFill="1" applyBorder="1"/>
    <xf numFmtId="0" fontId="38" fillId="2" borderId="1" xfId="0" applyFont="1" applyFill="1" applyBorder="1" applyAlignment="1">
      <alignment horizontal="center" vertical="center"/>
    </xf>
    <xf numFmtId="1" fontId="19" fillId="11" borderId="1" xfId="0" applyNumberFormat="1" applyFont="1" applyFill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/>
    </xf>
    <xf numFmtId="1" fontId="50" fillId="7" borderId="1" xfId="0" applyNumberFormat="1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left"/>
    </xf>
    <xf numFmtId="0" fontId="51" fillId="7" borderId="1" xfId="0" applyFont="1" applyFill="1" applyBorder="1" applyAlignment="1">
      <alignment horizontal="center" vertical="center"/>
    </xf>
    <xf numFmtId="1" fontId="51" fillId="7" borderId="1" xfId="0" applyNumberFormat="1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/>
    </xf>
    <xf numFmtId="44" fontId="51" fillId="7" borderId="1" xfId="1" applyFont="1" applyFill="1" applyBorder="1" applyAlignment="1" applyProtection="1">
      <alignment horizontal="center" vertical="center"/>
    </xf>
    <xf numFmtId="44" fontId="51" fillId="6" borderId="1" xfId="1" applyFont="1" applyFill="1" applyBorder="1" applyAlignment="1" applyProtection="1">
      <alignment horizontal="center" vertical="center"/>
    </xf>
    <xf numFmtId="44" fontId="51" fillId="8" borderId="1" xfId="1" applyFont="1" applyFill="1" applyBorder="1" applyAlignment="1" applyProtection="1">
      <alignment horizontal="center" vertical="center"/>
    </xf>
    <xf numFmtId="164" fontId="51" fillId="6" borderId="1" xfId="0" applyNumberFormat="1" applyFont="1" applyFill="1" applyBorder="1" applyAlignment="1">
      <alignment horizontal="center" vertical="center"/>
    </xf>
    <xf numFmtId="44" fontId="34" fillId="20" borderId="1" xfId="1" applyFont="1" applyFill="1" applyBorder="1" applyAlignment="1" applyProtection="1">
      <alignment horizontal="center" vertical="center"/>
    </xf>
    <xf numFmtId="0" fontId="21" fillId="11" borderId="1" xfId="0" applyFont="1" applyFill="1" applyBorder="1" applyAlignment="1">
      <alignment horizontal="center"/>
    </xf>
    <xf numFmtId="44" fontId="18" fillId="11" borderId="1" xfId="1" applyFont="1" applyFill="1" applyBorder="1" applyAlignment="1" applyProtection="1">
      <alignment horizontal="center" vertical="center"/>
    </xf>
    <xf numFmtId="164" fontId="34" fillId="11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44" fontId="17" fillId="0" borderId="1" xfId="0" applyNumberFormat="1" applyFont="1" applyBorder="1"/>
    <xf numFmtId="44" fontId="17" fillId="6" borderId="1" xfId="1" applyFont="1" applyFill="1" applyBorder="1" applyAlignment="1" applyProtection="1">
      <alignment horizontal="center" vertical="center"/>
    </xf>
    <xf numFmtId="44" fontId="17" fillId="5" borderId="1" xfId="1" applyFont="1" applyFill="1" applyBorder="1" applyAlignment="1" applyProtection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44" fontId="17" fillId="8" borderId="1" xfId="1" applyFont="1" applyFill="1" applyBorder="1" applyAlignment="1" applyProtection="1">
      <alignment horizontal="center" vertical="center"/>
    </xf>
    <xf numFmtId="164" fontId="17" fillId="6" borderId="1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44" fontId="17" fillId="7" borderId="1" xfId="1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/>
    </xf>
    <xf numFmtId="165" fontId="17" fillId="0" borderId="0" xfId="0" applyNumberFormat="1" applyFont="1"/>
    <xf numFmtId="44" fontId="17" fillId="0" borderId="0" xfId="0" applyNumberFormat="1" applyFont="1"/>
    <xf numFmtId="44" fontId="17" fillId="18" borderId="1" xfId="1" applyFont="1" applyFill="1" applyBorder="1" applyAlignment="1" applyProtection="1">
      <alignment horizontal="center" vertical="center"/>
    </xf>
    <xf numFmtId="0" fontId="52" fillId="2" borderId="1" xfId="0" applyFont="1" applyFill="1" applyBorder="1" applyAlignment="1">
      <alignment horizontal="center"/>
    </xf>
    <xf numFmtId="165" fontId="17" fillId="2" borderId="6" xfId="1" applyNumberFormat="1" applyFont="1" applyFill="1" applyBorder="1"/>
    <xf numFmtId="0" fontId="17" fillId="2" borderId="1" xfId="0" applyFont="1" applyFill="1" applyBorder="1"/>
    <xf numFmtId="0" fontId="17" fillId="7" borderId="1" xfId="0" applyFont="1" applyFill="1" applyBorder="1" applyAlignment="1">
      <alignment horizontal="center"/>
    </xf>
    <xf numFmtId="44" fontId="17" fillId="2" borderId="10" xfId="1" applyFont="1" applyFill="1" applyBorder="1"/>
    <xf numFmtId="44" fontId="17" fillId="19" borderId="1" xfId="1" applyFont="1" applyFill="1" applyBorder="1" applyAlignment="1" applyProtection="1">
      <alignment horizontal="center" vertical="center"/>
    </xf>
    <xf numFmtId="0" fontId="17" fillId="5" borderId="1" xfId="0" applyFont="1" applyFill="1" applyBorder="1" applyAlignment="1">
      <alignment horizontal="center"/>
    </xf>
    <xf numFmtId="164" fontId="17" fillId="8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/>
    <xf numFmtId="44" fontId="17" fillId="7" borderId="6" xfId="1" applyFont="1" applyFill="1" applyBorder="1" applyAlignment="1" applyProtection="1">
      <alignment horizontal="center" vertical="center"/>
    </xf>
    <xf numFmtId="1" fontId="43" fillId="2" borderId="1" xfId="2" applyNumberFormat="1" applyFont="1" applyFill="1" applyBorder="1" applyAlignment="1">
      <alignment horizontal="center"/>
    </xf>
    <xf numFmtId="0" fontId="17" fillId="5" borderId="1" xfId="0" applyFont="1" applyFill="1" applyBorder="1"/>
    <xf numFmtId="44" fontId="17" fillId="5" borderId="6" xfId="1" applyFont="1" applyFill="1" applyBorder="1" applyAlignment="1" applyProtection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1" fontId="0" fillId="0" borderId="0" xfId="2" applyNumberFormat="1" applyFont="1"/>
    <xf numFmtId="164" fontId="17" fillId="9" borderId="1" xfId="0" applyNumberFormat="1" applyFont="1" applyFill="1" applyBorder="1" applyAlignment="1">
      <alignment horizontal="center" vertical="center"/>
    </xf>
    <xf numFmtId="44" fontId="17" fillId="9" borderId="1" xfId="1" applyFont="1" applyFill="1" applyBorder="1" applyAlignment="1" applyProtection="1">
      <alignment horizontal="center" vertical="center"/>
    </xf>
    <xf numFmtId="0" fontId="17" fillId="7" borderId="1" xfId="0" applyFont="1" applyFill="1" applyBorder="1" applyAlignment="1">
      <alignment vertical="center"/>
    </xf>
    <xf numFmtId="44" fontId="17" fillId="10" borderId="1" xfId="1" applyFont="1" applyFill="1" applyBorder="1" applyAlignment="1" applyProtection="1">
      <alignment horizontal="center" vertical="center"/>
    </xf>
    <xf numFmtId="1" fontId="16" fillId="2" borderId="1" xfId="0" applyNumberFormat="1" applyFont="1" applyFill="1" applyBorder="1" applyAlignment="1">
      <alignment horizontal="center"/>
    </xf>
    <xf numFmtId="1" fontId="16" fillId="5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/>
    </xf>
    <xf numFmtId="1" fontId="16" fillId="7" borderId="8" xfId="0" applyNumberFormat="1" applyFont="1" applyFill="1" applyBorder="1" applyAlignment="1">
      <alignment horizontal="center" vertical="center"/>
    </xf>
    <xf numFmtId="12" fontId="16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1" fontId="54" fillId="0" borderId="1" xfId="2" applyNumberFormat="1" applyFont="1" applyBorder="1" applyAlignment="1">
      <alignment horizontal="center"/>
    </xf>
    <xf numFmtId="0" fontId="55" fillId="0" borderId="6" xfId="0" applyFont="1" applyBorder="1" applyAlignment="1">
      <alignment horizontal="center"/>
    </xf>
    <xf numFmtId="44" fontId="15" fillId="0" borderId="1" xfId="0" applyNumberFormat="1" applyFont="1" applyBorder="1"/>
    <xf numFmtId="44" fontId="15" fillId="6" borderId="1" xfId="1" applyFont="1" applyFill="1" applyBorder="1" applyAlignment="1" applyProtection="1">
      <alignment horizontal="center" vertical="center"/>
    </xf>
    <xf numFmtId="44" fontId="15" fillId="5" borderId="1" xfId="1" applyFont="1" applyFill="1" applyBorder="1" applyAlignment="1" applyProtection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44" fontId="15" fillId="8" borderId="1" xfId="1" applyFont="1" applyFill="1" applyBorder="1" applyAlignment="1" applyProtection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1" fontId="54" fillId="0" borderId="1" xfId="2" applyNumberFormat="1" applyFont="1" applyBorder="1" applyAlignment="1">
      <alignment horizontal="center" vertical="top"/>
    </xf>
    <xf numFmtId="44" fontId="15" fillId="7" borderId="1" xfId="1" applyFont="1" applyFill="1" applyBorder="1" applyAlignment="1" applyProtection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1" fontId="56" fillId="0" borderId="1" xfId="1" applyNumberFormat="1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165" fontId="15" fillId="0" borderId="0" xfId="0" applyNumberFormat="1" applyFont="1"/>
    <xf numFmtId="44" fontId="15" fillId="0" borderId="0" xfId="0" applyNumberFormat="1" applyFont="1"/>
    <xf numFmtId="1" fontId="57" fillId="2" borderId="1" xfId="0" applyNumberFormat="1" applyFont="1" applyFill="1" applyBorder="1" applyAlignment="1">
      <alignment horizontal="center"/>
    </xf>
    <xf numFmtId="44" fontId="15" fillId="2" borderId="1" xfId="0" applyNumberFormat="1" applyFont="1" applyFill="1" applyBorder="1"/>
    <xf numFmtId="44" fontId="15" fillId="18" borderId="1" xfId="1" applyFont="1" applyFill="1" applyBorder="1" applyAlignment="1" applyProtection="1">
      <alignment horizontal="center" vertical="center"/>
    </xf>
    <xf numFmtId="1" fontId="57" fillId="7" borderId="1" xfId="0" applyNumberFormat="1" applyFont="1" applyFill="1" applyBorder="1" applyAlignment="1">
      <alignment horizontal="center"/>
    </xf>
    <xf numFmtId="0" fontId="52" fillId="7" borderId="1" xfId="0" applyFont="1" applyFill="1" applyBorder="1" applyAlignment="1">
      <alignment horizontal="center"/>
    </xf>
    <xf numFmtId="1" fontId="57" fillId="5" borderId="1" xfId="0" applyNumberFormat="1" applyFont="1" applyFill="1" applyBorder="1" applyAlignment="1">
      <alignment horizontal="center" vertical="center"/>
    </xf>
    <xf numFmtId="165" fontId="15" fillId="2" borderId="6" xfId="1" applyNumberFormat="1" applyFont="1" applyFill="1" applyBorder="1"/>
    <xf numFmtId="0" fontId="15" fillId="2" borderId="1" xfId="0" applyFont="1" applyFill="1" applyBorder="1"/>
    <xf numFmtId="1" fontId="57" fillId="7" borderId="1" xfId="0" applyNumberFormat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44" fontId="15" fillId="2" borderId="6" xfId="1" applyFont="1" applyFill="1" applyBorder="1"/>
    <xf numFmtId="0" fontId="15" fillId="7" borderId="1" xfId="0" applyFont="1" applyFill="1" applyBorder="1" applyAlignment="1">
      <alignment horizontal="center"/>
    </xf>
    <xf numFmtId="44" fontId="15" fillId="19" borderId="1" xfId="1" applyFont="1" applyFill="1" applyBorder="1" applyAlignment="1" applyProtection="1">
      <alignment horizontal="center" vertical="center"/>
    </xf>
    <xf numFmtId="0" fontId="15" fillId="5" borderId="1" xfId="0" applyFont="1" applyFill="1" applyBorder="1" applyAlignment="1">
      <alignment horizontal="center"/>
    </xf>
    <xf numFmtId="164" fontId="15" fillId="8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/>
    <xf numFmtId="0" fontId="55" fillId="2" borderId="1" xfId="0" applyFont="1" applyFill="1" applyBorder="1" applyAlignment="1">
      <alignment horizontal="center"/>
    </xf>
    <xf numFmtId="44" fontId="15" fillId="7" borderId="6" xfId="1" applyFont="1" applyFill="1" applyBorder="1" applyAlignment="1" applyProtection="1">
      <alignment horizontal="center" vertical="center"/>
    </xf>
    <xf numFmtId="1" fontId="55" fillId="2" borderId="1" xfId="2" applyNumberFormat="1" applyFont="1" applyFill="1" applyBorder="1" applyAlignment="1">
      <alignment horizontal="center"/>
    </xf>
    <xf numFmtId="0" fontId="15" fillId="5" borderId="1" xfId="0" applyFont="1" applyFill="1" applyBorder="1"/>
    <xf numFmtId="1" fontId="54" fillId="2" borderId="1" xfId="2" applyNumberFormat="1" applyFont="1" applyFill="1" applyBorder="1" applyAlignment="1">
      <alignment horizontal="center"/>
    </xf>
    <xf numFmtId="44" fontId="15" fillId="5" borderId="6" xfId="1" applyFont="1" applyFill="1" applyBorder="1" applyAlignment="1" applyProtection="1">
      <alignment horizontal="center" vertical="center"/>
    </xf>
    <xf numFmtId="0" fontId="57" fillId="7" borderId="1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 vertical="center"/>
    </xf>
    <xf numFmtId="0" fontId="55" fillId="2" borderId="11" xfId="0" applyFont="1" applyFill="1" applyBorder="1" applyAlignment="1">
      <alignment horizontal="center"/>
    </xf>
    <xf numFmtId="0" fontId="57" fillId="7" borderId="6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55" fillId="0" borderId="0" xfId="0" applyFont="1" applyAlignment="1">
      <alignment horizontal="center"/>
    </xf>
    <xf numFmtId="0" fontId="57" fillId="5" borderId="1" xfId="0" applyFont="1" applyFill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1" fontId="57" fillId="0" borderId="1" xfId="0" applyNumberFormat="1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1" fontId="57" fillId="0" borderId="0" xfId="2" applyNumberFormat="1" applyFont="1"/>
    <xf numFmtId="0" fontId="57" fillId="7" borderId="1" xfId="0" applyFont="1" applyFill="1" applyBorder="1" applyAlignment="1">
      <alignment horizontal="center" vertical="center"/>
    </xf>
    <xf numFmtId="1" fontId="57" fillId="7" borderId="8" xfId="0" applyNumberFormat="1" applyFont="1" applyFill="1" applyBorder="1" applyAlignment="1">
      <alignment horizontal="center" vertical="center"/>
    </xf>
    <xf numFmtId="0" fontId="57" fillId="7" borderId="1" xfId="3" applyNumberFormat="1" applyFont="1" applyFill="1" applyBorder="1" applyAlignment="1">
      <alignment horizontal="center" vertical="center"/>
    </xf>
    <xf numFmtId="1" fontId="58" fillId="2" borderId="1" xfId="0" applyNumberFormat="1" applyFont="1" applyFill="1" applyBorder="1" applyAlignment="1">
      <alignment horizontal="center" vertical="center"/>
    </xf>
    <xf numFmtId="1" fontId="58" fillId="0" borderId="1" xfId="0" applyNumberFormat="1" applyFont="1" applyBorder="1" applyAlignment="1">
      <alignment horizontal="center"/>
    </xf>
    <xf numFmtId="164" fontId="15" fillId="9" borderId="1" xfId="0" applyNumberFormat="1" applyFont="1" applyFill="1" applyBorder="1" applyAlignment="1">
      <alignment horizontal="center" vertical="center"/>
    </xf>
    <xf numFmtId="44" fontId="15" fillId="9" borderId="1" xfId="1" applyFont="1" applyFill="1" applyBorder="1" applyAlignment="1" applyProtection="1">
      <alignment horizontal="center" vertical="center"/>
    </xf>
    <xf numFmtId="44" fontId="15" fillId="10" borderId="1" xfId="1" applyFont="1" applyFill="1" applyBorder="1" applyAlignment="1" applyProtection="1">
      <alignment horizontal="center" vertical="center"/>
    </xf>
    <xf numFmtId="12" fontId="57" fillId="7" borderId="1" xfId="0" applyNumberFormat="1" applyFont="1" applyFill="1" applyBorder="1" applyAlignment="1">
      <alignment horizontal="center" vertical="center"/>
    </xf>
    <xf numFmtId="0" fontId="51" fillId="20" borderId="1" xfId="0" applyFont="1" applyFill="1" applyBorder="1" applyAlignment="1">
      <alignment horizontal="left" vertical="center"/>
    </xf>
    <xf numFmtId="0" fontId="59" fillId="20" borderId="4" xfId="0" applyFont="1" applyFill="1" applyBorder="1" applyAlignment="1">
      <alignment horizontal="center" vertical="center"/>
    </xf>
    <xf numFmtId="1" fontId="59" fillId="21" borderId="1" xfId="0" applyNumberFormat="1" applyFont="1" applyFill="1" applyBorder="1" applyAlignment="1">
      <alignment horizontal="center"/>
    </xf>
    <xf numFmtId="0" fontId="59" fillId="21" borderId="0" xfId="0" applyFont="1" applyFill="1" applyAlignment="1">
      <alignment horizontal="center"/>
    </xf>
    <xf numFmtId="44" fontId="59" fillId="20" borderId="1" xfId="1" applyFont="1" applyFill="1" applyBorder="1" applyAlignment="1" applyProtection="1">
      <alignment horizontal="center" vertical="center"/>
    </xf>
    <xf numFmtId="44" fontId="59" fillId="11" borderId="1" xfId="1" applyFont="1" applyFill="1" applyBorder="1" applyAlignment="1" applyProtection="1">
      <alignment horizontal="center" vertical="center"/>
    </xf>
    <xf numFmtId="0" fontId="59" fillId="20" borderId="1" xfId="0" applyFont="1" applyFill="1" applyBorder="1" applyAlignment="1">
      <alignment horizontal="center" vertical="center"/>
    </xf>
    <xf numFmtId="164" fontId="59" fillId="11" borderId="1" xfId="0" applyNumberFormat="1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horizontal="left" vertical="center"/>
    </xf>
    <xf numFmtId="0" fontId="51" fillId="11" borderId="1" xfId="0" applyFont="1" applyFill="1" applyBorder="1" applyAlignment="1">
      <alignment horizontal="center" vertical="center"/>
    </xf>
    <xf numFmtId="1" fontId="51" fillId="11" borderId="1" xfId="0" applyNumberFormat="1" applyFont="1" applyFill="1" applyBorder="1" applyAlignment="1">
      <alignment horizontal="center" vertical="center"/>
    </xf>
    <xf numFmtId="44" fontId="51" fillId="11" borderId="1" xfId="1" applyFont="1" applyFill="1" applyBorder="1" applyAlignment="1" applyProtection="1">
      <alignment horizontal="center" vertical="center"/>
    </xf>
    <xf numFmtId="44" fontId="51" fillId="20" borderId="1" xfId="1" applyFont="1" applyFill="1" applyBorder="1" applyAlignment="1" applyProtection="1">
      <alignment horizontal="center" vertical="center"/>
    </xf>
    <xf numFmtId="0" fontId="51" fillId="11" borderId="1" xfId="0" applyFont="1" applyFill="1" applyBorder="1" applyAlignment="1">
      <alignment horizontal="center"/>
    </xf>
    <xf numFmtId="164" fontId="51" fillId="11" borderId="1" xfId="0" applyNumberFormat="1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44" fontId="14" fillId="0" borderId="1" xfId="0" applyNumberFormat="1" applyFont="1" applyBorder="1"/>
    <xf numFmtId="44" fontId="14" fillId="6" borderId="1" xfId="1" applyFont="1" applyFill="1" applyBorder="1" applyAlignment="1" applyProtection="1">
      <alignment horizontal="center" vertical="center"/>
    </xf>
    <xf numFmtId="44" fontId="14" fillId="5" borderId="1" xfId="1" applyFont="1" applyFill="1" applyBorder="1" applyAlignment="1" applyProtection="1">
      <alignment horizontal="center" vertical="center"/>
    </xf>
    <xf numFmtId="44" fontId="14" fillId="8" borderId="1" xfId="1" applyFont="1" applyFill="1" applyBorder="1" applyAlignment="1" applyProtection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44" fontId="14" fillId="7" borderId="1" xfId="1" applyFont="1" applyFill="1" applyBorder="1" applyAlignment="1" applyProtection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44" fontId="14" fillId="18" borderId="1" xfId="1" applyFont="1" applyFill="1" applyBorder="1" applyAlignment="1" applyProtection="1">
      <alignment horizontal="center" vertical="center"/>
    </xf>
    <xf numFmtId="44" fontId="14" fillId="2" borderId="6" xfId="1" applyFont="1" applyFill="1" applyBorder="1"/>
    <xf numFmtId="0" fontId="14" fillId="7" borderId="1" xfId="0" applyFont="1" applyFill="1" applyBorder="1" applyAlignment="1">
      <alignment horizontal="center"/>
    </xf>
    <xf numFmtId="44" fontId="14" fillId="2" borderId="10" xfId="1" applyFont="1" applyFill="1" applyBorder="1"/>
    <xf numFmtId="44" fontId="14" fillId="19" borderId="1" xfId="1" applyFont="1" applyFill="1" applyBorder="1" applyAlignment="1" applyProtection="1">
      <alignment horizontal="center" vertical="center"/>
    </xf>
    <xf numFmtId="0" fontId="14" fillId="5" borderId="1" xfId="0" applyFont="1" applyFill="1" applyBorder="1" applyAlignment="1">
      <alignment horizontal="center"/>
    </xf>
    <xf numFmtId="164" fontId="14" fillId="8" borderId="1" xfId="0" applyNumberFormat="1" applyFont="1" applyFill="1" applyBorder="1" applyAlignment="1">
      <alignment horizontal="center" vertical="center"/>
    </xf>
    <xf numFmtId="44" fontId="14" fillId="7" borderId="6" xfId="1" applyFont="1" applyFill="1" applyBorder="1" applyAlignment="1" applyProtection="1">
      <alignment horizontal="center" vertical="center"/>
    </xf>
    <xf numFmtId="0" fontId="14" fillId="0" borderId="1" xfId="0" applyFont="1" applyBorder="1" applyAlignment="1">
      <alignment horizontal="center"/>
    </xf>
    <xf numFmtId="164" fontId="14" fillId="9" borderId="1" xfId="0" applyNumberFormat="1" applyFont="1" applyFill="1" applyBorder="1" applyAlignment="1">
      <alignment horizontal="center" vertical="center"/>
    </xf>
    <xf numFmtId="44" fontId="14" fillId="9" borderId="1" xfId="1" applyFont="1" applyFill="1" applyBorder="1" applyAlignment="1" applyProtection="1">
      <alignment horizontal="center" vertical="center"/>
    </xf>
    <xf numFmtId="44" fontId="14" fillId="10" borderId="1" xfId="1" applyFont="1" applyFill="1" applyBorder="1" applyAlignment="1" applyProtection="1">
      <alignment horizontal="center" vertical="center"/>
    </xf>
    <xf numFmtId="0" fontId="59" fillId="11" borderId="1" xfId="0" applyFont="1" applyFill="1" applyBorder="1" applyAlignment="1">
      <alignment horizontal="left" vertical="center"/>
    </xf>
    <xf numFmtId="0" fontId="59" fillId="11" borderId="1" xfId="0" applyFont="1" applyFill="1" applyBorder="1" applyAlignment="1">
      <alignment horizontal="center" vertical="center"/>
    </xf>
    <xf numFmtId="1" fontId="59" fillId="11" borderId="1" xfId="0" applyNumberFormat="1" applyFont="1" applyFill="1" applyBorder="1" applyAlignment="1">
      <alignment horizontal="center" vertical="center"/>
    </xf>
    <xf numFmtId="0" fontId="59" fillId="11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2" borderId="1" xfId="0" applyFont="1" applyFill="1" applyBorder="1"/>
    <xf numFmtId="0" fontId="13" fillId="7" borderId="1" xfId="0" applyFont="1" applyFill="1" applyBorder="1"/>
    <xf numFmtId="0" fontId="13" fillId="5" borderId="1" xfId="0" applyFont="1" applyFill="1" applyBorder="1"/>
    <xf numFmtId="0" fontId="13" fillId="0" borderId="1" xfId="0" applyFont="1" applyBorder="1"/>
    <xf numFmtId="1" fontId="60" fillId="22" borderId="1" xfId="0" applyNumberFormat="1" applyFont="1" applyFill="1" applyBorder="1"/>
    <xf numFmtId="1" fontId="60" fillId="22" borderId="2" xfId="0" applyNumberFormat="1" applyFont="1" applyFill="1" applyBorder="1"/>
    <xf numFmtId="0" fontId="12" fillId="7" borderId="1" xfId="0" applyFont="1" applyFill="1" applyBorder="1" applyAlignment="1">
      <alignment vertical="center"/>
    </xf>
    <xf numFmtId="0" fontId="59" fillId="11" borderId="1" xfId="0" applyFont="1" applyFill="1" applyBorder="1" applyAlignment="1">
      <alignment vertical="center"/>
    </xf>
    <xf numFmtId="1" fontId="61" fillId="21" borderId="1" xfId="2" applyNumberFormat="1" applyFont="1" applyFill="1" applyBorder="1" applyAlignment="1">
      <alignment horizontal="center"/>
    </xf>
    <xf numFmtId="0" fontId="62" fillId="21" borderId="6" xfId="0" applyFont="1" applyFill="1" applyBorder="1" applyAlignment="1">
      <alignment horizontal="center"/>
    </xf>
    <xf numFmtId="44" fontId="59" fillId="21" borderId="1" xfId="0" applyNumberFormat="1" applyFont="1" applyFill="1" applyBorder="1"/>
    <xf numFmtId="0" fontId="11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44" fontId="11" fillId="0" borderId="1" xfId="0" applyNumberFormat="1" applyFont="1" applyBorder="1"/>
    <xf numFmtId="44" fontId="11" fillId="6" borderId="1" xfId="1" applyFont="1" applyFill="1" applyBorder="1" applyAlignment="1" applyProtection="1">
      <alignment horizontal="center" vertical="center"/>
    </xf>
    <xf numFmtId="44" fontId="11" fillId="5" borderId="1" xfId="1" applyFont="1" applyFill="1" applyBorder="1" applyAlignment="1" applyProtection="1">
      <alignment horizontal="center" vertical="center"/>
    </xf>
    <xf numFmtId="44" fontId="11" fillId="8" borderId="1" xfId="1" applyFont="1" applyFill="1" applyBorder="1" applyAlignment="1" applyProtection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7" borderId="1" xfId="1" applyFont="1" applyFill="1" applyBorder="1" applyAlignment="1" applyProtection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165" fontId="11" fillId="0" borderId="0" xfId="0" applyNumberFormat="1" applyFont="1"/>
    <xf numFmtId="44" fontId="11" fillId="0" borderId="0" xfId="0" applyNumberFormat="1" applyFont="1"/>
    <xf numFmtId="44" fontId="11" fillId="18" borderId="1" xfId="1" applyFont="1" applyFill="1" applyBorder="1" applyAlignment="1" applyProtection="1">
      <alignment horizontal="center" vertical="center"/>
    </xf>
    <xf numFmtId="165" fontId="11" fillId="2" borderId="6" xfId="1" applyNumberFormat="1" applyFont="1" applyFill="1" applyBorder="1"/>
    <xf numFmtId="0" fontId="11" fillId="2" borderId="1" xfId="0" applyFont="1" applyFill="1" applyBorder="1"/>
    <xf numFmtId="0" fontId="11" fillId="7" borderId="1" xfId="0" applyFont="1" applyFill="1" applyBorder="1" applyAlignment="1">
      <alignment horizontal="center"/>
    </xf>
    <xf numFmtId="44" fontId="11" fillId="2" borderId="10" xfId="1" applyFont="1" applyFill="1" applyBorder="1"/>
    <xf numFmtId="44" fontId="11" fillId="19" borderId="1" xfId="1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/>
    <xf numFmtId="44" fontId="11" fillId="7" borderId="6" xfId="1" applyFont="1" applyFill="1" applyBorder="1" applyAlignment="1" applyProtection="1">
      <alignment horizontal="center" vertical="center"/>
    </xf>
    <xf numFmtId="0" fontId="11" fillId="5" borderId="1" xfId="0" applyFont="1" applyFill="1" applyBorder="1"/>
    <xf numFmtId="44" fontId="11" fillId="5" borderId="6" xfId="1" applyFont="1" applyFill="1" applyBorder="1" applyAlignment="1" applyProtection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" fontId="57" fillId="0" borderId="0" xfId="2" applyNumberFormat="1" applyFont="1" applyAlignment="1">
      <alignment horizontal="center" vertical="center"/>
    </xf>
    <xf numFmtId="12" fontId="57" fillId="7" borderId="1" xfId="2" applyNumberFormat="1" applyFont="1" applyFill="1" applyBorder="1" applyAlignment="1">
      <alignment horizontal="center" vertical="center"/>
    </xf>
    <xf numFmtId="1" fontId="57" fillId="7" borderId="1" xfId="3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44" fontId="11" fillId="9" borderId="1" xfId="1" applyFont="1" applyFill="1" applyBorder="1" applyAlignment="1" applyProtection="1">
      <alignment horizontal="center" vertical="center"/>
    </xf>
    <xf numFmtId="44" fontId="11" fillId="10" borderId="1" xfId="1" applyFont="1" applyFill="1" applyBorder="1" applyAlignment="1" applyProtection="1">
      <alignment horizontal="center" vertical="center"/>
    </xf>
    <xf numFmtId="0" fontId="11" fillId="7" borderId="0" xfId="0" applyFont="1" applyFill="1" applyAlignment="1">
      <alignment horizontal="center" vertical="center"/>
    </xf>
    <xf numFmtId="1" fontId="11" fillId="7" borderId="0" xfId="0" applyNumberFormat="1" applyFont="1" applyFill="1" applyAlignment="1">
      <alignment horizontal="center" vertical="center"/>
    </xf>
    <xf numFmtId="44" fontId="11" fillId="7" borderId="0" xfId="1" applyFont="1" applyFill="1" applyBorder="1" applyAlignment="1" applyProtection="1">
      <alignment horizontal="center" vertical="center"/>
    </xf>
    <xf numFmtId="164" fontId="11" fillId="7" borderId="0" xfId="0" applyNumberFormat="1" applyFont="1" applyFill="1" applyAlignment="1">
      <alignment horizontal="center" vertical="center"/>
    </xf>
    <xf numFmtId="0" fontId="63" fillId="22" borderId="1" xfId="0" applyFont="1" applyFill="1" applyBorder="1" applyAlignment="1">
      <alignment horizontal="center" vertical="center"/>
    </xf>
    <xf numFmtId="0" fontId="64" fillId="22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left" vertical="center"/>
    </xf>
    <xf numFmtId="1" fontId="65" fillId="7" borderId="1" xfId="0" applyNumberFormat="1" applyFont="1" applyFill="1" applyBorder="1" applyAlignment="1">
      <alignment horizontal="center" vertical="center"/>
    </xf>
    <xf numFmtId="0" fontId="65" fillId="7" borderId="1" xfId="0" applyFont="1" applyFill="1" applyBorder="1" applyAlignment="1">
      <alignment horizontal="center" vertical="center"/>
    </xf>
    <xf numFmtId="0" fontId="10" fillId="22" borderId="1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51" fillId="5" borderId="1" xfId="0" applyFont="1" applyFill="1" applyBorder="1" applyAlignment="1">
      <alignment vertical="center"/>
    </xf>
    <xf numFmtId="0" fontId="51" fillId="5" borderId="1" xfId="0" applyFont="1" applyFill="1" applyBorder="1" applyAlignment="1">
      <alignment horizontal="center" vertical="center"/>
    </xf>
    <xf numFmtId="1" fontId="66" fillId="0" borderId="1" xfId="1" applyNumberFormat="1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165" fontId="51" fillId="0" borderId="0" xfId="0" applyNumberFormat="1" applyFont="1"/>
    <xf numFmtId="44" fontId="51" fillId="0" borderId="0" xfId="0" applyNumberFormat="1" applyFont="1"/>
    <xf numFmtId="44" fontId="51" fillId="5" borderId="1" xfId="1" applyFont="1" applyFill="1" applyBorder="1" applyAlignment="1" applyProtection="1">
      <alignment horizontal="center" vertical="center"/>
    </xf>
    <xf numFmtId="0" fontId="51" fillId="7" borderId="1" xfId="0" applyFont="1" applyFill="1" applyBorder="1"/>
    <xf numFmtId="0" fontId="65" fillId="7" borderId="1" xfId="0" applyFont="1" applyFill="1" applyBorder="1" applyAlignment="1">
      <alignment horizontal="center"/>
    </xf>
    <xf numFmtId="1" fontId="67" fillId="11" borderId="1" xfId="0" applyNumberFormat="1" applyFont="1" applyFill="1" applyBorder="1" applyAlignment="1">
      <alignment horizontal="center" vertical="center"/>
    </xf>
    <xf numFmtId="0" fontId="67" fillId="11" borderId="1" xfId="0" applyFont="1" applyFill="1" applyBorder="1" applyAlignment="1">
      <alignment horizontal="center" vertical="center"/>
    </xf>
    <xf numFmtId="0" fontId="59" fillId="20" borderId="1" xfId="0" applyFont="1" applyFill="1" applyBorder="1"/>
    <xf numFmtId="1" fontId="67" fillId="20" borderId="1" xfId="0" applyNumberFormat="1" applyFont="1" applyFill="1" applyBorder="1" applyAlignment="1">
      <alignment horizontal="center" vertical="center"/>
    </xf>
    <xf numFmtId="0" fontId="67" fillId="20" borderId="6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center"/>
    </xf>
    <xf numFmtId="164" fontId="59" fillId="20" borderId="1" xfId="0" applyNumberFormat="1" applyFont="1" applyFill="1" applyBorder="1" applyAlignment="1">
      <alignment horizontal="center" vertical="center"/>
    </xf>
    <xf numFmtId="0" fontId="51" fillId="11" borderId="1" xfId="0" applyFont="1" applyFill="1" applyBorder="1" applyAlignment="1">
      <alignment vertical="center"/>
    </xf>
    <xf numFmtId="1" fontId="65" fillId="11" borderId="1" xfId="0" applyNumberFormat="1" applyFont="1" applyFill="1" applyBorder="1" applyAlignment="1">
      <alignment horizontal="center" vertical="center"/>
    </xf>
    <xf numFmtId="0" fontId="65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44" fontId="9" fillId="0" borderId="1" xfId="0" applyNumberFormat="1" applyFont="1" applyBorder="1"/>
    <xf numFmtId="44" fontId="9" fillId="6" borderId="1" xfId="1" applyFont="1" applyFill="1" applyBorder="1" applyAlignment="1" applyProtection="1">
      <alignment horizontal="center" vertical="center"/>
    </xf>
    <xf numFmtId="44" fontId="9" fillId="5" borderId="1" xfId="1" applyFont="1" applyFill="1" applyBorder="1" applyAlignment="1" applyProtection="1">
      <alignment horizontal="center" vertical="center"/>
    </xf>
    <xf numFmtId="44" fontId="9" fillId="8" borderId="1" xfId="1" applyFont="1" applyFill="1" applyBorder="1" applyAlignment="1" applyProtection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44" fontId="9" fillId="7" borderId="1" xfId="1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165" fontId="9" fillId="0" borderId="0" xfId="0" applyNumberFormat="1" applyFont="1"/>
    <xf numFmtId="44" fontId="9" fillId="0" borderId="0" xfId="0" applyNumberFormat="1" applyFont="1"/>
    <xf numFmtId="44" fontId="9" fillId="2" borderId="1" xfId="0" applyNumberFormat="1" applyFont="1" applyFill="1" applyBorder="1"/>
    <xf numFmtId="44" fontId="9" fillId="18" borderId="1" xfId="1" applyFont="1" applyFill="1" applyBorder="1" applyAlignment="1" applyProtection="1">
      <alignment horizontal="center" vertical="center"/>
    </xf>
    <xf numFmtId="165" fontId="9" fillId="2" borderId="6" xfId="1" applyNumberFormat="1" applyFont="1" applyFill="1" applyBorder="1"/>
    <xf numFmtId="0" fontId="9" fillId="2" borderId="1" xfId="0" applyFont="1" applyFill="1" applyBorder="1"/>
    <xf numFmtId="44" fontId="9" fillId="2" borderId="6" xfId="1" applyFont="1" applyFill="1" applyBorder="1"/>
    <xf numFmtId="0" fontId="9" fillId="7" borderId="1" xfId="0" applyFont="1" applyFill="1" applyBorder="1" applyAlignment="1">
      <alignment horizontal="center"/>
    </xf>
    <xf numFmtId="44" fontId="9" fillId="19" borderId="1" xfId="1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>
      <alignment horizontal="center"/>
    </xf>
    <xf numFmtId="164" fontId="9" fillId="8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/>
    <xf numFmtId="44" fontId="9" fillId="7" borderId="6" xfId="1" applyFont="1" applyFill="1" applyBorder="1" applyAlignment="1" applyProtection="1">
      <alignment horizontal="center" vertical="center"/>
    </xf>
    <xf numFmtId="0" fontId="9" fillId="5" borderId="1" xfId="0" applyFont="1" applyFill="1" applyBorder="1"/>
    <xf numFmtId="44" fontId="9" fillId="5" borderId="6" xfId="1" applyFont="1" applyFill="1" applyBorder="1" applyAlignment="1" applyProtection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" fontId="57" fillId="7" borderId="1" xfId="2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44" fontId="9" fillId="9" borderId="1" xfId="1" applyFont="1" applyFill="1" applyBorder="1" applyAlignment="1" applyProtection="1">
      <alignment horizontal="center" vertical="center"/>
    </xf>
    <xf numFmtId="0" fontId="9" fillId="7" borderId="0" xfId="0" applyFont="1" applyFill="1" applyAlignment="1">
      <alignment horizontal="center" vertical="center"/>
    </xf>
    <xf numFmtId="1" fontId="9" fillId="7" borderId="0" xfId="0" applyNumberFormat="1" applyFont="1" applyFill="1" applyAlignment="1">
      <alignment horizontal="center" vertical="center"/>
    </xf>
    <xf numFmtId="44" fontId="9" fillId="7" borderId="0" xfId="1" applyFont="1" applyFill="1" applyBorder="1" applyAlignment="1" applyProtection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1" fillId="21" borderId="1" xfId="0" applyFont="1" applyFill="1" applyBorder="1"/>
    <xf numFmtId="0" fontId="65" fillId="21" borderId="1" xfId="0" applyFont="1" applyFill="1" applyBorder="1" applyAlignment="1">
      <alignment horizontal="center" vertical="center"/>
    </xf>
    <xf numFmtId="44" fontId="51" fillId="21" borderId="6" xfId="1" applyFont="1" applyFill="1" applyBorder="1"/>
    <xf numFmtId="1" fontId="51" fillId="11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/>
    </xf>
    <xf numFmtId="44" fontId="7" fillId="0" borderId="1" xfId="0" applyNumberFormat="1" applyFont="1" applyBorder="1"/>
    <xf numFmtId="44" fontId="7" fillId="6" borderId="1" xfId="1" applyFont="1" applyFill="1" applyBorder="1" applyAlignment="1" applyProtection="1">
      <alignment horizontal="center" vertical="center"/>
    </xf>
    <xf numFmtId="44" fontId="7" fillId="5" borderId="1" xfId="1" applyFont="1" applyFill="1" applyBorder="1" applyAlignment="1" applyProtection="1">
      <alignment horizontal="center" vertical="center"/>
    </xf>
    <xf numFmtId="44" fontId="7" fillId="8" borderId="1" xfId="1" applyFont="1" applyFill="1" applyBorder="1" applyAlignment="1" applyProtection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44" fontId="7" fillId="7" borderId="1" xfId="1" applyFont="1" applyFill="1" applyBorder="1" applyAlignment="1" applyProtection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165" fontId="7" fillId="0" borderId="0" xfId="0" applyNumberFormat="1" applyFont="1"/>
    <xf numFmtId="44" fontId="7" fillId="0" borderId="0" xfId="0" applyNumberFormat="1" applyFont="1"/>
    <xf numFmtId="44" fontId="7" fillId="2" borderId="1" xfId="0" applyNumberFormat="1" applyFont="1" applyFill="1" applyBorder="1"/>
    <xf numFmtId="44" fontId="7" fillId="18" borderId="1" xfId="1" applyFont="1" applyFill="1" applyBorder="1" applyAlignment="1" applyProtection="1">
      <alignment horizontal="center" vertical="center"/>
    </xf>
    <xf numFmtId="0" fontId="52" fillId="2" borderId="1" xfId="0" applyFont="1" applyFill="1" applyBorder="1" applyAlignment="1">
      <alignment horizontal="right"/>
    </xf>
    <xf numFmtId="165" fontId="7" fillId="2" borderId="6" xfId="1" applyNumberFormat="1" applyFont="1" applyFill="1" applyBorder="1"/>
    <xf numFmtId="0" fontId="7" fillId="2" borderId="1" xfId="0" applyFont="1" applyFill="1" applyBorder="1"/>
    <xf numFmtId="44" fontId="7" fillId="2" borderId="6" xfId="1" applyFont="1" applyFill="1" applyBorder="1"/>
    <xf numFmtId="0" fontId="7" fillId="7" borderId="1" xfId="0" applyFont="1" applyFill="1" applyBorder="1" applyAlignment="1">
      <alignment horizontal="center"/>
    </xf>
    <xf numFmtId="44" fontId="7" fillId="2" borderId="10" xfId="1" applyFont="1" applyFill="1" applyBorder="1"/>
    <xf numFmtId="44" fontId="7" fillId="19" borderId="1" xfId="1" applyFont="1" applyFill="1" applyBorder="1" applyAlignment="1" applyProtection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6" xfId="1" applyFont="1" applyFill="1" applyBorder="1" applyAlignment="1" applyProtection="1">
      <alignment horizontal="center" vertical="center"/>
    </xf>
    <xf numFmtId="0" fontId="7" fillId="5" borderId="1" xfId="0" applyFont="1" applyFill="1" applyBorder="1"/>
    <xf numFmtId="44" fontId="7" fillId="5" borderId="6" xfId="1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44" fontId="7" fillId="9" borderId="1" xfId="1" applyFont="1" applyFill="1" applyBorder="1" applyAlignment="1" applyProtection="1">
      <alignment horizontal="center" vertical="center"/>
    </xf>
    <xf numFmtId="44" fontId="7" fillId="10" borderId="1" xfId="1" applyFont="1" applyFill="1" applyBorder="1" applyAlignment="1" applyProtection="1">
      <alignment horizontal="center" vertical="center"/>
    </xf>
    <xf numFmtId="2" fontId="57" fillId="7" borderId="1" xfId="0" applyNumberFormat="1" applyFont="1" applyFill="1" applyBorder="1" applyAlignment="1">
      <alignment horizontal="center" vertical="center"/>
    </xf>
    <xf numFmtId="0" fontId="57" fillId="7" borderId="1" xfId="2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44" fontId="7" fillId="7" borderId="0" xfId="1" applyFont="1" applyFill="1" applyBorder="1" applyAlignment="1" applyProtection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0" fontId="51" fillId="2" borderId="1" xfId="0" applyFont="1" applyFill="1" applyBorder="1"/>
    <xf numFmtId="1" fontId="65" fillId="5" borderId="1" xfId="0" applyNumberFormat="1" applyFont="1" applyFill="1" applyBorder="1" applyAlignment="1">
      <alignment horizontal="center" vertical="center"/>
    </xf>
    <xf numFmtId="0" fontId="65" fillId="2" borderId="1" xfId="0" applyFont="1" applyFill="1" applyBorder="1" applyAlignment="1">
      <alignment horizontal="center"/>
    </xf>
    <xf numFmtId="44" fontId="51" fillId="7" borderId="6" xfId="1" applyFont="1" applyFill="1" applyBorder="1" applyAlignment="1" applyProtection="1">
      <alignment horizontal="center" vertical="center"/>
    </xf>
    <xf numFmtId="44" fontId="51" fillId="19" borderId="1" xfId="1" applyFont="1" applyFill="1" applyBorder="1" applyAlignment="1" applyProtection="1">
      <alignment horizontal="center" vertical="center"/>
    </xf>
    <xf numFmtId="0" fontId="51" fillId="5" borderId="1" xfId="0" applyFont="1" applyFill="1" applyBorder="1" applyAlignment="1">
      <alignment horizontal="center"/>
    </xf>
    <xf numFmtId="164" fontId="51" fillId="8" borderId="1" xfId="0" applyNumberFormat="1" applyFont="1" applyFill="1" applyBorder="1" applyAlignment="1">
      <alignment horizontal="center" vertical="center"/>
    </xf>
    <xf numFmtId="0" fontId="51" fillId="11" borderId="1" xfId="0" applyFont="1" applyFill="1" applyBorder="1"/>
    <xf numFmtId="0" fontId="67" fillId="11" borderId="1" xfId="0" applyFont="1" applyFill="1" applyBorder="1" applyAlignment="1">
      <alignment horizontal="center"/>
    </xf>
    <xf numFmtId="0" fontId="68" fillId="21" borderId="0" xfId="0" applyFont="1" applyFill="1" applyAlignment="1">
      <alignment horizontal="center"/>
    </xf>
    <xf numFmtId="0" fontId="61" fillId="21" borderId="0" xfId="0" applyFont="1" applyFill="1"/>
    <xf numFmtId="0" fontId="59" fillId="21" borderId="1" xfId="0" applyFont="1" applyFill="1" applyBorder="1" applyAlignment="1">
      <alignment horizontal="center"/>
    </xf>
    <xf numFmtId="0" fontId="59" fillId="11" borderId="1" xfId="0" applyFont="1" applyFill="1" applyBorder="1"/>
    <xf numFmtId="0" fontId="59" fillId="11" borderId="4" xfId="0" applyFont="1" applyFill="1" applyBorder="1" applyAlignment="1">
      <alignment horizontal="center" vertical="center"/>
    </xf>
    <xf numFmtId="1" fontId="59" fillId="20" borderId="1" xfId="0" applyNumberFormat="1" applyFont="1" applyFill="1" applyBorder="1" applyAlignment="1">
      <alignment horizontal="center" vertical="center"/>
    </xf>
    <xf numFmtId="44" fontId="59" fillId="11" borderId="6" xfId="1" applyFont="1" applyFill="1" applyBorder="1" applyAlignment="1" applyProtection="1">
      <alignment horizontal="center" vertical="center"/>
    </xf>
    <xf numFmtId="0" fontId="59" fillId="21" borderId="1" xfId="0" applyFont="1" applyFill="1" applyBorder="1"/>
    <xf numFmtId="0" fontId="59" fillId="21" borderId="1" xfId="0" applyFont="1" applyFill="1" applyBorder="1" applyAlignment="1">
      <alignment horizontal="center" vertical="center"/>
    </xf>
    <xf numFmtId="44" fontId="59" fillId="21" borderId="6" xfId="1" applyFont="1" applyFill="1" applyBorder="1"/>
    <xf numFmtId="1" fontId="67" fillId="21" borderId="1" xfId="0" applyNumberFormat="1" applyFont="1" applyFill="1" applyBorder="1" applyAlignment="1">
      <alignment horizontal="center"/>
    </xf>
    <xf numFmtId="0" fontId="67" fillId="21" borderId="1" xfId="0" applyFont="1" applyFill="1" applyBorder="1" applyAlignment="1">
      <alignment horizontal="center"/>
    </xf>
    <xf numFmtId="0" fontId="59" fillId="11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44" fontId="6" fillId="0" borderId="1" xfId="0" applyNumberFormat="1" applyFont="1" applyBorder="1"/>
    <xf numFmtId="44" fontId="6" fillId="6" borderId="1" xfId="1" applyFont="1" applyFill="1" applyBorder="1" applyAlignment="1" applyProtection="1">
      <alignment horizontal="center" vertical="center"/>
    </xf>
    <xf numFmtId="44" fontId="6" fillId="5" borderId="1" xfId="1" applyFont="1" applyFill="1" applyBorder="1" applyAlignment="1" applyProtection="1">
      <alignment horizontal="center" vertical="center"/>
    </xf>
    <xf numFmtId="44" fontId="6" fillId="8" borderId="1" xfId="1" applyFont="1" applyFill="1" applyBorder="1" applyAlignment="1" applyProtection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44" fontId="6" fillId="7" borderId="1" xfId="1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165" fontId="6" fillId="0" borderId="0" xfId="0" applyNumberFormat="1" applyFont="1"/>
    <xf numFmtId="44" fontId="6" fillId="0" borderId="0" xfId="0" applyNumberFormat="1" applyFont="1"/>
    <xf numFmtId="44" fontId="6" fillId="2" borderId="1" xfId="0" applyNumberFormat="1" applyFont="1" applyFill="1" applyBorder="1"/>
    <xf numFmtId="44" fontId="6" fillId="18" borderId="1" xfId="1" applyFont="1" applyFill="1" applyBorder="1" applyAlignment="1" applyProtection="1">
      <alignment horizontal="center" vertical="center"/>
    </xf>
    <xf numFmtId="0" fontId="6" fillId="2" borderId="1" xfId="0" applyFont="1" applyFill="1" applyBorder="1"/>
    <xf numFmtId="44" fontId="6" fillId="2" borderId="6" xfId="1" applyFont="1" applyFill="1" applyBorder="1"/>
    <xf numFmtId="0" fontId="6" fillId="7" borderId="1" xfId="0" applyFont="1" applyFill="1" applyBorder="1" applyAlignment="1">
      <alignment horizontal="center"/>
    </xf>
    <xf numFmtId="44" fontId="6" fillId="2" borderId="10" xfId="1" applyFont="1" applyFill="1" applyBorder="1"/>
    <xf numFmtId="44" fontId="6" fillId="19" borderId="1" xfId="1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44" fontId="6" fillId="7" borderId="6" xfId="1" applyFont="1" applyFill="1" applyBorder="1" applyAlignment="1" applyProtection="1">
      <alignment horizontal="center" vertical="center"/>
    </xf>
    <xf numFmtId="0" fontId="6" fillId="5" borderId="1" xfId="0" applyFont="1" applyFill="1" applyBorder="1"/>
    <xf numFmtId="44" fontId="6" fillId="5" borderId="6" xfId="1" applyFont="1" applyFill="1" applyBorder="1" applyAlignment="1" applyProtection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6" fillId="9" borderId="1" xfId="0" applyNumberFormat="1" applyFont="1" applyFill="1" applyBorder="1" applyAlignment="1">
      <alignment horizontal="center" vertical="center"/>
    </xf>
    <xf numFmtId="44" fontId="6" fillId="9" borderId="1" xfId="1" applyFont="1" applyFill="1" applyBorder="1" applyAlignment="1" applyProtection="1">
      <alignment horizontal="center" vertical="center"/>
    </xf>
    <xf numFmtId="44" fontId="6" fillId="10" borderId="1" xfId="1" applyFont="1" applyFill="1" applyBorder="1" applyAlignment="1" applyProtection="1">
      <alignment horizontal="center" vertical="center"/>
    </xf>
    <xf numFmtId="0" fontId="6" fillId="7" borderId="0" xfId="0" applyFont="1" applyFill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/>
    </xf>
    <xf numFmtId="44" fontId="6" fillId="7" borderId="0" xfId="1" applyFont="1" applyFill="1" applyBorder="1" applyAlignment="1" applyProtection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" fontId="68" fillId="21" borderId="1" xfId="2" applyNumberFormat="1" applyFont="1" applyFill="1" applyBorder="1" applyAlignment="1">
      <alignment horizontal="center"/>
    </xf>
    <xf numFmtId="0" fontId="68" fillId="21" borderId="1" xfId="0" applyFont="1" applyFill="1" applyBorder="1" applyAlignment="1">
      <alignment horizontal="center"/>
    </xf>
    <xf numFmtId="44" fontId="59" fillId="20" borderId="6" xfId="1" applyFont="1" applyFill="1" applyBorder="1" applyAlignment="1" applyProtection="1">
      <alignment horizontal="center" vertical="center"/>
    </xf>
    <xf numFmtId="1" fontId="67" fillId="11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44" fontId="5" fillId="0" borderId="1" xfId="0" applyNumberFormat="1" applyFont="1" applyBorder="1"/>
    <xf numFmtId="44" fontId="5" fillId="6" borderId="1" xfId="1" applyFont="1" applyFill="1" applyBorder="1" applyAlignment="1" applyProtection="1">
      <alignment horizontal="center" vertical="center"/>
    </xf>
    <xf numFmtId="44" fontId="5" fillId="5" borderId="1" xfId="1" applyFont="1" applyFill="1" applyBorder="1" applyAlignment="1" applyProtection="1">
      <alignment horizontal="center" vertical="center"/>
    </xf>
    <xf numFmtId="44" fontId="5" fillId="8" borderId="1" xfId="1" applyFont="1" applyFill="1" applyBorder="1" applyAlignment="1" applyProtection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4" fontId="5" fillId="7" borderId="1" xfId="1" applyFont="1" applyFill="1" applyBorder="1" applyAlignment="1" applyProtection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165" fontId="5" fillId="0" borderId="0" xfId="0" applyNumberFormat="1" applyFont="1"/>
    <xf numFmtId="44" fontId="5" fillId="0" borderId="0" xfId="0" applyNumberFormat="1" applyFont="1"/>
    <xf numFmtId="44" fontId="5" fillId="18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/>
    <xf numFmtId="44" fontId="5" fillId="2" borderId="6" xfId="1" applyFont="1" applyFill="1" applyBorder="1"/>
    <xf numFmtId="0" fontId="5" fillId="7" borderId="1" xfId="0" applyFont="1" applyFill="1" applyBorder="1" applyAlignment="1">
      <alignment horizontal="center"/>
    </xf>
    <xf numFmtId="44" fontId="5" fillId="2" borderId="10" xfId="1" applyFont="1" applyFill="1" applyBorder="1"/>
    <xf numFmtId="44" fontId="5" fillId="19" borderId="1" xfId="1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/>
    <xf numFmtId="44" fontId="5" fillId="7" borderId="6" xfId="1" applyFont="1" applyFill="1" applyBorder="1" applyAlignment="1" applyProtection="1">
      <alignment horizontal="center" vertical="center"/>
    </xf>
    <xf numFmtId="0" fontId="5" fillId="5" borderId="1" xfId="0" applyFont="1" applyFill="1" applyBorder="1"/>
    <xf numFmtId="44" fontId="5" fillId="5" borderId="6" xfId="1" applyFont="1" applyFill="1" applyBorder="1" applyAlignment="1" applyProtection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5" fillId="9" borderId="1" xfId="0" applyNumberFormat="1" applyFont="1" applyFill="1" applyBorder="1" applyAlignment="1">
      <alignment horizontal="center" vertical="center"/>
    </xf>
    <xf numFmtId="44" fontId="5" fillId="9" borderId="1" xfId="1" applyFont="1" applyFill="1" applyBorder="1" applyAlignment="1" applyProtection="1">
      <alignment horizontal="center" vertical="center"/>
    </xf>
    <xf numFmtId="44" fontId="5" fillId="10" borderId="1" xfId="1" applyFont="1" applyFill="1" applyBorder="1" applyAlignment="1" applyProtection="1">
      <alignment horizontal="center" vertical="center"/>
    </xf>
    <xf numFmtId="0" fontId="5" fillId="7" borderId="0" xfId="0" applyFont="1" applyFill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44" fontId="5" fillId="7" borderId="0" xfId="1" applyFont="1" applyFill="1" applyBorder="1" applyAlignment="1" applyProtection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0" fontId="59" fillId="7" borderId="1" xfId="0" applyFont="1" applyFill="1" applyBorder="1" applyAlignment="1">
      <alignment vertical="center"/>
    </xf>
    <xf numFmtId="0" fontId="59" fillId="7" borderId="1" xfId="0" applyFont="1" applyFill="1" applyBorder="1" applyAlignment="1">
      <alignment horizontal="center" vertical="center"/>
    </xf>
    <xf numFmtId="0" fontId="67" fillId="7" borderId="1" xfId="0" applyFont="1" applyFill="1" applyBorder="1" applyAlignment="1">
      <alignment horizontal="center" vertical="center"/>
    </xf>
    <xf numFmtId="44" fontId="59" fillId="7" borderId="1" xfId="1" applyFont="1" applyFill="1" applyBorder="1" applyAlignment="1" applyProtection="1">
      <alignment horizontal="center" vertical="center"/>
    </xf>
    <xf numFmtId="44" fontId="59" fillId="6" borderId="1" xfId="1" applyFont="1" applyFill="1" applyBorder="1" applyAlignment="1" applyProtection="1">
      <alignment horizontal="center" vertical="center"/>
    </xf>
    <xf numFmtId="44" fontId="59" fillId="8" borderId="1" xfId="1" applyFont="1" applyFill="1" applyBorder="1" applyAlignment="1" applyProtection="1">
      <alignment horizontal="center" vertical="center"/>
    </xf>
    <xf numFmtId="0" fontId="59" fillId="7" borderId="1" xfId="0" applyFont="1" applyFill="1" applyBorder="1" applyAlignment="1">
      <alignment horizontal="center"/>
    </xf>
    <xf numFmtId="164" fontId="59" fillId="6" borderId="1" xfId="0" applyNumberFormat="1" applyFont="1" applyFill="1" applyBorder="1" applyAlignment="1">
      <alignment horizontal="center" vertical="center"/>
    </xf>
    <xf numFmtId="0" fontId="59" fillId="0" borderId="0" xfId="0" applyFont="1"/>
    <xf numFmtId="0" fontId="59" fillId="5" borderId="1" xfId="0" applyFont="1" applyFill="1" applyBorder="1" applyAlignment="1">
      <alignment vertical="center"/>
    </xf>
    <xf numFmtId="0" fontId="59" fillId="5" borderId="1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/>
    </xf>
    <xf numFmtId="165" fontId="59" fillId="2" borderId="6" xfId="1" applyNumberFormat="1" applyFont="1" applyFill="1" applyBorder="1"/>
    <xf numFmtId="44" fontId="59" fillId="18" borderId="1" xfId="1" applyFont="1" applyFill="1" applyBorder="1" applyAlignment="1" applyProtection="1">
      <alignment horizontal="center" vertical="center"/>
    </xf>
    <xf numFmtId="44" fontId="59" fillId="5" borderId="1" xfId="1" applyFont="1" applyFill="1" applyBorder="1" applyAlignment="1" applyProtection="1">
      <alignment horizontal="center" vertical="center"/>
    </xf>
    <xf numFmtId="44" fontId="59" fillId="21" borderId="10" xfId="1" applyFont="1" applyFill="1" applyBorder="1"/>
    <xf numFmtId="0" fontId="67" fillId="20" borderId="1" xfId="0" applyFont="1" applyFill="1" applyBorder="1" applyAlignment="1">
      <alignment horizontal="center"/>
    </xf>
    <xf numFmtId="0" fontId="59" fillId="20" borderId="1" xfId="0" applyFont="1" applyFill="1" applyBorder="1" applyAlignment="1">
      <alignment horizontal="left"/>
    </xf>
    <xf numFmtId="0" fontId="68" fillId="21" borderId="1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4" fontId="4" fillId="0" borderId="1" xfId="0" applyNumberFormat="1" applyFont="1" applyBorder="1"/>
    <xf numFmtId="44" fontId="4" fillId="6" borderId="1" xfId="1" applyFont="1" applyFill="1" applyBorder="1" applyAlignment="1" applyProtection="1">
      <alignment horizontal="center" vertical="center"/>
    </xf>
    <xf numFmtId="44" fontId="4" fillId="5" borderId="1" xfId="1" applyFont="1" applyFill="1" applyBorder="1" applyAlignment="1" applyProtection="1">
      <alignment horizontal="center" vertical="center"/>
    </xf>
    <xf numFmtId="44" fontId="4" fillId="8" borderId="1" xfId="1" applyFont="1" applyFill="1" applyBorder="1" applyAlignment="1" applyProtection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4" fontId="4" fillId="7" borderId="1" xfId="1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44" fontId="4" fillId="2" borderId="1" xfId="0" applyNumberFormat="1" applyFont="1" applyFill="1" applyBorder="1"/>
    <xf numFmtId="44" fontId="4" fillId="18" borderId="1" xfId="1" applyFont="1" applyFill="1" applyBorder="1" applyAlignment="1" applyProtection="1">
      <alignment horizontal="center" vertical="center"/>
    </xf>
    <xf numFmtId="165" fontId="4" fillId="2" borderId="6" xfId="1" applyNumberFormat="1" applyFont="1" applyFill="1" applyBorder="1"/>
    <xf numFmtId="0" fontId="4" fillId="2" borderId="1" xfId="0" applyFont="1" applyFill="1" applyBorder="1"/>
    <xf numFmtId="44" fontId="4" fillId="2" borderId="6" xfId="1" applyFont="1" applyFill="1" applyBorder="1"/>
    <xf numFmtId="0" fontId="4" fillId="7" borderId="1" xfId="0" applyFont="1" applyFill="1" applyBorder="1" applyAlignment="1">
      <alignment horizontal="center"/>
    </xf>
    <xf numFmtId="44" fontId="4" fillId="19" borderId="1" xfId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/>
    <xf numFmtId="44" fontId="4" fillId="7" borderId="6" xfId="1" applyFont="1" applyFill="1" applyBorder="1" applyAlignment="1" applyProtection="1">
      <alignment horizontal="center" vertical="center"/>
    </xf>
    <xf numFmtId="0" fontId="4" fillId="5" borderId="1" xfId="0" applyFont="1" applyFill="1" applyBorder="1"/>
    <xf numFmtId="44" fontId="4" fillId="5" borderId="6" xfId="1" applyFont="1" applyFill="1" applyBorder="1" applyAlignment="1" applyProtection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9" borderId="1" xfId="0" applyNumberFormat="1" applyFont="1" applyFill="1" applyBorder="1" applyAlignment="1">
      <alignment horizontal="center" vertical="center"/>
    </xf>
    <xf numFmtId="44" fontId="4" fillId="9" borderId="1" xfId="1" applyFont="1" applyFill="1" applyBorder="1" applyAlignment="1" applyProtection="1">
      <alignment horizontal="center" vertical="center"/>
    </xf>
    <xf numFmtId="44" fontId="4" fillId="10" borderId="1" xfId="1" applyFont="1" applyFill="1" applyBorder="1" applyAlignment="1" applyProtection="1">
      <alignment horizontal="center" vertical="center"/>
    </xf>
    <xf numFmtId="0" fontId="4" fillId="7" borderId="0" xfId="0" applyFont="1" applyFill="1" applyAlignment="1">
      <alignment horizontal="center" vertical="center"/>
    </xf>
    <xf numFmtId="1" fontId="4" fillId="7" borderId="0" xfId="0" applyNumberFormat="1" applyFont="1" applyFill="1" applyAlignment="1">
      <alignment horizontal="center" vertical="center"/>
    </xf>
    <xf numFmtId="44" fontId="4" fillId="7" borderId="0" xfId="1" applyFont="1" applyFill="1" applyBorder="1" applyAlignment="1" applyProtection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50" fillId="7" borderId="1" xfId="0" applyFont="1" applyFill="1" applyBorder="1"/>
    <xf numFmtId="0" fontId="59" fillId="7" borderId="1" xfId="0" applyFont="1" applyFill="1" applyBorder="1"/>
    <xf numFmtId="1" fontId="68" fillId="21" borderId="1" xfId="0" applyNumberFormat="1" applyFont="1" applyFill="1" applyBorder="1" applyAlignment="1">
      <alignment horizontal="center"/>
    </xf>
    <xf numFmtId="1" fontId="70" fillId="11" borderId="2" xfId="0" applyNumberFormat="1" applyFont="1" applyFill="1" applyBorder="1"/>
    <xf numFmtId="0" fontId="59" fillId="20" borderId="1" xfId="0" applyFont="1" applyFill="1" applyBorder="1" applyAlignment="1">
      <alignment vertical="center"/>
    </xf>
    <xf numFmtId="0" fontId="68" fillId="21" borderId="6" xfId="0" applyFont="1" applyFill="1" applyBorder="1" applyAlignment="1">
      <alignment horizontal="center"/>
    </xf>
    <xf numFmtId="1" fontId="68" fillId="21" borderId="1" xfId="2" applyNumberFormat="1" applyFont="1" applyFill="1" applyBorder="1" applyAlignment="1">
      <alignment horizontal="center" vertical="top"/>
    </xf>
    <xf numFmtId="0" fontId="67" fillId="21" borderId="1" xfId="0" applyFont="1" applyFill="1" applyBorder="1" applyAlignment="1">
      <alignment horizontal="center" vertical="center"/>
    </xf>
    <xf numFmtId="1" fontId="61" fillId="21" borderId="1" xfId="2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44" fontId="3" fillId="0" borderId="1" xfId="0" applyNumberFormat="1" applyFont="1" applyBorder="1"/>
    <xf numFmtId="44" fontId="3" fillId="6" borderId="1" xfId="1" applyFont="1" applyFill="1" applyBorder="1" applyAlignment="1" applyProtection="1">
      <alignment horizontal="center" vertical="center"/>
    </xf>
    <xf numFmtId="44" fontId="3" fillId="5" borderId="1" xfId="1" applyFont="1" applyFill="1" applyBorder="1" applyAlignment="1" applyProtection="1">
      <alignment horizontal="center" vertical="center"/>
    </xf>
    <xf numFmtId="44" fontId="3" fillId="8" borderId="1" xfId="1" applyFont="1" applyFill="1" applyBorder="1" applyAlignment="1" applyProtection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44" fontId="3" fillId="7" borderId="1" xfId="1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65" fontId="3" fillId="0" borderId="0" xfId="0" applyNumberFormat="1" applyFont="1"/>
    <xf numFmtId="44" fontId="3" fillId="0" borderId="0" xfId="0" applyNumberFormat="1" applyFont="1"/>
    <xf numFmtId="44" fontId="3" fillId="18" borderId="1" xfId="1" applyFont="1" applyFill="1" applyBorder="1" applyAlignment="1" applyProtection="1">
      <alignment horizontal="center" vertical="center"/>
    </xf>
    <xf numFmtId="0" fontId="3" fillId="2" borderId="1" xfId="0" applyFont="1" applyFill="1" applyBorder="1"/>
    <xf numFmtId="44" fontId="3" fillId="2" borderId="6" xfId="1" applyFont="1" applyFill="1" applyBorder="1"/>
    <xf numFmtId="0" fontId="3" fillId="7" borderId="1" xfId="0" applyFont="1" applyFill="1" applyBorder="1" applyAlignment="1">
      <alignment horizontal="center"/>
    </xf>
    <xf numFmtId="44" fontId="3" fillId="2" borderId="10" xfId="1" applyFont="1" applyFill="1" applyBorder="1"/>
    <xf numFmtId="44" fontId="3" fillId="19" borderId="1" xfId="1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44" fontId="3" fillId="7" borderId="6" xfId="1" applyFont="1" applyFill="1" applyBorder="1" applyAlignment="1" applyProtection="1">
      <alignment horizontal="center" vertical="center"/>
    </xf>
    <xf numFmtId="0" fontId="3" fillId="5" borderId="1" xfId="0" applyFont="1" applyFill="1" applyBorder="1"/>
    <xf numFmtId="44" fontId="3" fillId="5" borderId="6" xfId="1" applyFont="1" applyFill="1" applyBorder="1" applyAlignment="1" applyProtection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44" fontId="3" fillId="7" borderId="0" xfId="1" applyFont="1" applyFill="1" applyBorder="1" applyAlignment="1" applyProtection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165" fontId="59" fillId="21" borderId="6" xfId="1" applyNumberFormat="1" applyFont="1" applyFill="1" applyBorder="1"/>
    <xf numFmtId="0" fontId="59" fillId="21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44" fontId="2" fillId="0" borderId="1" xfId="0" applyNumberFormat="1" applyFont="1" applyBorder="1"/>
    <xf numFmtId="44" fontId="2" fillId="6" borderId="1" xfId="1" applyFont="1" applyFill="1" applyBorder="1" applyAlignment="1" applyProtection="1">
      <alignment horizontal="center" vertical="center"/>
    </xf>
    <xf numFmtId="44" fontId="2" fillId="5" borderId="1" xfId="1" applyFont="1" applyFill="1" applyBorder="1" applyAlignment="1" applyProtection="1">
      <alignment horizontal="center" vertical="center"/>
    </xf>
    <xf numFmtId="44" fontId="2" fillId="8" borderId="1" xfId="1" applyFont="1" applyFill="1" applyBorder="1" applyAlignment="1" applyProtection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4" fontId="2" fillId="7" borderId="1" xfId="1" applyFont="1" applyFill="1" applyBorder="1" applyAlignment="1" applyProtection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165" fontId="2" fillId="0" borderId="0" xfId="0" applyNumberFormat="1" applyFont="1"/>
    <xf numFmtId="44" fontId="2" fillId="0" borderId="0" xfId="0" applyNumberFormat="1" applyFont="1"/>
    <xf numFmtId="44" fontId="2" fillId="2" borderId="1" xfId="0" applyNumberFormat="1" applyFont="1" applyFill="1" applyBorder="1"/>
    <xf numFmtId="44" fontId="2" fillId="18" borderId="1" xfId="1" applyFont="1" applyFill="1" applyBorder="1" applyAlignment="1" applyProtection="1">
      <alignment horizontal="center" vertical="center"/>
    </xf>
    <xf numFmtId="0" fontId="2" fillId="2" borderId="1" xfId="0" applyFont="1" applyFill="1" applyBorder="1"/>
    <xf numFmtId="44" fontId="2" fillId="2" borderId="6" xfId="1" applyFont="1" applyFill="1" applyBorder="1"/>
    <xf numFmtId="0" fontId="2" fillId="7" borderId="1" xfId="0" applyFont="1" applyFill="1" applyBorder="1" applyAlignment="1">
      <alignment horizontal="center"/>
    </xf>
    <xf numFmtId="44" fontId="2" fillId="2" borderId="10" xfId="1" applyFont="1" applyFill="1" applyBorder="1"/>
    <xf numFmtId="44" fontId="2" fillId="19" borderId="1" xfId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/>
    <xf numFmtId="44" fontId="2" fillId="7" borderId="6" xfId="1" applyFont="1" applyFill="1" applyBorder="1" applyAlignment="1" applyProtection="1">
      <alignment horizontal="center" vertical="center"/>
    </xf>
    <xf numFmtId="0" fontId="2" fillId="5" borderId="1" xfId="0" applyFont="1" applyFill="1" applyBorder="1"/>
    <xf numFmtId="0" fontId="2" fillId="5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9" borderId="1" xfId="0" applyNumberFormat="1" applyFont="1" applyFill="1" applyBorder="1" applyAlignment="1">
      <alignment horizontal="center" vertical="center"/>
    </xf>
    <xf numFmtId="44" fontId="2" fillId="9" borderId="1" xfId="1" applyFont="1" applyFill="1" applyBorder="1" applyAlignment="1" applyProtection="1">
      <alignment horizontal="center" vertical="center"/>
    </xf>
    <xf numFmtId="44" fontId="2" fillId="10" borderId="1" xfId="1" applyFont="1" applyFill="1" applyBorder="1" applyAlignment="1" applyProtection="1">
      <alignment horizontal="center" vertical="center"/>
    </xf>
    <xf numFmtId="0" fontId="2" fillId="7" borderId="0" xfId="0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44" fontId="2" fillId="7" borderId="0" xfId="1" applyFont="1" applyFill="1" applyBorder="1" applyAlignment="1" applyProtection="1">
      <alignment horizontal="center" vertical="center"/>
    </xf>
    <xf numFmtId="164" fontId="2" fillId="7" borderId="0" xfId="0" applyNumberFormat="1" applyFont="1" applyFill="1" applyAlignment="1">
      <alignment horizontal="center" vertical="center"/>
    </xf>
    <xf numFmtId="165" fontId="51" fillId="2" borderId="6" xfId="1" applyNumberFormat="1" applyFont="1" applyFill="1" applyBorder="1"/>
    <xf numFmtId="44" fontId="51" fillId="18" borderId="1" xfId="1" applyFont="1" applyFill="1" applyBorder="1" applyAlignment="1" applyProtection="1">
      <alignment horizontal="center" vertical="center"/>
    </xf>
    <xf numFmtId="0" fontId="71" fillId="0" borderId="0" xfId="0" applyFont="1"/>
    <xf numFmtId="0" fontId="66" fillId="0" borderId="0" xfId="0" applyFont="1" applyAlignment="1">
      <alignment horizontal="center"/>
    </xf>
    <xf numFmtId="0" fontId="51" fillId="5" borderId="1" xfId="0" applyFont="1" applyFill="1" applyBorder="1"/>
    <xf numFmtId="0" fontId="65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67" fillId="11" borderId="6" xfId="0" applyFont="1" applyFill="1" applyBorder="1" applyAlignment="1">
      <alignment horizontal="center"/>
    </xf>
    <xf numFmtId="1" fontId="68" fillId="21" borderId="1" xfId="1" applyNumberFormat="1" applyFont="1" applyFill="1" applyBorder="1" applyAlignment="1">
      <alignment horizontal="center"/>
    </xf>
    <xf numFmtId="165" fontId="59" fillId="21" borderId="0" xfId="0" applyNumberFormat="1" applyFont="1" applyFill="1"/>
    <xf numFmtId="44" fontId="59" fillId="21" borderId="0" xfId="0" applyNumberFormat="1" applyFont="1" applyFill="1"/>
    <xf numFmtId="166" fontId="67" fillId="11" borderId="1" xfId="2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44" fontId="17" fillId="11" borderId="1" xfId="1" applyFont="1" applyFill="1" applyBorder="1" applyAlignment="1" applyProtection="1">
      <alignment horizontal="center" vertical="center"/>
    </xf>
    <xf numFmtId="44" fontId="17" fillId="20" borderId="1" xfId="1" applyFont="1" applyFill="1" applyBorder="1" applyAlignment="1" applyProtection="1">
      <alignment horizontal="center" vertical="center"/>
    </xf>
    <xf numFmtId="0" fontId="17" fillId="11" borderId="1" xfId="0" applyFont="1" applyFill="1" applyBorder="1" applyAlignment="1">
      <alignment horizontal="center"/>
    </xf>
    <xf numFmtId="164" fontId="17" fillId="11" borderId="1" xfId="0" applyNumberFormat="1" applyFont="1" applyFill="1" applyBorder="1" applyAlignment="1">
      <alignment horizontal="center" vertical="center"/>
    </xf>
    <xf numFmtId="1" fontId="67" fillId="11" borderId="1" xfId="3" applyNumberFormat="1" applyFont="1" applyFill="1" applyBorder="1" applyAlignment="1">
      <alignment horizontal="center" vertical="center"/>
    </xf>
    <xf numFmtId="0" fontId="48" fillId="2" borderId="4" xfId="0" applyFont="1" applyFill="1" applyBorder="1" applyAlignment="1">
      <alignment horizontal="center"/>
    </xf>
    <xf numFmtId="0" fontId="48" fillId="2" borderId="7" xfId="0" applyFont="1" applyFill="1" applyBorder="1" applyAlignment="1">
      <alignment horizontal="center"/>
    </xf>
    <xf numFmtId="0" fontId="48" fillId="2" borderId="6" xfId="0" applyFont="1" applyFill="1" applyBorder="1" applyAlignment="1">
      <alignment horizontal="center"/>
    </xf>
    <xf numFmtId="1" fontId="67" fillId="21" borderId="0" xfId="2" applyNumberFormat="1" applyFont="1" applyFill="1" applyAlignment="1">
      <alignment horizontal="center" vertical="center"/>
    </xf>
    <xf numFmtId="1" fontId="67" fillId="11" borderId="8" xfId="0" applyNumberFormat="1" applyFont="1" applyFill="1" applyBorder="1" applyAlignment="1">
      <alignment horizontal="center" vertical="center"/>
    </xf>
    <xf numFmtId="0" fontId="67" fillId="11" borderId="1" xfId="2" applyNumberFormat="1" applyFont="1" applyFill="1" applyBorder="1" applyAlignment="1">
      <alignment horizontal="center" vertical="center"/>
    </xf>
  </cellXfs>
  <cellStyles count="7">
    <cellStyle name="Moeda" xfId="1" builtinId="4"/>
    <cellStyle name="Moeda 2" xfId="4" xr:uid="{D103AEC2-435B-4307-AAA9-F1287CF2DE40}"/>
    <cellStyle name="Normal" xfId="0" builtinId="0"/>
    <cellStyle name="Porcentagem" xfId="3" builtinId="5"/>
    <cellStyle name="Porcentagem 2" xfId="6" xr:uid="{DC6F8B16-7149-4A7F-B302-9188A7985AD2}"/>
    <cellStyle name="Vírgula" xfId="2" builtinId="3"/>
    <cellStyle name="Vírgula 2" xfId="5" xr:uid="{A3444F8B-7716-42FA-A152-690F24C0A62D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16EE9D9-39CC-47DB-BC37-7E430FC6A16D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F4B4911-75A4-4DD6-A7F5-1D57A3F77FB7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D5FB9A7-76DC-44E5-98DF-7C4A2CC2495B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D183D18-A8DF-40DF-82D3-154B03412AC4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EED8741-4822-4C23-B79E-61E15B5B54EA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ED03755-4674-4893-A63E-4A24D89DC9BE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25C0801-5DF5-44DF-BB99-37B6EC666E07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FC7E18F-280F-4599-8498-0EA473A8F093}"/>
            </a:ext>
          </a:extLst>
        </xdr:cNvPr>
        <xdr:cNvSpPr>
          <a:spLocks noChangeAspect="1" noChangeArrowheads="1"/>
        </xdr:cNvSpPr>
      </xdr:nvSpPr>
      <xdr:spPr bwMode="auto">
        <a:xfrm>
          <a:off x="4892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006C66B-CFBC-49A2-BBEC-405EC3ADA270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4A35E76-DCBD-4107-997F-17E13CEF44FC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324BF29-0D88-40E8-AAF7-D69A2DA76659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08F6D07-1B42-4A8E-B58A-DF96CDF788BF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8688B5DF-6EA2-43D0-918B-CC6A686134A7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81A5612E-9998-45BC-A274-076FF5D32D3C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DC54262-DE41-4200-A022-9FB51F3930A2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9F2BA147-C92E-4968-9A53-6780A37CEB8C}"/>
            </a:ext>
          </a:extLst>
        </xdr:cNvPr>
        <xdr:cNvSpPr>
          <a:spLocks noChangeAspect="1" noChangeArrowheads="1"/>
        </xdr:cNvSpPr>
      </xdr:nvSpPr>
      <xdr:spPr bwMode="auto">
        <a:xfrm>
          <a:off x="60350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832B0D8-8D64-4A9E-B697-BA29C5DE9700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F66449E-5F9F-4A03-8695-6D9649AE4112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7521F18-2995-4EF8-A2A7-6E3E7B14A9AC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404BB9DF-5159-4916-8F20-C2A227696D9E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FB4B4078-CDA1-4385-8C91-5C5F45AC18D4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2A6F3565-FA58-4299-915E-488E010D4F68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71B4975-5946-4041-AA6A-8892A0671493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5E4E8CB8-BC41-4668-913B-6D1BBFE8E2FD}"/>
            </a:ext>
          </a:extLst>
        </xdr:cNvPr>
        <xdr:cNvSpPr>
          <a:spLocks noChangeAspect="1" noChangeArrowheads="1"/>
        </xdr:cNvSpPr>
      </xdr:nvSpPr>
      <xdr:spPr bwMode="auto">
        <a:xfrm>
          <a:off x="60350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5FEC45A9-577E-41A1-80D2-4726F2B6B491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1CFC5493-A3DB-4949-AA20-E8151C1E5E61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9F93F89-3BBC-4D23-BAED-DF504FA924AA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2A06719F-05D5-4A4A-A220-0E4A2DD30E4B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5D0D2C0-2E22-45F0-8D84-CF4118AD7CCA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7D1A83CE-28F9-41D2-AF65-F0AE180EA0D3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CEA2500-8C2E-40B3-8F36-2A00A9D6E4F7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0F4C9AFA-B543-400E-8AEE-1A6A87312617}"/>
            </a:ext>
          </a:extLst>
        </xdr:cNvPr>
        <xdr:cNvSpPr>
          <a:spLocks noChangeAspect="1" noChangeArrowheads="1"/>
        </xdr:cNvSpPr>
      </xdr:nvSpPr>
      <xdr:spPr bwMode="auto">
        <a:xfrm>
          <a:off x="5006340" y="9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18630523-A907-4AC4-9DA7-B346B8E6E9C2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0F65E398-5B92-41DA-A410-35A37A6EEF8C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11A6DEB-707B-448B-AFE7-77ABDDF97741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D563427E-B4C5-4420-A138-BAEA29CA48A3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8F5EEC0-A761-4EA9-B7C1-E649C47B2EF9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8D8054B-56CD-412A-BFCF-0C72C357D7E8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D880B0E6-6165-4C6C-850C-814486FB51A1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A09EE4FA-0DAE-4731-BE5C-257802CB383F}"/>
            </a:ext>
          </a:extLst>
        </xdr:cNvPr>
        <xdr:cNvSpPr>
          <a:spLocks noChangeAspect="1" noChangeArrowheads="1"/>
        </xdr:cNvSpPr>
      </xdr:nvSpPr>
      <xdr:spPr bwMode="auto">
        <a:xfrm>
          <a:off x="5006340" y="29794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2EE7108-3B05-4C9B-BFAB-DBF9A9296CD8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F12BE82-A4D7-422E-9094-C61C23D0BDE8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4BA7CBF-ABCC-486C-9CB8-8C225ABE19A8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B052729-FB1B-42F8-A61F-B8D041163EA3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1E46561-FA2F-413D-BE3E-5656DF25B7EF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D6C94C3-5942-4BCE-8025-3DCA74D89A8D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E1EE7AA-F118-486A-9A52-735404ABC93F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58A199F-76F5-494F-B8AF-D1436B233DE7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C2D1F35C-C5BC-4A4E-9633-540C8381CB55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EDCC9C2-4095-4921-B1B8-DC5C8F59B9B5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89EEEA2-E29A-4B96-A10D-14ACBC85528A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DAE1C89D-1A5C-44F8-902E-399169B71D8B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CF59FC-7446-471D-88F9-43AF24B376E6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FA0B9B6-009C-4295-9803-A7B3E8F3A9B2}"/>
            </a:ext>
          </a:extLst>
        </xdr:cNvPr>
        <xdr:cNvSpPr>
          <a:spLocks noChangeAspect="1" noChangeArrowheads="1"/>
        </xdr:cNvSpPr>
      </xdr:nvSpPr>
      <xdr:spPr bwMode="auto">
        <a:xfrm>
          <a:off x="564642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7E157D6-6E76-4037-93B0-CF7C218D28F4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4F41415-BB48-40C2-9967-A123AC6E319B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D918D8A-8114-4E22-BD56-723C289A8AEB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18279E3F-B34E-4513-A8C0-7D39A53B124A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6A58106-3925-4758-80B6-A7977359AABA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071B46C5-7075-43E3-81C2-CA025A336CB7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6F9455B-F3FB-4647-875C-BA5CAF1B2C23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A04C0789-4C9B-467A-ACD3-64E1ABA30196}"/>
            </a:ext>
          </a:extLst>
        </xdr:cNvPr>
        <xdr:cNvSpPr>
          <a:spLocks noChangeAspect="1" noChangeArrowheads="1"/>
        </xdr:cNvSpPr>
      </xdr:nvSpPr>
      <xdr:spPr bwMode="auto">
        <a:xfrm>
          <a:off x="5646420" y="32994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F6D9C314-1399-4623-93B9-F1ED334DF0EA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6DCCC42-C2F4-44A6-929C-328E4E454D20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E7044DF-5184-423E-BC33-8669C2BD66E3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BD5E21D-B8AC-41CB-B3C1-0B61B294D83E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3D4C984-256A-4ABF-9D93-40D9108683CA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3FEFEDD8-D5CD-440C-9624-ECD0361BBCD1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7FE36233-FAF8-4E58-A45E-9B489E44C32D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CF06D951-7109-4BA0-8B81-8956E6B718F7}"/>
            </a:ext>
          </a:extLst>
        </xdr:cNvPr>
        <xdr:cNvSpPr>
          <a:spLocks noChangeAspect="1" noChangeArrowheads="1"/>
        </xdr:cNvSpPr>
      </xdr:nvSpPr>
      <xdr:spPr bwMode="auto">
        <a:xfrm>
          <a:off x="44653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F3C1518-FE0B-4312-8388-0CBDD53B5A0F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6D3C318-DB5C-4331-95C2-D3F4225AF2ED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7DD137-9D31-44F2-8D27-2D2D1850D732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71F265EF-8976-446E-A62C-B639D03AF47E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FBB1F15-7EB4-4560-B103-AD6C5B333976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50156A9A-EA4E-4AE6-A1B3-7137B94CFFC5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CDD466A-BC0B-4598-8945-5754497670CB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C6EFE9C-01DA-4B64-BE13-9558E67170CA}"/>
            </a:ext>
          </a:extLst>
        </xdr:cNvPr>
        <xdr:cNvSpPr>
          <a:spLocks noChangeAspect="1" noChangeArrowheads="1"/>
        </xdr:cNvSpPr>
      </xdr:nvSpPr>
      <xdr:spPr bwMode="auto">
        <a:xfrm>
          <a:off x="4465320" y="31165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18845390-B672-4C0D-B1A7-371072A20823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98285649-A525-442F-8D0F-70CFC4347519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6C178A6-3D50-4C6C-9CF1-8F9C9DD9951D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AA9917D2-F178-4F53-9B00-096E58A6F840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2F5185C-5CCE-4231-9D93-AE55C1BC0E6A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ECDF5F05-4895-4843-ADBA-8429296EDD98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1210205B-809C-40D2-919B-F2CA7979DD77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37C25D4E-1FE3-4E48-BAF9-2F8C046EAB35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6DCF98A9-1568-4927-9FFB-C74C49318126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B0CE0C1D-FE06-44C2-AF5E-E6493EEF9CF9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8A254F4-344B-458A-9AD4-33B08C322CDF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68B1B3D-70D3-4700-A1C7-7AFC494C8688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756069A-B3B4-418D-8528-F518C2EC2A18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C6F9344D-1922-494F-BC7B-3E33C9CC46CD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A952AE8-BD04-4E5C-879B-189DA1A06EF7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27C9C1E4-7EF5-4425-A0F2-CD14E6FE938E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C0DFA35F-D87E-4D7C-B714-3B0EDFD41898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AF60E1BE-081E-402F-8F16-F00E748A9DCE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A315EA0-3501-4920-9A9D-4DD00C3415F8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9700E2BF-1AF2-4F40-8585-4E6055DDD0C2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21DDFC4-6A32-48D6-81AC-015168187F72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1A8B5064-954F-4D8E-892B-E11C37C260BD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FFFBF498-1A12-4650-8284-2C63E7899D18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8402DBAD-595D-4946-BD3C-5EEF7DDE0A6D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FB0E2239-67A5-4342-A863-48B3A0011625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BDD053BF-20B0-4097-ABA9-A6EE8E7D56CB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EE418869-505F-4737-A269-24B676FF2C33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29D9C367-3AB5-4791-8DF5-B44A88B7FDB0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64EC9D2-9555-4B7E-9617-2099D0188438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3BAD2F6F-270A-4C61-8D91-76F77DB7A10A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686CBF75-8EF6-4F8E-8344-F84FBFAE5FC2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86047D9F-88A6-4A0F-8F02-F52880DB290D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839A0290-2568-4924-878A-6C488699CBE2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4961F6AD-04FC-4981-9536-A54CBBAE8232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3409C89-0585-4F4F-BC0E-C9E093D27C69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95AD4C03-A45C-4ED3-A2D8-C0EE130FE79C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CB520EBE-A164-4F1C-82A7-730499729407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A03ADE2F-8B32-4717-A4E9-A36884DAAE3F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87D942C9-283A-4062-82FA-105F72E03D4C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DC876694-C3B5-4544-ADBB-569064B63BE3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F419304B-EC3A-414A-BD6B-1D8D52480F8C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B2A3F48B-32CA-4E1D-9679-4F026879B322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CE06BB4F-C454-435E-AA05-3D2C23CB2938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EF7EC7A-B038-43F6-BD82-5D4B48E2721B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1D9042B-5E7B-43AA-B7EC-C2971FBBE86B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16B2E63B-1061-462B-8899-DEAB74F7717F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6D95732F-E890-4165-B06E-C0EADED3F0C0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6E2B111B-2114-4F15-8CD1-A35A54BD4A6E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A8B4B00A-9538-49B7-B47C-1EC40E51613B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011F5ECC-D155-4673-AFE4-E4CAA68A753F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0AD93EE-D8BA-4051-ACE0-B9C5251260BE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E246818B-F47A-4BE7-8CE4-B2BF99A28ECE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2A981058-2F6B-4EF5-8159-DC68F36A2D0F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2E382056-F1BB-4E3E-BAFD-864775E283A2}"/>
            </a:ext>
          </a:extLst>
        </xdr:cNvPr>
        <xdr:cNvSpPr>
          <a:spLocks noChangeAspect="1" noChangeArrowheads="1"/>
        </xdr:cNvSpPr>
      </xdr:nvSpPr>
      <xdr:spPr bwMode="auto">
        <a:xfrm>
          <a:off x="381762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5008061-CE7B-415F-84B6-3087BB0CEB01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1027DD2E-2ABB-4201-B14B-AA1420D79F06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F920C002-A58D-477D-ADF4-FB504A3D8B3C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756D563C-8677-4D1B-9954-F1FD38147440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FE27E9B8-1D64-4ADF-82B3-03DB698F72A4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30179E85-03D2-4819-8929-32C55691507F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2DDC89C-1380-49B6-A5E5-CE55D103D783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408AE41D-6C36-407A-9945-FA17CCDE88E4}"/>
            </a:ext>
          </a:extLst>
        </xdr:cNvPr>
        <xdr:cNvSpPr>
          <a:spLocks noChangeAspect="1" noChangeArrowheads="1"/>
        </xdr:cNvSpPr>
      </xdr:nvSpPr>
      <xdr:spPr bwMode="auto">
        <a:xfrm>
          <a:off x="381762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648AEE3-D3C9-46F0-A40D-88DE9FEC7EBA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FE491E3F-5FB2-4652-8CF8-A7F703B0FA2F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3435B83-F6F9-4767-922A-1EAFB08C19E4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C7AA02D1-7523-4EA8-85D3-291F2A5A9822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84FA0687-E7AE-41C8-A6A1-FD583491997E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35492BA4-D0C7-4AC7-9FD8-EA5848950DF0}"/>
            </a:ext>
          </a:extLst>
        </xdr:cNvPr>
        <xdr:cNvSpPr>
          <a:spLocks noChangeAspect="1" noChangeArrowheads="1"/>
        </xdr:cNvSpPr>
      </xdr:nvSpPr>
      <xdr:spPr bwMode="auto">
        <a:xfrm>
          <a:off x="534162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A3373253-B047-4826-83E8-BC76DEC20087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3B326F38-63EC-4107-B12D-DD53D26A6C10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B6A061F-C5D1-463F-BA4B-FE391472B673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C7D6A088-FEB3-48C5-BC67-96E2EDF609C4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E3C3B3D-EA97-4464-9D56-C57933DA478C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A366C08E-8337-4325-9273-0A9D0A7D540F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B47A570-0B2A-4F37-B346-C27A649B375E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2F819F43-0DE9-4134-80E4-AAD68E2B7109}"/>
            </a:ext>
          </a:extLst>
        </xdr:cNvPr>
        <xdr:cNvSpPr>
          <a:spLocks noChangeAspect="1" noChangeArrowheads="1"/>
        </xdr:cNvSpPr>
      </xdr:nvSpPr>
      <xdr:spPr bwMode="auto">
        <a:xfrm>
          <a:off x="534162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A1C0908-FE7A-406D-BF54-3CCFBF01422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A50EBC6-5470-478C-884D-63C77CDC1CD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682C826-183C-44E6-92F5-9DB0E7BD7B05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F7BA1E76-532D-45F3-AE28-189538DC3B0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A2F89D3-AA8A-4A76-8150-B339021EF6F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D7ABA07A-7E00-42DA-9EF0-F7D27D77BE4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D9A9721-81CF-4DE9-BA8E-8193745A593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03396D3-8E77-41A1-8F1E-6CF482A4FBBD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687B9BB-BB11-414B-9A00-727D45394210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504D41E5-38A2-4D58-AF66-29691E8F0DDD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6DA9F0D-79AD-4E4A-BB12-E98E5F6685AF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BB82AF5C-10BF-4107-8226-363D9928CD53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6F8F3D7-E4A8-415D-8A2F-FEC8099A7084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1B9B16D-49CD-4651-8DF7-12F410DD1233}"/>
            </a:ext>
          </a:extLst>
        </xdr:cNvPr>
        <xdr:cNvSpPr>
          <a:spLocks noChangeAspect="1" noChangeArrowheads="1"/>
        </xdr:cNvSpPr>
      </xdr:nvSpPr>
      <xdr:spPr bwMode="auto">
        <a:xfrm>
          <a:off x="5135880" y="13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C60AC18-632A-422D-8C81-66C04E445892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AEFE5E44-C812-44E3-96EA-C7169D79E98A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E3971F82-A4C4-4F12-B710-FC3E5F92A25A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5E151E12-002A-4B0C-B0B7-D46615956197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8A8A664-E498-420A-A194-CE86E6EEA720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9B61438-86E0-448A-A36C-C4CBDCD74DCC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7D7E9C3-DC5D-45B3-BCE5-73C3842D1EF5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82661A47-F447-45C6-82C9-571F4A926DD7}"/>
            </a:ext>
          </a:extLst>
        </xdr:cNvPr>
        <xdr:cNvSpPr>
          <a:spLocks noChangeAspect="1" noChangeArrowheads="1"/>
        </xdr:cNvSpPr>
      </xdr:nvSpPr>
      <xdr:spPr bwMode="auto">
        <a:xfrm>
          <a:off x="5135880" y="33832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AC94F09-05B5-4D05-94C5-9B04F6F9DBD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A5B73249-9F59-4C91-84A4-F3B6E30D32EB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F8BB810-7275-45C7-A6DE-61FFC4A2DB4C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985BFEC-F1F2-4C31-926D-8A2156B55CD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07F5207-E089-440D-A0CB-C4B94B244876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40BDBD72-D533-4E6C-8537-FDAC28CE602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2206677-E5A6-4F62-9F1D-AD66F3B50F91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E22A5624-8E10-4819-A330-F11062C224BE}"/>
            </a:ext>
          </a:extLst>
        </xdr:cNvPr>
        <xdr:cNvSpPr>
          <a:spLocks noChangeAspect="1" noChangeArrowheads="1"/>
        </xdr:cNvSpPr>
      </xdr:nvSpPr>
      <xdr:spPr bwMode="auto">
        <a:xfrm>
          <a:off x="4000500" y="1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61A5469-9406-4328-A276-44E222B87AF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FADC0BFA-92D7-4CB2-AD9A-CADB520408B0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3D333593-DB2D-44A1-BDB6-B33FB69931B2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16547397-F08A-443E-8E87-7308E2FE87D4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F4862ED3-7E1D-4E71-BC70-28E77F139AF3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8D9B9B79-2BC1-41A8-A5EF-6D200D9BA06A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289B4C6D-D823-4E24-9F17-6ECE4F23DD3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EE914F99-FFE3-4182-9399-69B678842F48}"/>
            </a:ext>
          </a:extLst>
        </xdr:cNvPr>
        <xdr:cNvSpPr>
          <a:spLocks noChangeAspect="1" noChangeArrowheads="1"/>
        </xdr:cNvSpPr>
      </xdr:nvSpPr>
      <xdr:spPr bwMode="auto">
        <a:xfrm>
          <a:off x="4000500" y="32004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F16400F-FE07-4299-BA6D-8D9635E53FF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EE348F8C-DBFF-4544-AD5B-D777B0435A74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AD241AD-A359-4310-BE54-92110AAB1B8C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8B5D55FE-F604-459E-A6F1-8FD3203B8778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5844EED-3728-41EB-8218-4E04945EE5A6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7F3C155-8C6A-4E05-A35A-5F88945F00C8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06C67C7-51FB-4BE8-B330-E3325179D2D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EA2B33A3-6621-4E6E-93E6-CD1122C781EF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EED0042-08DE-48E4-BA2C-7F5A8A5BEA97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84B0BB0-2D86-4076-8C53-CEBFC6CC0B03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87B3C991-F94A-430F-A267-55A5B47D7961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C6EC22C8-4DC2-4342-8B3C-E332B6C13E7A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C11BA11-826A-4ABB-AAC1-F243E300F5BE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9033BD7A-26CB-4283-B021-F6189F695EFF}"/>
            </a:ext>
          </a:extLst>
        </xdr:cNvPr>
        <xdr:cNvSpPr>
          <a:spLocks noChangeAspect="1" noChangeArrowheads="1"/>
        </xdr:cNvSpPr>
      </xdr:nvSpPr>
      <xdr:spPr bwMode="auto">
        <a:xfrm>
          <a:off x="51587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A50C370-CE84-4C9B-85F4-FA907BB33D07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C2F539AC-C67B-4492-B8BD-7DE9F3064401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C200816A-5CBB-4F04-9E4C-7AAEA7FCAA61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55CC96EB-45E8-4E20-A21D-B11845752691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C3F3CE1-1DEB-4A00-ABD3-404181A13CD7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3298D315-A7C4-4F53-85D3-1160B4C9DDE9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AF6F8DB-0713-4D81-AE45-934ADCAB26B8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AE2AB2D6-E9D3-4527-976C-4D5884A3810C}"/>
            </a:ext>
          </a:extLst>
        </xdr:cNvPr>
        <xdr:cNvSpPr>
          <a:spLocks noChangeAspect="1" noChangeArrowheads="1"/>
        </xdr:cNvSpPr>
      </xdr:nvSpPr>
      <xdr:spPr bwMode="auto">
        <a:xfrm>
          <a:off x="515874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C8184F8-14E0-46AA-BA22-D831CBC32C37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6660F1F1-3902-42BA-BFE4-8CA2E7D6FFE8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6EEA0C5D-8C90-4BA1-ABEF-4A8F0F44140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B6E6BAC4-0C9E-424D-A1A4-22C95B3F7CF5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BF30E71-8B3A-4099-9DC2-309E5D74CF3B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D1AB08DF-E456-4CF9-815E-606B6B47788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B407F2D9-7251-4299-9749-18ADDBD86C78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3C822888-C3F2-4187-9D03-FAE969D7A69F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7BA2C61-AFCC-434F-B177-C6521A4825D9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0DC6831-2E2E-49DD-A61F-27C689855B4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8000A33B-9E34-4E2D-B134-D5C6B3ADF23D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FC067789-7AB6-4D4E-BB74-181BEAB06D6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78B5984D-BC22-4A6B-99CB-A7BA8C2E857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D5FA13DF-09F1-4DD6-A5BF-4CA1B040D89B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78206D2D-3141-404F-8F0A-33DA8621BA63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A21CDC85-030D-41F0-B549-9A1D32D66F34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F3F1080-9E54-4B01-8943-B0723A36BDA6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0F7F4E6A-778B-4DB0-9F64-3C903B8DCCF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91CB8FDB-5A38-41C3-B85C-E94D3ED87140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DC077FEA-D98B-47D0-9C6B-0C308515A0B3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64CEBE4-DCA6-49B1-B7CD-1B2CD3366B1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35F18C25-E284-49A7-8E7A-75BDD3DDF52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6EEE083E-A1A8-407B-94CD-8AA700EFDA8D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05413FB8-B399-4312-8712-BEB500D7C91E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FB616A4-CD49-4257-95EF-A4262E0C94EC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08ABB075-C684-4DF4-ADDB-81EB5EE5BF0E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324409E-4153-45CC-B5CA-E8F6F36FF040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320B99A5-4811-43E2-83A3-34EEB777F1AB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19C4D461-2AF6-4028-9849-2AF2D38E2653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32343D9A-9548-43FB-A9C6-CE6DEB5C6CA1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92632AB-EB7C-49CC-85AB-E72F267D2F18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21DDC0CF-D751-4565-A401-C2D684B8CA1A}"/>
            </a:ext>
          </a:extLst>
        </xdr:cNvPr>
        <xdr:cNvSpPr>
          <a:spLocks noChangeAspect="1" noChangeArrowheads="1"/>
        </xdr:cNvSpPr>
      </xdr:nvSpPr>
      <xdr:spPr bwMode="auto">
        <a:xfrm>
          <a:off x="398526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55CA065-0AEE-4486-90B4-CD635B7DCD09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44ECC586-B87A-48CB-AA81-118ACB3322F2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0AB5291-7627-44DC-8CCB-C614A25DCCCD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7ADF7DD-5D32-43E7-860E-DC3D89022B61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41BBFEC0-E3E5-41B8-8F7D-F6C1080FED27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932B9CA3-E1D6-4C74-ABEF-43F5A5BF82C9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B514619-382B-4D8F-A276-7FE6D5F2E457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CC5EA842-F19B-4841-BAC3-9FAC616B3E1C}"/>
            </a:ext>
          </a:extLst>
        </xdr:cNvPr>
        <xdr:cNvSpPr>
          <a:spLocks noChangeAspect="1" noChangeArrowheads="1"/>
        </xdr:cNvSpPr>
      </xdr:nvSpPr>
      <xdr:spPr bwMode="auto">
        <a:xfrm>
          <a:off x="39852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EEA92B6-C467-462A-BD91-27AC030DC22F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D122DDA-07EF-4F54-9C73-661483CB3EF4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07961B9-2A7D-4EB6-B82D-0FFA09A89E85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7E97AE-7D45-4625-B7BC-80C346E6C035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60BE99D-33E5-46D4-A928-25DBD3B7329B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2A5DD66-D585-4923-AC54-F2944EF1B509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639A3C8-B48F-43D5-AC31-5B9F4C984B6D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C2EFACFC-1AF6-4D3E-9108-091759CEA4DD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79EF582-44FE-44A9-B6F0-A5FBA04AD2C1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8AF71B06-F240-451F-BD49-C71745FA56A9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064AAD6-EF56-45C7-AF12-6176A0367404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D8E61FE-AE67-44BE-8E00-4E66427B4D83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B233315-8FEB-4C77-8DEA-CD41A63E20B7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9BBA9A5A-79D1-47D2-B8EF-061193B6544B}"/>
            </a:ext>
          </a:extLst>
        </xdr:cNvPr>
        <xdr:cNvSpPr>
          <a:spLocks noChangeAspect="1" noChangeArrowheads="1"/>
        </xdr:cNvSpPr>
      </xdr:nvSpPr>
      <xdr:spPr bwMode="auto">
        <a:xfrm>
          <a:off x="313944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0135B034-32EA-4DD5-8544-85A692D05EDF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D6434295-BFFB-4E3C-9DBA-89A859083695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8FDC190-7DC0-434A-BA75-4C5F744CB689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3318C6E-495B-4A89-B321-60CBEFA0DA68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CEC2F4A-7095-4DE3-8406-1C8B8371088F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AF7DB806-AC03-48B2-A6CC-BABD3633BCD3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7F2CF2B-5EFB-455C-AD05-FAFDB21E58C2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2DD6637-A345-47B5-9835-5C20FE64691E}"/>
            </a:ext>
          </a:extLst>
        </xdr:cNvPr>
        <xdr:cNvSpPr>
          <a:spLocks noChangeAspect="1" noChangeArrowheads="1"/>
        </xdr:cNvSpPr>
      </xdr:nvSpPr>
      <xdr:spPr bwMode="auto">
        <a:xfrm>
          <a:off x="313944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EFC29330-5F63-4FC3-B3A9-DF8C9DB5EFC1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022BCAAE-7130-458C-86A8-B1AD77D89FE3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8C8D74CC-A82E-46AA-851C-986E1AC6879F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47F0AC70-D5D3-470B-BB04-7A2EAF5C03F4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2DDFFD9-634E-4A0C-B287-56500CC21DEF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C910F4A6-B857-4EF0-A93B-2BD0A1A5BBF8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17F0406-7C05-4689-80EA-1CE1635B10C2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A9F476-0BD3-409B-A593-D26AD4FD1E1C}"/>
            </a:ext>
          </a:extLst>
        </xdr:cNvPr>
        <xdr:cNvSpPr>
          <a:spLocks noChangeAspect="1" noChangeArrowheads="1"/>
        </xdr:cNvSpPr>
      </xdr:nvSpPr>
      <xdr:spPr bwMode="auto">
        <a:xfrm>
          <a:off x="252984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8ED9119E-DF64-42D4-9AFD-9BC3E154B703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D8D9EDED-611E-4DF3-A37E-BD67ACA85221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C402218-D2F8-4FD2-AA5B-1E254C221A45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4E9BB8BD-C899-4EB2-8AEF-869D73A831A4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C693CDF0-25AD-495C-BE74-31992ED89F87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C77C78C0-545B-46D6-9D19-D0010ECF32FF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A188F99-64F3-4821-9A63-B3C9598FE5E0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AA1A6413-FA86-4D2B-AA92-AAC2D2DB738A}"/>
            </a:ext>
          </a:extLst>
        </xdr:cNvPr>
        <xdr:cNvSpPr>
          <a:spLocks noChangeAspect="1" noChangeArrowheads="1"/>
        </xdr:cNvSpPr>
      </xdr:nvSpPr>
      <xdr:spPr bwMode="auto">
        <a:xfrm>
          <a:off x="252984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56C48A1-E892-4D0C-AE83-AEB8C7F69A68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D8CA1E26-F2A0-46AD-A333-BBDB1D5353E2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90C1369-352B-4087-A35E-B57A6806A51F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4BA78CE1-FEC3-4E40-925D-24F1158A9D7A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52914F92-7CC8-4322-87FD-D9D33EF7209D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5D83F90D-713F-4430-A5DA-1DE3A6A8ADE6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9B84CD6-A008-4DA4-8374-298AB1948600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21A52FB8-0413-4A4E-85C8-A457E8D4252B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828B703-DCB3-48CF-8895-4A4377F7DD65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5CF61F41-0B5C-4AB5-B927-86A6F5B98C10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42F8BF84-42B5-45AE-8F13-49DB1C1EEF3E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98DE5C8-4C4A-4F0F-80EC-04941DFF476E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FE2BD78F-56F1-48BF-96DC-6163BD28241C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9E20D7C-C2FE-4786-BF7B-99C67780E3DD}"/>
            </a:ext>
          </a:extLst>
        </xdr:cNvPr>
        <xdr:cNvSpPr>
          <a:spLocks noChangeAspect="1" noChangeArrowheads="1"/>
        </xdr:cNvSpPr>
      </xdr:nvSpPr>
      <xdr:spPr bwMode="auto">
        <a:xfrm>
          <a:off x="536448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66126F05-7EC7-4A14-8E39-9572CCA0D38B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1B6255FC-020E-4B52-9A82-6C37372A6DA3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1C60AB9-3B6B-4CF4-9E2B-211DEA52FCF0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4290A1DD-BE75-4C30-A767-733494D1E018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E39CD2D-8DCC-40F7-934F-90F03E2310BD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9ADA7383-0DCD-4C27-A087-74B513FAA4E2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68979F9-F4C2-4F9A-82C6-C1C39ACF59A2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DEC7F156-93DC-4582-8A9E-CB6F457D0DD6}"/>
            </a:ext>
          </a:extLst>
        </xdr:cNvPr>
        <xdr:cNvSpPr>
          <a:spLocks noChangeAspect="1" noChangeArrowheads="1"/>
        </xdr:cNvSpPr>
      </xdr:nvSpPr>
      <xdr:spPr bwMode="auto">
        <a:xfrm>
          <a:off x="536448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5754410-4152-4EED-85F0-B78AC63B77B4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0FB8160F-878A-4764-A531-6A7AE9AAE3C2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D03A3A2-5CAA-4D16-809C-49C8B8FE4928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A50024CD-AB07-407B-B9D1-F48DE91E3B81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9E2BF4A-2D1E-4E8E-96F2-BB13C341F76B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28D32915-37E5-4793-902E-96EB2262A422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C2A53E8A-0DE9-4C1F-8DE5-31494B910000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ADD8CDFA-4D50-4211-9536-46422B803557}"/>
            </a:ext>
          </a:extLst>
        </xdr:cNvPr>
        <xdr:cNvSpPr>
          <a:spLocks noChangeAspect="1" noChangeArrowheads="1"/>
        </xdr:cNvSpPr>
      </xdr:nvSpPr>
      <xdr:spPr bwMode="auto">
        <a:xfrm>
          <a:off x="416814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98DBE17-2FD1-4FC0-A9D6-D4503F91C6B7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81F95708-CA54-46B0-8F48-4033A1BED5EE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114DE59D-8261-48EC-B49B-4304210BF62D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BCD9051F-D839-466D-8C47-03F419BC838E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2DB7B77A-A3C2-4B6C-92A6-FEE968ACAAEF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42B82BD5-A85E-4BAA-A736-CB33016CAA0E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FD583F72-47D9-4489-AE75-84AA20CDBAAC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1EF4DCD5-5607-484F-A642-26EC9C77FCEF}"/>
            </a:ext>
          </a:extLst>
        </xdr:cNvPr>
        <xdr:cNvSpPr>
          <a:spLocks noChangeAspect="1" noChangeArrowheads="1"/>
        </xdr:cNvSpPr>
      </xdr:nvSpPr>
      <xdr:spPr bwMode="auto">
        <a:xfrm>
          <a:off x="416814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A5BF736D-7919-4D17-9D3C-B35426F10E8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C5E285BB-842E-4871-A57C-44D85CEE0E4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3530E69-D1AB-4475-ABE7-4F3BAC486C2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3AAF0CC-415B-4300-A58C-B899224EB27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7A6484FF-7B9F-4480-BDC8-6E8A25938AD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947C9B02-4CBE-4B0F-BA4A-E94881EF684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13BAE4A6-5C9D-481E-960D-16B834966D2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63D19CEB-60FD-43DB-8EE1-7E97AD3EEBA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766F0B2A-467F-4F70-AF57-5BC1B2F71C5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0476A37B-6B0E-4085-8BA0-6B5420B2158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156E137E-ED31-4D01-BBE3-CBEBD1133E7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C100B29B-8600-4B7B-858C-ADD44D5C2FC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AF6DF91D-616E-4F3D-9F51-17758CC4B9E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7CD04ABF-9FE3-45F3-A16F-0DD9565CA93A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5FD81482-3C0F-4329-9DFA-B9A8B5C9681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76B324D5-2E89-4BB0-B17A-4909F4F2891C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4F8EFB95-25F0-4DD5-8E93-508F348E0A8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ECCFFCA0-5D5E-4712-BA04-D086C14C19F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A1CAB300-B7C7-4A56-BEFF-8E40AA89834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3A49B8F-07A8-4C45-A87E-F503819E6FA2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6300CC3E-90FB-46FE-961D-B32CE3F2C83A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2A736CF9-29C9-441A-AE5C-1AA3E2ACDA8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14D11DF-4010-4DC8-B55D-16A21DD83ACF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2116DE82-B96B-4FB8-BD8D-EBD9529DFA5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704E823-E45B-43C2-8A89-A4FE86CC86C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3402E058-1448-406A-8D99-A534F3C7A71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F3CF8FA-6EA8-43E2-AE28-6C104B20D3C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B8D616F7-2774-4025-91E8-25BDE669ADA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3109B5F4-F0A6-4F1F-B1B9-9D11CA81FBB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55548E1E-D1C6-4197-8747-9796502B73CA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499EB5B-C1DA-4569-A086-FC9C6B2ABB8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648C9CCB-88A8-40A1-854D-8D2FE4CFDFB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91F116E-2B6B-46F0-B450-D36174A260C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C271850D-C245-456C-8BEC-A30DD3D3C61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10242E9-4324-4A5E-8713-6D4C2696A4F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9FF08DD0-CA6F-4ABE-A64B-72A0A106596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FC6A7E6-A8B8-4B25-857D-567A8A0A02E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7A88EDA6-EED2-48FC-A7AA-6AB63CA6D3C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3100C80F-92B9-479F-AA65-9523B089A9D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519874A3-73ED-4F36-8153-62D48D2A738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74CE86C-73E7-4169-975E-B150498F4DC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B722BC6A-A6BD-404D-AB11-1F6CEEA957D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60881B4-3464-48F6-ADFA-CB8808D6E20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ECA718B0-0D3D-438D-B9AE-A74E8ED164FA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4ADE743C-C246-426A-AAE1-5D540AC67DBA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32C2290C-ACAF-460C-A9D6-8759DFD4869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240E8FB8-AA3C-4A00-8F83-70B1789532CC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8AF620F1-E1C8-43C4-A2BA-BF250C1BEE5C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773769B-8260-4C01-8DCB-4E84ABC8E14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E4A892B4-0CC8-46DF-A08A-62242106F80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8B7E36D-FBBC-446C-8347-EEB63E93B633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FC005B48-AE55-496F-A048-9009C5FAA91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45B03D37-F99F-4DD6-B8A6-C965625BDB3D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EA60A5F5-12D0-4016-8ABB-69605EDE884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D4E4F0F3-71AF-4FF3-911A-CAFDA0362FB6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E5E4A135-B062-4C19-9218-068BE7BAA69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5903E56-8B26-44EE-BEA6-66B85EE469B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F30B5DE3-A05D-4A95-8D65-EAD8A5686AD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3625818-80C0-4FAB-A2E1-668B3A28460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5BF040EF-42F5-47EB-B9C8-6F4C4A6DCA02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2C72F087-1C7C-4AFC-93C6-8DCD835ACEA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7E4C932A-59E1-4FC6-B1AB-2AD2980CEEE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0F955C4-8D67-4D3E-B1AA-ADE628A9E70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439DED8E-1C21-4C7F-866F-DB24AEE0434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1ED33A25-9043-4F01-98B1-D72265ED5EF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72197A96-71DB-4406-A6DB-DC16F9D0169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AAEB82E3-8D70-4CA8-83F6-40CC413DC5B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D3C295CD-AFF8-4570-9987-14EAD5259A1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E54E4E7-7F5D-4C29-9BA3-B09A6E16DD6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4CC15630-2BB1-4859-9BD1-3B05F605330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736826D-8282-43A8-B6AA-1082DF9E011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BC6B6B87-0FF0-4D22-AEA7-BFEBBC8EB27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30F959CA-B113-4B5A-90FF-B9A9A8D5696A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A82216DA-FCD9-4E7A-8567-2CEAB298E5C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C0140609-8046-4024-9C2A-C6B13163498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68A3CFF7-3814-4FD7-8D37-972569509B2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DD4CBD68-5382-46F5-A083-2601DD75F97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900187D0-126D-4B47-A4F3-8947B4BE45E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C9C40664-4EF7-418A-B722-95F7BF3F7B5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11BECF74-166D-48EB-B830-853F1E92FB3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7401CB30-C39A-4734-BC3E-E59703CFDCDF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D45FECC9-C7C0-4DB3-A555-2393259BE3B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59914B20-5875-457E-ACA1-C87B2AF05A8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0B73B978-6CAF-426E-9743-3CAF9379C0A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6B4DC917-1610-4F17-8A81-5F71D31F84C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66B67282-689E-455C-B658-34680DE2DAB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A903B94-8D83-44E0-883C-153282B10F0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91735207-899C-48E0-9721-B2117D385961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AF8CFCDC-EDE0-4324-A5BB-9FF278F5578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EF549528-A02C-42C1-BFBF-313F2D79EF7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CCE27263-6358-468D-B3DA-264006FFF9E1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58BE7B22-307F-43E3-A886-836FB4005A3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AED08414-CCF1-49B1-B63C-C6EE4AD51C6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E5206ABE-BD16-4D70-887C-3187A37EFB2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FFDF672A-26DC-48FA-9C70-9BCF3331ED2F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54B7AA22-6221-4AC7-AF69-9B3F2969688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D62B01D9-B278-4BEB-8A79-5AD10BAB2DD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1ECD132E-1378-4D19-B1F2-487D491C1BDC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905A578D-A271-4BBE-9003-5C1E10D7DE0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6D44175D-E6BD-4E4D-9392-2AE7642AAD9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E90B0D9-94B6-4397-B15F-9DD21E924BB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B33019AC-EF5A-4CB8-822E-180CB9AB8ED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28B89EA-0D17-41E5-BAD5-CD53A6064B5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D497A257-B924-46EB-A131-1392C81E6C5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21A318EC-93DF-4748-B8C8-812E08AAB1A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7339FF77-C500-4653-B387-43ADDBD153F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397D7347-3B06-4112-B894-400BAB466B8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FEA05ACB-9039-4874-829E-E035B36AE57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459DF81D-C237-4372-8EA0-87D5AEB2B83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DEB1A5BE-E6E6-49E6-B592-86E9D16E229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2C02C754-9550-4E28-BBD9-99E7238D145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FCAF57F4-6CEE-4897-81D2-8DE87027605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1A196F0-9E5D-45D7-B02F-750691AEA0E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4972D7A5-16A2-4763-8EAA-41CAE3186E6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F4F41423-ED25-4851-A5DB-3C850A08FD9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BA1B3A1D-050E-4964-B972-952EC3AED43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1A6EB5A9-C1F2-4830-B4BE-06C9C1E4687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45E4B444-FACC-4AAA-A760-354594F623E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10844B3-B88C-4414-9028-5CFEDDBD003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A2AA4EEC-C695-4DF4-AF3F-6CB83F2C3DB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2E918720-2A07-4235-8F6D-8F9A9AE14A3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9EBE9B40-3B02-49AE-849B-531191BB2BF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3233E79-CBD4-4A22-81A9-02018CEC144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9B28FC16-DA77-43F1-BC3F-8DA0A2DA48E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B8670B5-D2C2-4DD2-AA16-D101AB63187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273E0E19-FB63-4924-81B3-77629FD75E2F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8D16C23D-B5F3-4A9C-8860-64756058581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1E417FE3-5662-406C-A14A-2DB9B6EA411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1D681B1-8ED9-4845-A580-167530E0B5A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74AD2060-DA64-4E9B-8491-45AC54712F8C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40F60114-59EA-47FB-8A78-3291731DF83F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7D5EE4B1-1458-40D0-92C1-5116E36B517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F42B853-2085-40A7-9DCC-258AAA7D6A0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20377BB7-E743-48FD-8DB8-7C599916284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9EE85C18-8DF5-4662-928B-8E869F2A6DA3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3093F21F-111B-48A8-910B-172BE1D3FFB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AD1AC722-99B2-4D97-852B-8FBBEFEF89C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5F226857-23DC-457A-A8ED-8FC60FDADBA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9BCF9474-D9D5-47B2-8684-D57B5349D96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60C38A5E-DC26-4EB1-9099-4FA52D43C33B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63F27855-92A1-40C9-80FB-0E9C431A9EA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9902812C-3250-41D3-B1DA-CDB643520E0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DC121D63-0E96-47F2-B579-385633FB853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1149343C-428D-48C7-925E-61DE979B362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1A6CE8B-8BCB-4E25-BB0A-09D68975DAC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1641AB23-E21E-48F7-A9B6-7A90D53E6F3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2BCC1040-D32C-43B3-926F-6320CE34140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97A9509E-793F-44F3-8DBC-747A4BCAAB1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27F0977-06EE-4963-A07B-5F75146C760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54E6DD31-D964-4DCD-A673-76A525823B6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9B962B23-64BD-4687-B813-49F44D9C01E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B5CC202A-1778-46DC-9AB4-3DE48C32ADD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5F24F74-589D-448B-B3C0-695FDCCF350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66F01018-B5BC-4A79-BD9A-70D8416BFA9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3A73B410-1481-494F-AA4D-CECB17E39D7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DF767B0F-1049-4483-8CD5-A8EAE610DCA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036FEBF-4154-439D-8549-F5C1763B3A5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61A86EF4-0833-4B68-BF18-11F8BA2ADD9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3F3B92D9-7F4D-4F64-BFA1-E162F4A68C0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F0B21AB4-7288-451F-AE55-790CA85BFFB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E5AFB24-55E1-4499-A72B-877D4E5074C7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DD11E00F-9B87-4127-8E86-9C454077A60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34634A0B-5626-4A1D-85E9-1639DC6BE0E6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E2C99CDD-53CC-4781-BB11-ABA722366CA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806BA37-AE28-4F01-9327-4E3D4A16473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07CEF7EF-B856-4999-BA2D-C1F80167F706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497BE651-32E2-44EA-BE9D-8D8D989E6D8F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848267A7-27E4-4F50-B8C9-70ED3D930BE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A9033D17-3BF4-4404-930C-1DE5DBB90BAA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7F067626-BE2E-44FA-870E-C3B57D92E266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905BF719-F9F1-443B-8D53-B57C47C550B3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52B73C5E-B71C-4965-9F70-5833DB3E8EB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6218B48-17D4-4140-B2C6-7AE634D7C77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3D17E834-0AA6-40F1-B045-F1A6517CF9CD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E9482ED2-0342-4C7C-9DF4-1C8DD2975EF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DD314BB4-6419-489D-991B-B4800B732CD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EF465816-313A-40E1-B8CE-1A9B9DC62CA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D01678FF-2A1C-4D60-ACB2-397A72A9FB4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BFFEA383-239C-4584-B6BB-702EA3E9C90F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1321B05D-F7D0-442B-881A-14E0E5D0DC9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F665A915-3318-4E8E-A895-598B50206C9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CEA14171-F9FE-45A1-A39D-92F2A58581C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6098BD17-EE26-4016-8785-1D6A3E662E4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B906954C-1F6A-4A01-9E22-B78FEBAF189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FA9190C6-1A62-49F2-9483-FBB56D88B19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79814C9D-A997-47A3-89F9-9EA9DEB1E01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A03734F6-5DE3-44F5-B6BD-11238375FF9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82C73543-8C22-4B70-BAEF-A3540104B8D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DD105E05-0B0F-4870-9C7E-89AABF58105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A374570F-B7E1-4A50-AEA0-C6ECA384679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56F3D638-C281-49E8-9733-086100C083A9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20241445-8C7A-4251-91D0-D242010295A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8BFCE355-6EAB-4A2D-BC65-31CF0F3612C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EC95C2E5-3B31-4A72-B602-79AEFDD8727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5A031088-F288-424A-9C2F-88E9C79758E6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CD73F1B6-23BB-474C-AAF7-DF38AA0ECA8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9AAD5639-F2CA-4781-8918-D3E26DFE6CC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C649F847-3B91-4884-9F47-E1E74A341B95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B5CBA11C-F8BE-427C-B64A-1FE9408FE764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10D365DA-2F90-4FA4-BA9F-5FBEABCE707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830AEDF8-1585-48E8-9395-34BFCC0057AA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DD375545-BCA0-4870-8E04-BD23B6604730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E53B4C68-2C9D-4F98-A2CC-8E29E428D173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2B3B75B7-E5AF-4E4C-9C41-4C67FD1B3E52}"/>
            </a:ext>
          </a:extLst>
        </xdr:cNvPr>
        <xdr:cNvSpPr>
          <a:spLocks noChangeAspect="1" noChangeArrowheads="1"/>
        </xdr:cNvSpPr>
      </xdr:nvSpPr>
      <xdr:spPr bwMode="auto">
        <a:xfrm>
          <a:off x="52197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E16E832C-D8DA-43A1-B280-707409A81E8E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28FF0A5A-D928-428A-87B3-A333856DDCCB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5C012A5-F394-4EFD-9032-8E12445DF6F3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194681A8-1CF7-4B01-9CA8-6EC1AE44CB12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5924C0D2-1EAB-44FC-827A-739FD9E148F2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F78CB08F-DD35-4445-8C25-ABF3CA7683B9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6DC43DE1-29B8-4195-BD6B-FC948383B325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FCC4C6C9-14BC-4F73-8DC9-AE8EFCFDD638}"/>
            </a:ext>
          </a:extLst>
        </xdr:cNvPr>
        <xdr:cNvSpPr>
          <a:spLocks noChangeAspect="1" noChangeArrowheads="1"/>
        </xdr:cNvSpPr>
      </xdr:nvSpPr>
      <xdr:spPr bwMode="auto">
        <a:xfrm>
          <a:off x="5219700" y="33147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21B82C79-D03A-4229-B484-0333C35DB0F4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001C33D2-BC33-4C0F-9C09-937EF7FF6CFD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AB529B0B-88B8-4725-B95A-93019EB17ECF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FBA7F769-E2A4-4002-A5EC-97F8EDE4768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9234FCD1-4A9B-4A11-83A6-1B039EBDA891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C75BC692-F75B-4A93-AD1D-A44F3FA7D153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568A84A3-DC02-4FB5-B32F-EB0259085B00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BC255374-2609-4439-BF37-B65C10E2BE6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3FA3BF08-BB3D-4337-866E-90A9C53BAA07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7FA9FE3E-884E-45CB-AB0F-5791DBA42BC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89A4382-DF9A-46DE-AC8E-47106CF028EC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D3310D6E-E0F9-4B2D-A3C7-B3796C33E74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64B883E-9BEE-46FD-B5C5-1E91471ECBA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8E2B1569-01C5-44DB-8ACA-C2075F56BA98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CE6E8C5B-32B4-4543-BDFA-24751FE68E5E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DB85AFF4-7041-480B-A90F-4EF31B16EF42}"/>
            </a:ext>
          </a:extLst>
        </xdr:cNvPr>
        <xdr:cNvSpPr>
          <a:spLocks noChangeAspect="1" noChangeArrowheads="1"/>
        </xdr:cNvSpPr>
      </xdr:nvSpPr>
      <xdr:spPr bwMode="auto">
        <a:xfrm>
          <a:off x="4076700" y="31318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F07708B-1C75-4F57-B3BF-64CB97BC66F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3A1DF1E-6752-4FAB-8192-CB01DD7DC90B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D1C4E89-4300-4159-BEE9-3D6EC69ACED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74D9B40-273C-476B-93AB-D969B5BE21E1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83738ED-000B-4409-8DFA-1F17ADD44C0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F497077F-DF7D-4799-A21D-49D52BAF6DA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AACF722-4AB7-4D4A-9F16-ACB77029D8D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54742F55-121E-4F86-9ECB-88DBF5645C00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1BFA204-7378-4956-891B-A868B23926C5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A7F66BA3-F636-4337-A9C5-CD9D37BBD46A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737433B-2AD5-4D01-9A20-C1537C3C49C6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5B043FBB-0057-420B-A4AA-98C2B5F10775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1281A90-934B-462A-89A0-BDC4D7710B94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9383A1A8-F27B-465A-8664-3AA865F57EF5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C170584-0D87-4985-AAD0-BF405E673C36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CE27A03A-BA76-4A89-B29E-C0473652C15F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3B3FA01-F304-4540-8745-7EA42237B04D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3EDEAC98-050F-4412-B71C-58BC8A806D06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77D6D078-CA7B-4739-A2A2-2A7741A49E55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F6FAFD0E-2176-41B8-AE8A-61AD0CE722AC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A60DBAF-56EE-4225-B548-647C6A4A2F08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5C62A37-DFA8-493D-B743-30D1D98C2BDB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68325CC-9943-45CC-971E-AAF99A4EAA4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F69DACAE-4452-4D74-9360-900FCC697DF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9C72D18-98DE-40CF-9C67-A9E94F14AA5F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3EC187C3-2D9C-45D5-9433-2C872070DDA8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1A5CCA4E-7E8C-4220-8954-DAB323798D2B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69F84914-CB59-4E5B-811D-72B793272C6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AC80AF-6C3D-47D5-BAED-04E49C8EF4CC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23853DE4-D60F-47A4-88A3-E6695AD5F2B8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56E7EEE7-4C96-451E-837F-DEDEF8ADF1A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8A6DB13-82A2-4F34-914E-53FCD83EB1F1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A2BC6FFE-CE5A-40C5-9B5E-FA9D327542A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6BE79878-FC3C-44A4-A02A-0C225FD478D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2C53934-1621-46E7-A276-5ECFC486A42B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F085D63F-DB29-45F0-B0BB-16FF6432D702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3F0DC97-D542-4A0C-97F7-DD36646F432E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BE70AB9-7E4B-4E9B-A565-D0C02BA1767A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5A8E78E4-2859-4DF5-82B6-853067E97DB3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E42224A-A4F1-42EF-B53C-6B03CCE5EC8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60DBD60-9F3F-4EF9-BCE0-5605922F782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6B3071FA-5790-4C9A-A671-B66FCE5DEB78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F71A381-DD85-4EDC-8CAD-D96041AE6C18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E12F2844-26C2-4542-A8B2-D38B3CF29B3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6732BC30-AC9F-4A53-8750-440FB28E385E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F3578FB6-09FB-460E-AEDB-824D896F91FA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B59D941-794C-4ABD-87BE-3F1E5917B766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236A977C-C1A0-452F-8B9B-7593A4D4E700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4ABE6D46-5D03-4DE3-9754-C8A0A482D8B4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9FDC8BC8-4A1F-4B64-AF3F-0F6A4BF672A1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F40FD7E-1FEE-48F5-A692-AD1B2DE6DB99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D363ECB5-001F-4D47-BD0A-000FB7DD60C9}"/>
            </a:ext>
          </a:extLst>
        </xdr:cNvPr>
        <xdr:cNvSpPr>
          <a:spLocks noChangeAspect="1" noChangeArrowheads="1"/>
        </xdr:cNvSpPr>
      </xdr:nvSpPr>
      <xdr:spPr bwMode="auto">
        <a:xfrm>
          <a:off x="611124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A5122C9A-DDAB-492E-9744-F7ACA4A64AF2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23C780E0-15BA-4B88-9DE0-60DD6D6EA90D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870BEAE-C026-4F0D-9BD1-CAAEF75D1329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DBCA93D8-3C20-4546-A4A9-0E3DC3C77F51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845033E0-7C32-4B85-B7BD-2DAD8B57295E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95EF24C7-5CAD-42DD-A91C-5DB0DB4E9B67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99E0390-DD02-42E7-970C-40EDC7580B04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9C231CEC-B61F-424D-B633-0BA5DBB8B98B}"/>
            </a:ext>
          </a:extLst>
        </xdr:cNvPr>
        <xdr:cNvSpPr>
          <a:spLocks noChangeAspect="1" noChangeArrowheads="1"/>
        </xdr:cNvSpPr>
      </xdr:nvSpPr>
      <xdr:spPr bwMode="auto">
        <a:xfrm>
          <a:off x="611124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C6DA8F16-06A2-44AD-8F7E-85000303445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91C9077C-B788-480E-AD25-910A54A80CE3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C453D70-FD0A-4C28-951E-9F96A61929F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A75EEF67-6975-43D1-8615-9823DDDF61B4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3F89FD0A-645E-42B9-96A1-F7C27257F8C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47A0D3F8-3BA7-476B-93C8-A59F9EA2B856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56240D0-8443-45BE-9A53-0C1C04C5235E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EFCF7B05-4B05-44BB-8FCD-2A738DEC9BC4}"/>
            </a:ext>
          </a:extLst>
        </xdr:cNvPr>
        <xdr:cNvSpPr>
          <a:spLocks noChangeAspect="1" noChangeArrowheads="1"/>
        </xdr:cNvSpPr>
      </xdr:nvSpPr>
      <xdr:spPr bwMode="auto">
        <a:xfrm>
          <a:off x="438912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3E04BBB-BB45-4ACD-AE56-2897969BAAD9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E013B38C-0666-45B8-B0C7-7582A574311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FC5710E-DD26-431A-AA8A-6850038EEE5D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4A58B575-A649-4872-86FD-8EFACE6B31D5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15C6056-9AC7-4FDE-B6D3-63A72A31E5C7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11F7C6A0-3D93-4839-AE37-75FFC86E31C2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43E918B6-DB1A-4321-AFC1-646DB527C284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F7A41543-BE03-4768-88EC-982D4BE757A8}"/>
            </a:ext>
          </a:extLst>
        </xdr:cNvPr>
        <xdr:cNvSpPr>
          <a:spLocks noChangeAspect="1" noChangeArrowheads="1"/>
        </xdr:cNvSpPr>
      </xdr:nvSpPr>
      <xdr:spPr bwMode="auto">
        <a:xfrm>
          <a:off x="438912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0FEFDBC-3B5C-44D6-8742-FD33890C6AB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5081DE13-23FC-4A96-A169-5DD6957F7AE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459BB5C-F6F7-4D00-8D82-D858F4ECB8E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F5543C41-5633-4E9A-8065-02345F08E75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0F9A4D5-F6CE-4B6F-9C70-72849557F42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D568EEAB-C567-47B8-B8D0-60E496D8BDB7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1D6A1A8-7727-4EB9-9D0B-BCB255A8829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5EC7E752-3167-48FB-99E2-BDF53AFC20F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D9AC660-210D-4903-9E07-8FCD0582782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22326AA1-3F6C-48B0-B059-844C192424DC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A7EC3ED-8A29-4A51-8EB4-795DC6F7D07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C0F72711-2AC8-4D3A-A7D1-B8F0EBBCF6F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0F01D02D-A27C-42C3-A24E-3DC97289F3BC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139DE695-5E8F-4FF6-AF05-E86D799B509A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2D71172-2641-4B8D-930D-3466CE80644C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1B45AB8F-1F13-4275-AC41-AE5F2D3B5346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5F68D18-DB75-4A0C-B51B-8DF271BA628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D243DB25-C401-4155-B1B1-C48A4237E915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5F3C0476-D202-418A-99C6-69F9F41B5875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49548FC-8E3F-42FE-8210-2CD27CF03DB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5E9EC2E5-5B9A-40FC-8370-49CA24FEADC3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3C94939E-0D94-43F6-A65B-2F9D15D125CB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AB4FFC5-4691-4CF6-951D-B75613EA48E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2CC28599-D581-4BC4-9373-F60D6107923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6E5BC3D2-9668-426E-8039-ABB6E434765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7AE8936A-1A46-4329-8B50-52BEDBDA423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E00BE4F-7229-417C-A0B0-DEF0954D853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7ABBA637-54E6-424B-BD40-4D9321EE14BC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10534D2-B88B-4E4D-AFB4-AFBA8AB1130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341CCB99-F621-4F98-AF8F-3F11187D6A9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A1AFD063-C0CC-456B-A666-57970B9D82D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9E641DFF-13F7-4151-8622-A26A63CACB0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EF20A76-2821-4B94-9FF9-F69D7F64CB67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1943C006-BAB4-45E9-9A85-9C4E97F3C34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7894401-82E1-42DF-BB26-DE3F441A1F9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668FB211-E586-47A4-AB01-36BE880A93D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CA6A23D-50F6-4C1B-A937-292F4A8D02D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F34B7E0D-62ED-4A19-9997-9A96D12FD52C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B056036-683A-4ABD-901B-66DE9B32668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7F7897F1-5A6C-4382-AE6A-F0E042421F4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8C63487-4AC8-4AA3-AB02-839FB7C275FD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5F1E88B0-2C21-45EF-8513-BC90DDC0109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344495E2-71B2-41D6-B7E0-71FDA770823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4B45CE-4D68-440A-8339-FDB6EBD1C60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E3CD1170-D129-4A9B-8C28-192FB557E6E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52A4D94E-AC45-45F3-A516-0A9D90FFD8B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862B8F5-D2EC-43C0-B1E4-FB7B0FEA713B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104C1351-3D88-4182-93BA-6FAB05064553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09D4383-FD05-40C9-8156-A9C470CEE097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EDEE503E-97AE-4608-94C4-DF58867FFBA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3AB2B51-500F-4813-8676-BFDA0E1BAC79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9B63187-E2FF-4AF4-920A-2A0572E7B1C8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A56614B3-8DD3-407B-A059-DC0341ED2E8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96858A19-E4BA-4524-BE42-F2393EA54ED2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8D19064B-0069-41A1-901E-E2C27D7310FB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22BAA70B-2672-41F3-8982-D65D72C4E58C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6C5D8807-BF6D-41FC-BB40-E7D40EB0E068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46216373-E7EF-405F-A830-43C56F2504D7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A17EFB3A-CC26-46BF-ADB1-008837495DA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B41C967D-AE89-4374-951A-66D1A4523EBA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82E55D8D-C21D-4AA3-A910-21AE39B1A65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671097AC-F0B1-4D9A-A692-37B3DE7EC45D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7A0D2137-C2AE-4919-BAFE-D9EEFB55E98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F0556822-E0B7-4592-AA4E-BCF0D93722D7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28F6447-5AA1-4BE6-8C3E-4D630864280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E77BAE84-AC43-4B16-A8E6-78954FB9133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679B030-57C3-405A-BA98-2C5C1AAEA05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5E8E60EF-AD19-4FBF-9BB1-CCE9EF1E565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F2CC2C18-EB4A-4773-B32C-7FBF5AD8755C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B1A53518-A8BF-4474-9779-1AF68B4460B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9B2EDD4-0C10-42E1-83E9-78E50E363A1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34309F17-3D85-4B28-BC16-E3F920DF67A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669F48F2-0EF9-404F-8556-E58DCDA6A067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AEDBE02B-B96E-4844-8FD3-192ACE2BC0E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85AC5162-B036-48E4-AEBB-033D2FA92C7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ED9E0887-6CC2-45F6-894C-4B1935C1D06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1AFF671D-F37B-401E-8569-341A0AAAA93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9029571E-7CFC-45F1-892C-CEAF85C153D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A774FF38-A5DD-4186-B0BD-27F8AC7B1EBE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7537C4F8-6DA1-4B74-9F9A-EC8FFD99F874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FD3E43F-B8AA-4CC5-AD47-985217FCBB3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1B5A37E1-8228-4F0B-BF1D-A08C05AD68B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82B5BC8A-4EC0-420D-A2B1-6B240CDE171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CF17F919-7BE6-4B43-8D5D-5001DECABDB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64C68872-6C5C-460B-A200-B648AF238558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CC744D9C-27E4-4958-AB06-BD3ECC978D65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2826297C-0953-4DDE-B4D4-0A7A3A6C0DB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4C35348-EC4E-4F2F-B7BB-9E2865E5243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24BF4E4A-DA09-4BDF-A3A3-D0036DD9A1FF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20ECB856-0D19-4328-8645-AD26ADB5BFC3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30E613D-B903-425F-9F75-077BE32E2983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4380D6BD-F82F-479A-AE82-0F8C86159A5F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419DA683-51B9-4BF3-B9BF-981DE01FC240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020BE7D7-BEEC-47F4-87DB-88EEEA02B310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19F980B-2B2F-4AB3-B4D9-D0062DA47889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0E1B4A75-A1D7-4A35-90FC-2DD82138091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9F06CD3F-E6FE-4735-AE71-0FED2018AE5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374A5A31-6F4B-49A7-87A3-9E911F2ED739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F8CBD3F8-FA4A-43F3-9805-51ACE66B288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94153D79-4A9C-46C4-901C-7802087B3A9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ACFB344-E424-466A-B8BC-EAAAB4B0A6C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0FE708BF-7BEF-43B1-B05E-897CD3744FD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B9B8B0D5-CDEF-42B6-B252-BF2C02E0D79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4B78FC60-6A94-4C07-94E1-872CFA25354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18E79274-3762-448A-95D5-E7DBEDFA9911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A7383753-24BF-4A8E-9491-2F3717D8D82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8AEC6667-5BE8-4581-B350-333EBF9379E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39745D9A-08BD-478E-95EC-9A01FD153CC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40638FFF-1D2B-4BF7-9D9F-998EC3996ECE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1A28E9A5-6BC1-43B7-A540-CBCB91481A8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703B85E4-4513-4E09-949A-48568BCBFC4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D970E507-85B0-4F24-951F-96EFCD81CB0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41A1E67F-F05D-4157-BE9A-21BB11DAF3C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74D8E3BE-67ED-49BE-8079-3E456FA1A17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7CFC92B0-AF75-4466-88AE-802667B0483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2794FBAE-240E-4E2C-848C-A8597390FCC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FBF26AF-DA4D-41BE-A572-A2FE38F81EC3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0144E59C-CA49-45B7-87BD-77E20F0C7758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7B13BC76-BC7D-4C50-A985-D80475D5130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1921252B-2ABB-489E-B27E-2355899DAF94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844B72DA-787D-4F66-B7DA-D4555BF798BC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121920</xdr:rowOff>
    </xdr:to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2AFB3899-D2AD-4978-9FFE-FFCB876DC799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6CFE0736-332D-4244-A285-61810EA8A6A1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C1071C97-8318-4F2C-9B1E-379D5B7739D2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F161294-FCAD-44DC-ACCC-143C445EE0EE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8FF457C6-26C7-4326-B24E-4DF661C06930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2FE21A7E-886A-41A4-B165-790C7DEC2278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121920</xdr:rowOff>
    </xdr:to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4000A213-FF41-4D36-B620-8F483CF3D859}"/>
            </a:ext>
          </a:extLst>
        </xdr:cNvPr>
        <xdr:cNvSpPr>
          <a:spLocks noChangeAspect="1" noChangeArrowheads="1"/>
        </xdr:cNvSpPr>
      </xdr:nvSpPr>
      <xdr:spPr bwMode="auto">
        <a:xfrm>
          <a:off x="5905500" y="142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C90C8244-6C53-4B78-B1D9-11C73D626B60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5F2FF6BF-1716-49BC-A95D-F828142CA24B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8FDDD103-1EEA-4AE4-9289-20C530403EF9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60EF1C0B-2DEC-4D9F-9A99-AF011F3ED355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CBA4E16A-DAB2-46CE-87B0-64C76EB4E672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C02E18A1-94D2-42D2-BB77-99635226F5FD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226D0A3-F7A3-48CB-8D26-A77B8782708A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22674E5C-7C64-4F3A-BFCC-06BBF4AABD82}"/>
            </a:ext>
          </a:extLst>
        </xdr:cNvPr>
        <xdr:cNvSpPr>
          <a:spLocks noChangeAspect="1" noChangeArrowheads="1"/>
        </xdr:cNvSpPr>
      </xdr:nvSpPr>
      <xdr:spPr bwMode="auto">
        <a:xfrm>
          <a:off x="5905500" y="343662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887AB9FC-D41D-4A5B-B954-9EA58D425B5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BFACE76A-167A-4275-9C01-ED020463CD04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6B848CC-192A-4F16-A6DB-D9228C6EFFC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F9A06F31-1D44-4DDA-AF83-9B97E277C660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7B73DF9A-BCCE-4B3A-AD31-09EED8DC0152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4CC65E7E-68AB-4CE9-A128-E4BDB3E3148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56506D7C-2610-48B0-8B91-C717F959518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121920</xdr:rowOff>
    </xdr:to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2A9B75F6-2C03-4ADA-AD93-BDB96C6BBF2E}"/>
            </a:ext>
          </a:extLst>
        </xdr:cNvPr>
        <xdr:cNvSpPr>
          <a:spLocks noChangeAspect="1" noChangeArrowheads="1"/>
        </xdr:cNvSpPr>
      </xdr:nvSpPr>
      <xdr:spPr bwMode="auto">
        <a:xfrm>
          <a:off x="4183380" y="1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51A70DA-58FF-4153-9D2D-D97E5C62FF8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0016E890-58E9-42FA-8A12-55F528106836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34065AB9-7EB7-489F-9B5A-922D766C515A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39479A54-7494-4512-BC62-759C3EC4A4AB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6F6A7E8-4D05-4C5D-BCBC-90FE580BFC84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CBDCF0D7-3FE5-4C95-ADB0-D81CE2EEE285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52EF5FFD-0B9E-46C7-9BC0-CF5775E2702F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F392CA46-DCC5-4587-BE2A-1A1F9CD915BE}"/>
            </a:ext>
          </a:extLst>
        </xdr:cNvPr>
        <xdr:cNvSpPr>
          <a:spLocks noChangeAspect="1" noChangeArrowheads="1"/>
        </xdr:cNvSpPr>
      </xdr:nvSpPr>
      <xdr:spPr bwMode="auto">
        <a:xfrm>
          <a:off x="4183380" y="325374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111805-2D2A-4CE0-A374-170C73C8D9C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C92B841-0DBA-428A-9574-908D3F33B34C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A15FDEEF-1E26-439D-89C8-FFF783A0E52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12D657B-4929-47A6-8F0E-99E8C352CE6F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64C20B2-70DF-4E99-9225-2938EFEC51F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BBEA519-28C5-41C3-9600-3C22533CBF0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EAE4BFC-35D2-42E9-B9E8-5A2217FC7DFF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5CDFF898-1DC5-4FBA-8E1A-9F83279F51C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07763AF-EA5A-400B-BD06-52ADF41F71D3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0903E47-98AA-4BC1-ABEF-FB485CB4FB0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16AD7A0-7C7C-417C-8433-15C429217FE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87718054-834F-44AB-A483-C1EE4FCD123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CD579B3-79C8-49F4-BA1D-656E531BC7D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5D25B16-1F3D-4127-BC88-BF74ADEEFFA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E32B365C-B337-4111-B000-C3D65DFCE093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53ED5B9-0BC5-4221-B877-1000EE6206E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700C00F-2331-4937-A78B-61D778D6EC0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87B51DDF-4A73-47A0-9D25-7F20562579AD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683658D-84F1-4A62-8BC7-D232772E11FF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7FE66C0D-412D-4455-A2AA-41DE17B7590B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9B2529D-F7F6-47F4-86E5-365B5C1D5B40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2897C07-2E0D-4314-A3DF-E48E7AAE37E1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20541804-5286-49D7-8D58-40945ED9809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09F75A61-230F-4C94-9040-33494760DAF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FF7A217C-A29E-4EC9-997E-AF6364F04D8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3B1592E8-C31C-4264-918E-C82289C2735A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5D39FBB-872D-43E7-90D2-2D55495FD9E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482A9A91-737E-4B03-BC5B-C40D5A2D3CB3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987BAA5-9F73-426A-AFE1-9803A28F18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E5170C64-9D00-46AF-B527-03B487A05AA5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51227D60-291A-40E5-8768-82A4266E8A03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7E9DCE5-3C1C-48A1-9735-013494A387FF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F311F70-6F55-479C-82F0-58D3D544502D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D341B313-BCE1-444F-AA85-3700AFC59321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73E35A2C-844F-4A4D-A6B9-3150F5C39F6C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7BD8EAD0-CA70-4EE0-B98E-C010C013DC7E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30E51D3C-16AB-4BFB-89CB-77BC12DB1A0F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8145EBE1-B34C-4B39-AB3E-682F2AE60840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DB420E0-3D10-460F-83D8-D38A3285D9F5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C2B10290-403E-496C-88F6-87AE540253B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992F345C-A9EF-427E-8244-69AA371A509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D872B027-E72B-4832-98C4-B75F8D5E7EF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6FA9FD5-753C-462D-BB4F-76F0A640BF8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E3A04497-7EF9-4DCB-AD99-F2287BDF5ED1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BF02FDCB-EA0B-4638-A25A-A11A0A4A3363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EC398109-87A0-49CF-A3E8-65748D7DB00F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EBA8335-31AC-4E54-9D9A-71BA1957FE7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81AFFAF5-8992-4086-9E32-B23AA1153F4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8D61E747-992A-4F2A-BDD1-4511CB7D6B5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6F7130C-A4EE-4DF6-9922-2DE8F16E94EF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DBB574E9-1F2A-4890-8618-2E36BBF7DD51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B598228C-97CF-4B3D-95CE-8C7248FA650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91E4892-DC4D-4E97-AD73-F0A3E7B61578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E59D4DEA-A36C-4E97-965B-D5B4FF919F85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2C83EB28-6235-4F03-BA8E-EB529565A5FB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94ECD9F-FC6E-4C91-BB3E-8E8A62790343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41CE765-C0B8-45FC-B9FE-CC9EC2FCE97F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336949CB-12DF-4AF7-A112-7F9192113A3F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8A38323-09F8-400C-89BC-80123BF8F2FF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0D77D56-D95A-4C09-B280-355483E1626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E2408B8-9BF1-49B2-A9D9-DE1BC69C65E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5B5A89C2-C06B-46A4-A56B-3686B24722B7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48DA52D-2D7E-48A9-BB8C-7502C8B9803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30AF7B02-5E10-4F5C-8DC9-0AE9E090AD41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B0F0F5C-02F3-4C94-9B14-DEF59055A57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E3EDD0E0-2CB4-49D4-A3C3-7B21064BEE2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197B98BE-43A0-48E2-9094-B34084D30D7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4AA05514-915B-4A0D-A8A1-B8091D78E9B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B73F1B2-11F0-4CE2-BDBA-80B2AC766732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0443288B-703A-4109-9370-907A85BF90D2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F9AE1777-F98D-4D7B-954A-944BFC31CFE3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E80F90EF-85CD-4A99-8055-F0FA120907FE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79862236-DC0A-4A30-85DA-147DE0ED227E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2E11FC41-4AFF-455C-A020-9A8C8E4520C8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5FDE8A21-B71F-4300-940F-CA55C032088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279D78F9-05C7-4C01-9593-10E8C264F60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B08D69E3-4D43-48C3-A6B2-C2198BC1E05D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87874AB5-430E-495F-AB3E-A23967F0D63C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82393613-6E19-4284-9ECE-B0B19D7E860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E0D9F45-CFCA-47B8-8604-528C84C4AD7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6931D601-800C-45C2-95C3-58435B007346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A70BF565-3775-4E40-BA7F-01F74F49CA22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FBCBC61-3617-4A76-A4FF-238376288CD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D6C6B42B-1BAE-4BBF-A194-37808C8FB59E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BA5479E-F637-4338-8865-73BF4D7C8F6D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CCC37037-CC20-4B1D-AD1F-4AF2C5ADDAB6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3D18F5-D7E4-41D3-AB13-13DFF7487131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AC96A92A-60DF-4607-A947-F7A2BF857E3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D2AB7164-BFAD-4DDE-87C1-09033CEE66D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B0D1D035-4069-412C-83D9-FC81C38FD313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E246EA5-6262-4ACA-9182-8A59D9E233A6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9C3FDBBB-5A88-4E56-A51C-7835A6B24676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DBB2E2C-E56F-4A44-9043-0B3EBD301F0C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55F17FCB-81B6-4571-B3B7-6031E56F850E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DAEB37F3-1325-445B-8D42-D42546047208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1E3D2D90-A339-41E9-8F23-830369A299EA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FADA4569-6953-4B19-B725-48184538E63E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AAB01CA7-B0AD-4768-9C45-391D95C5151B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350EA56-1B28-443C-A832-1D93BE431F3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D0D2B181-ED29-4647-AC3A-28E88DB9352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79F4EA4-6AA7-4E2B-B312-9CF44EE834C1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16400895-9539-42A2-9543-98756B23C36C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0532C57C-0BF7-4693-B0CE-A3B2F39120F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78530202-C915-4FEF-8E4B-D3EF26199E7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8F23229C-8233-4311-913B-A27425E7FAAE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DBA553E7-6C0A-4C84-A8CE-3BD927D74429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93369829-35F4-4DF8-AF0B-FE5D3F2B2F47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E6FF9A1E-C60F-48D2-9724-0B442C1F9376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59E94DF8-12D0-4DD6-B4E4-D0B5EA58EC24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ED64992B-07C7-47B0-A870-FD40E728F2DF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91A1DD47-DC95-4745-9D8B-1768B48DA75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15777592-E730-4576-8C1E-1CD523B09E2E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9D4E2FA7-4113-422E-8E77-74DD4595533B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882A2253-1162-4410-BAA8-4E8BD15FBD2A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AE4AAD6-FEDF-47B3-925D-D724E4EB6F5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8D09D424-494D-48F9-958B-31DE625DC36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24833B87-A982-4F9F-8783-40D7ABCBF3D7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CD2A1B7A-F657-42E6-9C1A-3FD4587DB030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F01250F3-9B05-451C-90F0-F2498D696D8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1C1B3B8F-771D-45F6-9A06-AFA1A3F8086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0AB56F4-CC5E-4BA9-95CE-37E1717866D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F6BEBAC-0082-4D82-B0E4-FBB0C928837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7BC187A-1746-4ED1-A699-08440DB7A16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CC7366CD-FB33-4209-8625-6AB9470FDCCE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A83C1497-516D-489F-80B4-1D54C5CFDEDE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3666EE82-4B71-4317-9CCA-F34AA5AB85B5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0AA514EB-D31C-4E78-A2F3-27B3F66BAB9D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DB07C9B9-F562-4BA7-9446-20C6B6B3F2DE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B84268F9-1CF0-4393-96C7-C8B0EFA10138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403E63F9-9BB2-4B65-ACCC-119EC2165C75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EE82A013-9836-4B0B-BFAB-D42C3545A267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4D51D486-74F8-4081-A0DC-786036C5E128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E25D4811-F1AC-468E-A109-7F5584732F0F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805DD4F6-7216-4E36-A944-DE05C24612B9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C52CA439-13C0-4219-AE46-BA27A88153C1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38AB537F-A348-4194-811C-8CFFA1BA07DE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60070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3508902F-82D0-480F-B50C-113FB4B1AA1E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EFB76D10-64C0-4DEB-8007-E810264B07E2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58F46FDD-610E-482A-9E61-001D1F173CA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CCFB3BDA-F61F-4674-96BB-DC1BB64726B1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AA17298E-AD30-43F7-B266-F1635F52390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247DC9A7-95CE-4630-B256-0419E187F124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AF2AA6D-416B-4140-9EF2-7162BC43DFF4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426190D1-80B9-4D80-9C31-CB38034C6C7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4805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120E3FA-BD1F-492C-AD2C-4C326D7294E5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D4EDD077-783C-4041-8409-90C6438142C9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48771B59-CAC3-4F11-B144-8B7D380A7E9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242127D9-CABE-40A5-BD6D-16C83FE4AEE9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DA70AA8D-45B5-42AD-B493-51DBE2C0CFFA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626CA141-1289-4D9F-B567-217FE53C9370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31D146DE-1DE1-4223-BACD-CBE89F59ADD5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3641AA06-DBB9-4C46-8D85-50423B470F89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4805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ED14F07-D7CC-454C-8515-6C58B1CD90B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5ED20CE-57D1-45B3-9A1B-3055D39D0C7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BE176E8-1CBF-4950-BC8E-BB4921F8120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3CDF2AF-D4C3-40CE-8E58-C34D2557C14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8EEFF64-7A68-4C6C-88F4-13D2FF903871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5A18A17-7A2B-4552-A6FA-F4B4B9B75EBB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A34A33E8-342E-4A41-9997-43D720E76EF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F91C1D1-8E97-4515-B3F7-702DDC15794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233F704-751C-4338-B20B-ED89435C1283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58C9DF0-FE93-4171-8D39-AA32A3F9BEE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4BC9B21-D661-4F0E-8C6A-94798F3EE444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E3BF277C-208B-4824-9DD2-70C16ACFBFF9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9D1941-82C5-4444-B010-0ECBF161FCB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4431BA2-512A-457E-9D6C-F214241825BC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7EC62BB-A076-4115-88C2-3ACD8F48342F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990EF59-1B0B-492C-8C7C-D93A179588EC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EE65DC84-BBBC-4DDC-A509-33231292E47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AE7DC3EF-36B8-4490-AA0A-EDD7E5A74FEA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A4AA407-46C1-4F72-B0E0-AFCDCE1042EB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C93D9946-D6CC-4C89-AB35-A992877F5600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9CCD0182-AA2C-4989-9B03-CD20D0AB8531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0C60432-70B6-4CF1-B775-2C2E4F427BB8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2E9E1318-907C-4177-860C-EC47902E08A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7F9AC0EA-9CA6-440D-8A53-FBBE578CF23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BCC30F4E-2177-4726-BBF6-00D485E3F2C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DD472B0-D5E3-4BEA-A1C9-2F7B396D71D0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0012025-9A54-44BD-8BC4-E2D7625EDEAE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2ED31921-DF31-46A9-8549-896C1CE10644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E6E71ACC-E524-452F-865A-4A200441B55E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62D6ECDD-539A-411C-8A28-4D7280D8B0EA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1919CF0-DD22-47F5-9A20-626B59896001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6E470C1F-E2DE-4FC5-8AE5-4DB7366F277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C57D4FD-3ADE-4B8A-B753-DCB3605BA528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F38ABEF0-88A5-42FF-B74F-C05384ADC63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E2B5270-2E79-4E83-95A1-B5E7452C0B3A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8628BC58-362D-4D5D-A2CD-2003AF5DFB4F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67D1F9BC-AC00-4C60-B13E-F51792F2418E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453F7E0-9572-4D27-94E5-7A7F0901694E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B9288F8-B848-484E-979F-857FF97F913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72B51601-6A54-4511-814D-41019FCD4EB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8FCB6D7-9D8F-4DE1-8741-6DC2C4B9117F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A2E951D-9AC7-44C9-B627-4B95EBFBEC96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44AEC84-A8D1-4438-8E5D-E98B3D5D459E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A2448B20-7CA9-4DC9-8C7B-DB39C044A30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38C5F1F6-7575-4F54-B2AA-3BE646382F7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453D8B4B-2F24-4C1A-A9CD-35595006B2F0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1E9E744-AEA5-4E66-B0E3-ACCC724C02B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37FD2B87-3615-4335-9E0B-06C08B6FD66E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3DF1711-214C-413A-9DF0-74A4F4933E8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B5BEF0ED-E833-41C7-9B86-3D60EDE74F02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79734BDD-D3D8-4828-9B9B-5FD5681CA1E0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6A413FF9-12D3-4D69-A91E-7053D266403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A1095BE5-AED9-4D64-8994-571FFEBBAD7D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17AEBEBE-7780-44DB-906A-C8308BA0A8C0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8B047D2-CB4F-4CC4-B78A-A7AA02B32B68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529D6A36-39EE-47E2-AA2A-6DFBBF77FA9B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D4F8603-3E0B-4790-861D-111BAD2DB987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1CA95023-AAA8-4248-AB4F-C4C9309A79FF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F944C95-579E-4F40-9C2F-0EBA2ED6D84A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6C9A6A16-7ABD-43D8-AAC0-610C3DBF4EE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F776CB5-60C2-4682-AE17-2C14B63BC6D1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0958AF61-4D66-4B73-BB00-7268802BBE8B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DEC484A6-40B3-44DF-B406-505AACB16A25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9EEAB41E-20D4-448A-B144-5B294AE4177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98C05F2-0913-47CC-95DB-C0CC9D8397ED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C238FBEA-8390-4FEE-AD8D-0B691BDAFDD4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9F12FFE7-47C8-486E-921D-349F15281D9B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1C0FF897-1B0F-4CB0-A35C-0480CBDA18D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3EF2B6AF-E038-4A2E-901C-21B95EBDD279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8C5757D1-289A-4816-B6A4-037145DDD2DB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7A5F99ED-D86A-4555-9AAA-E2AA35E99F1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AFF08EEA-E52B-49B8-9CAC-510AE4C5B431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BBDD1ED-6A92-44E5-9747-0B902BACC06F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52B611B2-F77B-4417-A86F-6E830F0B0A21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5813AC52-29FE-4760-837C-8851D684640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B9F014D7-0957-4E6B-AE28-DB45759D1D2D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1E3EE0D3-F7C2-4CD1-988B-CFB56976C0C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4EBB7CC-43CC-40EB-B8E0-0761171F3A6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FC5244E8-FAA2-4087-951C-3DDD67AB372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BF06965B-E705-4F58-98DF-DA377980BFAF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5877D80-F753-4613-BD74-15E3B29A1BC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A6F27101-5B16-4412-8403-EA638E56CE72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123A4F25-067A-4DE5-8E84-6627D2818F1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404F3988-378C-40D3-971B-5537BBA28147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EC05C434-2969-4252-8023-BBCF6EF224C2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718012F6-084A-4EF7-B4E2-435FD504EC75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E98BA8FE-4919-4FA0-8EFE-5476413BFD04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80FCDBB4-D2B0-41BA-A0D4-343C2B5455C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A45DC5E-94F3-422C-B5CC-69D0A180338C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18BE6BF8-DE2A-4C7B-95B2-4DBC3279806B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8AF1F286-9B7C-41CC-992A-6BBD0D9C14EB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2FB1191D-E946-4377-A6DC-EA1BCC6625D0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9B12AD6A-45B8-4F45-A42F-20BC6051EAA5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A962834E-76BC-4D7F-A4D4-9EBECA36445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7124F079-A388-41C3-B3E2-BAB0312B7451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493BA3B3-ED95-4F26-8985-5E3E117F6273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988B466D-43ED-4883-A074-2F6910B7816B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23696BB4-9E22-4EC9-893B-CDD2ECC769D0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88118449-E1AB-4B5A-BFBF-0A767B0B332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F284A7CF-0903-4CD0-BF5D-E93B5252970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714ADAF8-457C-4C83-83AE-50FBD07842C0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263C07DE-D379-42C7-8CF7-9A3C0709198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90598B64-201E-4D1D-B9A3-5702F199F76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1DA5623E-94A0-46B6-BC71-2C6C3182297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9A1C4C06-9DDD-450F-94A9-8A367A8DD0B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87B7E8F2-35CC-4682-94A6-DD9EC72F6EF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76BA5A36-9D50-4C2A-BE15-43525C6469E4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4CD859E2-25C2-485C-B48F-C592D274E64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207E2019-1D26-4C23-A8E9-1447529857D2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40C835DF-AE4C-4D5E-B23D-840E4B5C7D4C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58F1B1E-E63F-423E-ADB8-29623F42B9E1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3B9E23EC-91D0-4BAD-B51B-AF3B3FE54A32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F99D697D-D5B3-48B0-AED5-97C05172D78B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BBF901EE-7C5A-455E-ABD4-EDD6F2995A47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A7BD33C4-3BC2-417E-9B52-4F6DE7F58C2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3B4BFA1D-7A52-44B6-B935-1B021515AFBB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1AEABBC-2190-4C55-B0EC-779D1112E70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CF6740A4-13FA-4A9F-9DDC-DA8D9BBF105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8C34AEDD-4519-4F81-81AA-6C183227B0C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329DE2DC-F890-4218-B269-674F8FD4360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8565593A-4C97-4FE8-BDE5-36349CEE4F3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6EE786DA-EC19-48EE-8BFD-39D45422CE55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2A93E17-1913-4FCA-ABF2-641000831830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75F222C5-418B-4278-96D8-9D46D9EFBAF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9F27AB1C-2CC7-409C-8ED4-CA8A20476F3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42CA7F31-7D6E-4321-89C6-59968033343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2FC78EC2-8F8A-4DBD-8E4A-A1BC4ACA728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5E669701-7A8D-48B4-9F84-3E58D597728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5675E5DB-65C9-4158-90D7-5DAA83D59FCC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431E2FD0-4AEE-41E5-BA16-3E1F8BB8BAD9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6D5AD95-44AA-4CF3-BD84-C0EAA292BDD3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2E88AB88-56C5-4F33-8CB9-66E02E0CEDF5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2F5E493-EAEE-41E4-B688-DFA3EA4C1C81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77E99719-D4ED-4EF7-BA6B-7E303E0B1C58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2D0861A2-F535-49B2-8F15-D15A1AA52A8B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0559D917-4533-4A5A-AFCE-E6CB43AA2AB0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0C41DAF6-F0F5-4CFA-9F17-3B9276D5361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6528A38C-3E43-4A6E-B04B-8AEDA61ADA4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CC97CF3D-188E-4A46-B812-B3E01A9E056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A95B15EF-169A-4348-8AE6-B085F60C668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3EFE20E-E5F3-4604-B038-CC7813C9475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5E920284-2F4B-4D42-B741-79B51668398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84F1B3B-70D8-4323-8712-7247778C598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8D8B75DE-A219-4ECD-8DD7-979FF29DAD1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5BB9B82-D44F-4652-A8A5-0A63EC2BD356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2E1219AE-399E-4CD2-8DBB-848C8405FC7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4B77CB8D-AE3E-4471-B856-C927FE3088A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97799F70-242C-4D5C-9D72-39A8CD34EB35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CE5549C6-94B8-4E8C-AFEA-C1E1C9A68566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E23EDAAC-F615-4210-97D7-8AF4C5792E99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2C5D9D78-D675-48AB-ADF0-313D7CCB8452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1B89B231-5CB0-4FB8-90EC-9B88A0CBBED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30A1DA6-2AE8-4446-A172-9260ACB71398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ADBC82B2-2005-41C1-B7F5-834BFF73BA3C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85D8906D-DC56-454A-A8D9-7AC5B7D0993B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AD91C7F8-55D3-4FDA-A47F-F371D59DE15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A2A30915-5592-4FFD-8244-E6586EF2E4A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3CB5F316-0A3F-44BD-B483-262F5D0D8F9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88DF9714-1EF4-43A1-A983-FED4CEFA90A8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44FC7F41-E31F-4784-B6E5-43585F4548FE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2DE4C2D7-1EBC-4DC8-B58E-59181B3AFC44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DCF9E91C-A512-46EC-8E40-5F6C5D3398FA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93EBBC28-0B8E-4600-9863-DAE2669B41CC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932653BB-B35B-4E9F-A612-12002F48A9FF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6BA68D15-7073-4695-940F-8C0FCDBA9B6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EE2AB688-0BA8-4167-BA96-E293EB919A5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F817432A-AC6F-4935-AAD4-7A8ED826122F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C2F1BDB0-1F87-4459-87DE-70E159F4349F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E2D54245-2C63-419E-9FEE-9AE10E6E00E1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8BF2E204-3303-4470-8C86-E4476BC8006F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E0E952E8-5419-4396-8C95-E1DD64513724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E5D627DF-8EDA-478A-9B3E-876F8E6FF527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01B31DAA-10B4-4353-8FCE-27B2E0CA516B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A268987E-B176-4651-A8F3-7E473E77E94B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49B96AF0-7874-4792-916A-9BBEC15A89FF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7BABA675-0283-464E-B9CB-A1FCBE58B1B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8B4D8EB0-B04B-4802-836E-DD4EA11C8D8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E450C899-750F-4EE0-96CF-70361492F520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BF85B3F0-C7EC-471B-A13F-9B8F044B011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697BD907-7372-40B2-896D-616BFACD46E7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ED489DF2-A427-4D43-B314-113EA5A5FF2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CBAC052E-3295-4FB7-B12E-295EA104D0DC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7EB11F1-BF1B-4FA9-BE90-173276A11C81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58358FC4-4099-49DC-A27B-24E541487AE1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76CCC50-5683-4400-AC2B-C47367A626D1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77EA0259-815B-4B92-8D8D-0F7C1E2F680B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B08FDCB4-1715-4341-B4D0-35A81901584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69D9B394-08D7-4F13-990B-CF6C75C0AE8B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69927076-5D73-4664-8B91-476A81BF3878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FDCA13DB-AE4F-49AD-B315-F694768EB26F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FEFCC4EF-81C1-47E4-8F19-25DD9DDFDC0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FC7C7059-3E65-4222-9B97-55E3456A9B0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32F5D397-3087-477F-9970-60994E47B9C8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2E87E2D7-C897-4C02-9551-87EAA6C4BF68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1B2F4250-634E-4505-868F-65C6B9BFC6F2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89215EE6-DAB6-4075-ACEC-0F3741225E0C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42D77459-248F-4F63-A129-8169FE46FDC5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BB16C962-D008-48E6-8B0B-D3631264F32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CA83A3C7-5BA0-4187-BEF1-D5F064BF545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5055C384-8CE6-4B2C-85EF-B19E0BAFBEB1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96023ADD-05C5-4EE6-BE69-B52DD2EF9C63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052B2E0B-06A5-4736-A2BB-2D90D973B3C0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F4A00D61-8F58-4A31-912B-056CF9225CD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1BA1218F-9F40-434F-9CE2-7D12A262BC3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C11FBC05-322F-47BA-B5BD-BB74E02AEC2F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FF89B21D-E069-41EA-9166-AE43160DCA83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C4F298EA-7A53-462A-957E-C419BDFA6D98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B9F94DFC-6809-49F6-A5EF-E8637DDCFEE3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72B84C4C-8F4A-43B7-942C-259514C96DFE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8F79F5DC-22B2-4358-ADC4-673726ED8B9B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5DE3F47B-E967-4196-B443-D44189936B81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4BC556BE-C062-4C96-96FC-63614BA9CD2F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D23FA2E9-0F7C-4117-A78C-993BCC286899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A929A721-6FA0-4B7F-865C-D6484A68BD6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9B2E9FC4-CC30-4E2B-9EB9-90028F224F7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EC771D31-50F0-4FF0-91E8-722B3A533D31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E8592DB3-8F45-4F76-B5A2-CE019715842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3119EDCF-9049-453C-8D6B-2FF1E3A4ACF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906B8A8D-7681-4196-B4BD-2B3C10D490B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4E8936C7-C0B7-4C07-B751-2C2DEA4AB576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E6BD021-9BE7-47B7-910E-D134965D33BF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C7D214B5-0D52-415A-B737-BD0DF610E8B6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AA09D86-CC2E-4800-9FDB-7483612A54F0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28399DAF-E13F-40F9-9032-FC7E2A618150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1E7893EE-B2FD-4419-B803-5A33A6462AC0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0EC1111D-2F7B-41C4-90A4-9B855B78A61C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3F1477D0-D14E-4255-941B-94301675CF0E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EEE7D015-F953-4E42-B777-A4A8A31540A8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CF307DC4-5BF5-449D-91A0-B4A6F510250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E58F6BBA-B0E8-458B-93E4-7A1FC141585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2A142635-DE6A-4BE7-9B43-57711B102F1B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530816B4-E740-4546-9C4F-A6EDC544E68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106AD7AC-C6C2-47B7-AADD-0122EA3E291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6735326D-D614-4C1E-91BE-90A05D47B12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3B302CA3-7805-499B-BE5C-59493F6661D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0A202CDB-5F67-475B-ACFC-A9609100260B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E489E470-EB5C-479C-9154-3326C131C19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4869C7EB-86DA-45E0-BDFD-6A81BB795DD7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9CF6ABC8-AF0F-4B1D-A968-6040217E4CC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3DF148F2-DEFB-4E24-B3D4-5A42B8C3EC82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946102D6-6DE0-4FFC-B886-B52F2486F76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DE9BD1FB-6B3F-4EB1-B1A5-B010BF22D85C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DC62ECBD-A2DF-49B5-A8C6-445A129C808C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44F11DF3-0203-48A5-9DBF-673A5559C8AB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2DD44C0B-524E-4DD1-ACD3-25E99A8BB584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6F61622F-5066-4496-9369-9F97AA0AF58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2EE80B93-F815-4397-944E-82DF0A6E511D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5F0FE695-383A-42B0-BD6A-FB11DABFE5E6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F93467DC-7660-4F93-B948-C00FC9C3B696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F118AFB5-14BA-4DF2-80C9-BC5C6C71B191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55FC5DFD-7DB7-4021-901D-56BBF2AE5CA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C7E51801-C3BB-4B3F-B6A7-E53F444F24CF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275F01E3-FEAA-48AC-B716-3C9DD4C5A33C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4A79E08C-DFE0-4E0E-9CC6-E8F98E240768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BD7890B9-20D1-497E-9EED-59847D88571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6FF863F8-4DC5-49F6-B83D-B774131086A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7FADCEB5-BF33-42FB-B0A1-4620F9DDA5AF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0F586AE2-BC2A-45C7-BBB7-DA74C0E4A73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22E34D7-0B86-43FF-A7E4-1C3EAE519BE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AD7E065D-DC7F-4630-A77A-40DB4CFDA610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C6364E07-6704-4BF9-8D3F-F3ED86DFC7A6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7F12ED42-4514-4BF6-95A5-0E8FDCCCA07E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C0708B0A-71EF-40DB-8BC4-51C0B7C1B8B6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6317C6C0-BD2F-400D-A306-516CEBC56D53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3F56346-0EDB-4D9D-A139-5F3A16F719AE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CA992688-F703-4945-8853-1EACF1C64566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15426527-872D-4EA0-B42A-9C24281AAD8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970A2837-2576-44D2-8FB4-1E4A000D298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2F2BE9F-5228-4F21-B830-B2E6B449330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13F80154-817A-4E61-BC9A-B4D515C4F00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C022D581-C992-4F09-8F47-588D049501DF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676CB8E8-9B1F-46A1-AD53-32402CDF620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B4642BC2-C28B-4E28-92D9-2D37687E2B4C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61668FB1-03FD-4259-8EF5-5F897A767D0E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F9931A7-FBFB-4255-9323-1B90DA941A3E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FFF25B55-BBBE-4DFB-8BD5-14F4BAAB4352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16FFE3F0-25A0-4C37-8D10-13F55984DC73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362E025A-6D78-4E38-BD72-9059F861319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E02BBCF0-E49A-44AB-A6B2-8767106D1C5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23FDAA6B-432F-4EA2-8ADE-67A167519638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9E7BB60-5FCB-491E-87C5-62FB5754F95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101CEDE1-1644-4969-927F-8F4CED7095BF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A7C11409-5F82-4654-BFA7-F669CFAA243A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5325E271-4AE2-4D04-BDF8-2C115D9B6B0F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EC4D5D0-45CA-4D32-9C35-50821FB6BC68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55F2C810-DAAA-4E2F-8009-50748F6D5AFD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96F4A5FD-EAD6-4D47-A0BD-91BBA968B368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58EABAE0-BC3F-4D1F-9616-D5570D80944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4178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5072B278-C075-4CBF-97E6-E09A6200FD2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644DA94D-0FDB-4B88-82F2-DBDB738EFF6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4D3584C7-0D65-4985-9C32-9C91CA569E4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8516E0D7-2E3C-4B36-A26F-B7B1A8C3BA16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C9F89E4D-D748-4FB4-9E00-7028B0EF17AD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36AB88A2-88FD-457D-976C-E7BBD970113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DE72F72F-7AFC-4D6E-A89F-CA0D6E65C712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1E19399F-536C-4329-B896-791788A69FB5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976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020CF24-E8FD-4DCC-A8EF-276AF4F8CF36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C131B230-841D-4778-9B60-F22488BF58B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6CDEBEFA-E97C-488B-B821-AD2C5C2D907F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81419F00-9933-454A-9999-4A7E8C09E534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39E9BFE1-2204-4B16-AC17-3E4A06350500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6996E8BE-49C3-4733-A690-AF142CBDF04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E27C2651-EE66-4223-9AF7-AF75B25660FD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ACA4E5D5-3ECB-4FE5-81D9-CF92D4D4228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976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5D4A2A6-7A34-4147-AECE-4D671A22DE7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8926842-D876-4635-B071-E940E55B99EE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81FC0AC-8C72-49AF-8FB0-11B076DE2F5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19ABBF2-1E08-41C1-A469-C898B45F4B2F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BCEDC07-4DCF-48E7-B587-F3C36CE3747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A99A31C-55AE-4439-B41D-353F291F2DF1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507A10D-5396-4C28-A11C-A9C86BCDE8F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C50EF4C4-5FEE-4196-AE18-5E0309015AEF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3EA7AB7-A4B0-47E1-8B0E-28BC1D1B5B37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74D16678-B5B8-465D-B4BA-FB95F6C30C90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20B8A402-DE06-4B5D-A133-BF7F527C079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3AF4DF3A-1730-4011-9775-7BFF09AD513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97EA945-FBCA-4401-BCD2-7C7C4BAC548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4D390A79-BA12-46C9-8BB6-E6047B4D14B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8613359-93FB-4FE1-B584-964CB8A73CFB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525234A3-3BA5-4A08-BEC7-592244A6775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031D996-0368-4C26-BB03-051286305F01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3FA6FB8E-C505-46D9-A308-5E9F23979015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83AE6B0-473C-4969-8ADD-DA713D72D7B9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9B5A7344-C658-4079-A7FE-583C4195C8E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5BAFB46-1DDB-42F7-B63A-A3300A5A18A5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1041BCE3-3166-43C7-91BA-FD6956615C26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FC82E99-60D8-4127-97B7-8273159D6A1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738C8AF6-5B43-4648-B61F-89C3A7D710A3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ED151FD-BB62-4F9B-80E6-82E816A41251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E851ACF3-F355-4614-A8ED-15B34090FA65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93D5A5B-DD97-4B6E-812B-76B4C30B7AB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37D54928-180A-4AA5-906A-878637B48FE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2E5A10B-C03B-4C2A-A466-FCE660DF08F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E2C23390-4E56-4FF3-AE47-C98486D62A12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4B7653D-54D8-476F-9448-F5CF948EF0FA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6EAF41E0-CC7C-44EA-B950-EA6BE3EFD74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DBE2EBD-C34F-4F14-B8AE-F0649DFAB4C0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EFB5D24-5BF7-4C49-9CD2-386103C3F3D1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77AFBE51-E4FC-4C68-9701-5CFE1BB48810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4901D21B-9980-4991-8610-6050F66D5FE0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B476212-25CB-4BDD-B982-EA9198691F42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D711598A-650C-4E33-8796-CB7CDD5C3AF8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6C8077B5-F365-4C49-8370-177D814CE3E3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9CA8071B-EAFB-4306-9C66-7F047E45DE9C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9E05982C-A48D-4739-9517-645D03217B6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FEB9D0F-71CE-479E-B669-8232D49BD6B6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B5AFA85-FD4A-4F59-949C-14F2341D43A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4EA3DACD-38EF-459E-B98F-2CB6F4F18C6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55A704EC-F075-4B95-9990-B285CE7581B3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E43F499-E5FD-429E-92ED-A6CDBAA0B7B6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D872E8B-50A5-413B-8BCE-9BE248C77311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2E3E7525-675B-457E-9FFE-9DA6A16DA7F8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D3C3042-F44C-4FC8-B6C3-CAEB4F6B8F52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1929155C-EB33-469A-A8C0-C4C056F1300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7CC0B6E-DFE3-40F9-98AF-3A05B38ADF16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AEAC1D5B-E334-4CE9-B874-2BA49AD6460B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DE9430F0-6005-4AAC-81E7-25FCA23E3C4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6F527BBB-5B73-4CBF-97DB-48C461211CAD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19B0847-DA7A-40CB-A258-784BCE5FD2B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BFA96C9F-08DD-4720-B8DF-6F66897C6798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6902A60-619B-4C1B-827C-6CE32D1DD03E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191EE94A-EDFC-4076-9396-B730EA4A900D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7C4CAB2-64B2-41C6-B219-D382C601641A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7CA5AF2D-BD30-4F9C-867B-7D1C0C0CD7F1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C755990-1D31-4CAF-A32A-2F1A4D2A606B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D496EE2F-4ACB-4EE0-B120-BBB64B1ECA5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F27D793-9BD7-42B2-94E2-C8A78373ADB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AF7A2E79-C4AA-40D7-9838-7DCFE4D6A80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29BE96CA-BFB8-4216-9E14-1A37F125D35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58496366-812C-4778-8522-AB34B81CEE8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EDAC3F7-ADD7-46D1-96EC-531FFC83985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4DD0630F-E431-45F1-BC61-0F286422F542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13CA5DFE-4F7A-4D8E-AEBC-AFFA6B1A6EE2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743B0B5-9E52-4CD5-97C1-FE60E7BE62FB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5C37F51-A03A-43B3-B9F7-2AEA042719B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2F7EDFDC-1C12-4FB6-989E-E7E7627E83BB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50F97BF-837D-4615-BB7B-C9E9CECB5A44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A6C234A4-A2F2-48D7-9BC3-F242568EB374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5120F8DD-6E03-4FD5-8856-99A3418F25F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E4F86C66-B321-4BBA-A64D-334274D15858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76340C58-6BE4-42D4-A34E-18B5E8B196E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0EAEFDD7-4B3F-4881-8EC9-D1944B0BA62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61F08394-E8CA-4747-9B01-84B5474F693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18DB19C8-52CC-4BCC-BD69-590226968F6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FE1F34F-7987-4C1A-80AB-DAE0164C8F66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C0277949-0C7C-4CC2-82AA-D15EC07FC52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CE8B2641-8CDC-4847-B9BC-890DA12EA1C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064B1D8B-4A81-493E-87B3-82803230A05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DA40E63-2565-4F5C-AC68-960A3347147A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17F5299C-4A05-4856-BCAC-186646929D5F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2B8005C-A87F-43F1-AAE3-CCCA89079A2F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ABAC873A-190B-4D28-B8FA-F10C115C7D55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730C324-61F7-4ACE-A91B-AC3EE80E6F99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C6A494A-0BB2-4657-8229-34BE5A634C0C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2B8755A-EED1-4B29-B321-273C68112E12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C9A021B5-D8B4-47A1-AC5D-BE7E828DF2B9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FDAFE695-50E3-47CD-92F3-FA673C4B970E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4D7848C8-2182-45AB-8D0F-FA64C2048204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1648666B-9186-4DAD-9808-FD483B8F1845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B7FA8CB0-A4DB-4D1A-84DD-16765F9FEA68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A7F1467-6F65-4B4B-AA0D-455418C2F1B2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B3B3C340-6335-47DE-83DE-E54E5C7027C4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F69F141-38F7-4B07-B0D7-2D5073DC9BD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10CE3BB1-FB01-4588-97CC-D3DAADE05C4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2910C4D1-C799-482B-B936-9949A7C88B28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1F791D0A-6292-419E-81EA-18A4EE3C8B3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60018DD9-BC19-4BD8-BBD5-9FF9670E802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B60EED4B-ED15-4E89-A5C8-92AF20B335BF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620E9D4-14B5-4F3B-943E-65927E7F9AF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291470AC-E9E3-4CE1-AE51-64CE2CA10BC9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ED820DF-12D4-4732-BAF6-C883FE7E9816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9A86D1B5-B1DB-4318-89E3-E85CC40F6B6D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790CDF2D-8ADB-4B7A-A2D1-AC69EC42C345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EEDFF4C4-95D3-4E72-814D-DB5FF10D3DD2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8884BAB-B301-48C7-92DA-BE198044DB82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290D748D-8870-41CF-8DE1-A80FAA95BF35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DF14EF19-956B-4E10-AE07-D74843747066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983D8117-F4A5-4C26-A6C6-AA575E0DAE26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C47764DC-6D26-4FAC-96D7-ADE34CA3B6FF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AFCA4065-9EEE-4C39-96D3-71FE6960531C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B31B96DD-EBF5-47E7-AE64-958C68A369C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9E5D7375-DF69-470B-B8B7-DFD92080186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9CAD8B7D-8974-42C2-B3DE-8B26E6649352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180431D2-BC82-4364-83E3-3EE69CCA875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65F97CE3-AEFC-4D9E-A770-9C48BF2500FB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0B8A41B-F7EC-4764-8492-E8DBC4EBF30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4AA14C1-7802-409F-BF75-35A4471D3775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F7592F60-397C-492C-99E6-14654A40FA5C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2771830-116E-4AEB-B377-A41454ED88E7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81807C12-4F4F-4139-A9CB-A08EAA8FC1E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F036604F-BD9C-402A-9E4A-F68979E14E8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52446C05-01E3-4BB1-BE96-0CE47398AD5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358CA3FD-75F8-4524-BB3F-23F0715520A9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9A853E28-9D3C-404E-8B32-40C1F9BA6892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BE10F23-9FE0-4798-8B10-B0E6F3424AC5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4800DB38-F643-4B0D-9124-130AF6EA57AA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CF1FCF7F-C665-4E7E-A24C-BA3F18A52AC3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4C42404D-D606-4BB9-9F2B-C709070996EE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4FB0676E-DA44-413A-898E-574F379E0437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902D8E0B-BF29-4F3E-B9A4-AE7299FBFAF3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97712C7A-4CFE-4FC2-8470-766907B1A0DE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2554DF7B-4C14-4108-88A6-7C2252F09EF2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70EF5AB-C02C-49CF-BA14-243FAC6258A5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8583C37C-BC7E-4DE4-878E-76C2DA1BA69A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3B01E913-6D13-4168-B376-A3170C3B0469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C16C1A3C-C4ED-46CB-AAA0-22EF64FF647E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590F2DFA-26A2-47CD-9666-4512AFA0699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E7B12F2C-85B6-4FAB-9DFD-67DE01F80A2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6239BDE-00D8-4B24-AA97-1981B88E9334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5B09AF77-30B0-4D34-BAD5-10796F55FBA3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3A07E92-BECB-46DB-9385-7658D2BF5B2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9A7154E2-F04B-4742-8733-A0C2C0D5161C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396462FB-FEF8-44C3-AB98-4EA1F98C9F25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15EE664C-EE6E-44CD-A22F-EA0BCADA2DF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9C99D9F5-3402-4ED0-9417-7A434FBE7A5B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20772CC7-AD84-4114-8D65-A58129E85B9A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F73E79C7-CCFE-4B37-95C1-B69DEA6EFC0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B5787756-8A3A-4BFD-818D-FA2D5BBA66F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4E9C8A2B-8784-4D7A-AED8-A3FD21D0648B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9C9568AD-F816-4C9E-B1D8-79F6A7D6424C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C7EDA3EB-098D-4A6B-AD65-7A027557D62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B5CDB812-D188-4B52-A8E5-BB7C8151737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C03B926-FAC0-4A30-87CB-D3CD6F6F3D0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E8D1D002-47BD-4D94-988B-2C57A88BE26D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A6F3524E-3E3E-440A-8649-4DA7A2993DA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095F88D1-52FD-4C1F-82F9-3BFBE7598BBB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ED94A0C2-BEE4-4665-AE09-79CB83232B82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249D31D2-C3C2-4500-BBF1-D9298911F890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68C804A5-9308-42ED-91A8-4AEB8D33BDD7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B90F68FB-4783-4B8F-A63C-D09341C12818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1C4D72F1-71B0-45CC-B1C2-34970CCFE983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2B8CAA89-511E-436B-BD18-5FFF504DC71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557D6E93-D86C-42A3-B11F-07B9BE109E14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58BF3E3F-380E-4CD0-9921-2D34EEBDFD5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4412078-68F5-4907-A9B7-E654A1BB8DD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9C858130-35CD-4D45-A924-0749F7E2D9FA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A9FF9DC4-7437-4873-9C0D-3DDF9A88E00F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64911369-55CE-4FDA-B2D1-AE9E8825B648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E1C759E1-8F8F-4A18-9116-AD384C425CA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F43FEB4C-31AE-416B-B29B-3D9858483399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610932A-422B-4DEC-904B-5EDA1DBBFA2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AF1F80F5-2075-4170-87D2-2C8BFC5B5C69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7D7ED3C5-B03C-40A4-8101-1B88151E1B49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362B36FE-CFC3-4EAD-BDE6-F9FEB68F919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501B26A-E6FF-4432-8578-158B9DB495D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9F008FD7-4B1A-4661-9C26-1DD526672A67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50151272-0C61-4EDD-A717-5D1A242C4225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64A1523F-5131-400F-AC5E-92D4E927FD6C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2DE1BCF0-2953-4346-A575-5FB9E43D466B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FF230021-24B9-439E-9FF0-B40F1B720B20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5077B9E2-813D-4666-ACFC-877E60826699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17B67ED9-369D-4BEC-9182-8E68BE99D36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AAD4099-C43A-44C5-85FE-8704A97D85D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3C3374AC-6B72-472B-8408-A82447D020F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8CA4608A-A986-494E-8190-8D335DB6E5D5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ED64A34B-DA4E-42DA-8A9D-EF57C3FBEC45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5CBBD5C3-036E-42FB-9059-D1DACF7D0A9A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432900E2-04CB-4B3E-8372-8982E5DF3043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70783DC1-9FFF-44EC-9453-1B3654869F2C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82D7B0A6-3A8D-4584-91CF-0E8C8F3EA90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59ECB6E-2E36-4A11-9884-92E86892E3B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4F66B24D-2869-4AD8-AD5E-0D7F68AAB4A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42E208E6-2D23-4AD0-9461-E5AE9720E6C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45332E1D-7B37-4231-8C3D-D81759488B8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7EC9F4B6-6C18-458E-AC22-7B0FE8FB7B9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75A63121-E181-432B-88FE-67A7D01A9C1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95C6B823-123B-4867-AB96-AA2E651C3CE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F4BF7124-7066-4496-BFE6-B71A7E7AAE81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76B21825-A3BE-4DD3-9E9B-1DA03D9F4651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4E30E4D8-90F8-49F4-BD70-2987CBCF4654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DDB7CD7-B27C-464C-BBAB-85FE93C421E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1487E0D0-DC45-4834-B3B5-06AC9631B3A3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3601CED-A362-4267-A07E-1051D02294AF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DEFE5075-76AF-4AE2-BC51-1A1C6C035B2C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AAD3D72-704D-4762-9E7D-685726C8591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8A61B790-3477-4A38-814D-5E27F07D2F7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D2A2C7E-624A-4367-8C4D-050CA835E844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2F5CADB0-5D7B-4210-BEE9-DD8A2E25B1FC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8123C559-0206-479A-81F3-B8697C8E8FB8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08DD8E1B-56AC-4FAC-9F06-AE5B9684BB4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06B9F5D5-7B09-4661-9658-F858EDDE348E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B655025D-CF34-4DA2-919C-0BF40E3A24B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D05DA86A-51E5-4070-A4F5-61DE50CDA7D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E4D16241-9AAF-4EC2-A388-1CCD1E3B7F69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6436895B-0FDB-4941-9F75-96CE00BD7C2B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B504CFA0-A654-4242-A6BD-6CB179047FB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E6F52A84-56AD-4AC3-BAE1-8C97B47F897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4C105F75-46E0-47D0-8845-D68EE03EAD6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17F7DC09-51A2-4A67-A3D0-A40A1AC8F815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5A5FFE3A-090D-4042-8D7F-D89F45681C1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20C8C3EF-CE7D-4F12-8BE1-5F94634B92D4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0CEEF1D0-218E-4209-9F07-2B361935327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A6655F0E-51CF-486E-B905-813A093ED86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8ADB3610-6533-4F94-AB09-A74388F63C4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F412E6D-9886-47AF-A09B-1E36A29AF0D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20E65AF5-7C2E-4458-91DE-85C86FEF4AE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51332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31ECCD1C-4EE3-47EF-8D37-2FF12B1C1A4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4022397B-8D5E-4F86-9339-FFB5739A2450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2ADD4047-E08F-4301-AABD-504584179915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3ECA693F-91F8-4F2A-97FD-1E77D67994F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F8785B69-7100-4740-99B6-AC17B7FAD441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A3BE712A-95E7-46BC-9D07-681764E987A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9C54115-0787-448C-B2CF-8F580D7324BC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EFA668B5-D475-48FC-AAEF-68A0408A4D7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62103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8AFDF94-DAC7-4F7E-A623-17254A2EF9F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86E6A8D-627F-4B9E-A6DD-84500AF5E780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A155D27-7E08-4C2A-B243-CCEE809DCDB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E97F26A-722D-435F-9F88-17A4DA78926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2E01C1F-F19C-4C7E-BA6F-6E41A3884E4C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C8970B83-5EDE-4981-A176-A4270E086D8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44043A8-2ACE-432D-9E88-0D6C87FE74E7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3F8EEEC-C291-430A-B344-B5E265BC15BD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8D33983-3F73-4B38-BEC0-BEF97D0F2C0A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C2AF6BB-E203-44B7-90B9-5490EA82D89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E496EEB-E571-4A86-9274-602AE9E4F263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2312C4D-31D9-4F9F-B572-8B54E294C3D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3D1AB301-FFFE-436D-ADD4-7CF61E8BB55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13A2AD0B-DFEF-48B3-84E7-C927DD582669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FB8F910-2171-4CC9-904F-812A27C42D50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0E80E31A-34DD-47BD-8571-5530112386AF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5374B02-3D59-4123-9E5E-AFE2A72D118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CCE3C9DE-EBC8-4079-A9FB-A40B89F6475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08925F48-6683-41BA-B40F-95C7CB18550C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3E83DB8D-033D-48D5-B2D6-A597F245352B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4069ACD-5099-4954-8516-8D325BB04363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78077D90-4092-43E2-AFE9-217825A24A8D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457F50B-E0BE-48D9-9C33-B90CA99F34C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F8B44BDD-971E-4373-BE52-AEDC8097DC9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7E7A31F7-AA72-4DD0-BCB6-821F34D346AF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AE0B96A-014A-449D-8413-F9EDB21C8BBC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14B5DAB-6201-41F6-B8D6-A530E2E9D92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0BFED8EC-708D-4267-BC5D-26798CB61BB9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382DA56-2D63-47F6-A733-30EE121A3292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76D0087E-5630-413B-973F-12F516A8F00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44D9D62-DC86-466A-A967-B349FBED2D47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40532EE5-BCCF-4F52-BEC3-9A3CA0F2BDC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D6ED2F61-F0DC-4C05-BBDF-216EDC8D49D3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0D09D16-22BC-43A6-99EA-F13F5E4F20E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23FFE40-9EB6-48DF-8C6A-1DEADDA773A7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CE39FF9E-BE23-4DA3-92E5-991EA838301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278E5AB-5AC5-462B-929A-AC5F7DE40D3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711002B0-BCBA-4718-9B30-B5BBC30A0638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B293C48-6877-4ED1-A5D8-BA0D3C2192D5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A882ECC2-D170-4114-92D5-4A60AE8FECA9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81D9962-8600-478C-8E5C-2D98ECA5F204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623FAB11-FA3D-4FA1-8820-A5CB3EB7EB5D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9178DFD3-DA27-4E70-AD21-F7A1E371DD65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C229EEA6-CF80-4983-9093-8376FEAE10F8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19BC0EA8-7A30-42DE-B21F-3D1D6472D9B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A819CD86-4846-47B1-AAAE-83711DE2A824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6270AC44-37E0-46CB-ACB4-D2DDB53EC14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D335C7D8-FDFD-4D6A-B4CC-637A319FBAFC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0F99460-78F5-4478-AA32-FFFFBF4583A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14B5B2E6-84B4-4EC5-86E1-0369581662A7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341642F4-1E10-435B-90EE-E348A198F96B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B6FC1273-9490-471D-ACFD-90DDA3FC5E4B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D612C2D-00C2-4D6A-929E-930BD2DDC615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2B502616-2104-4942-99D0-8BEDC19A6A57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8E550BE0-F89A-4132-98BF-021DE19EBEAC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4B666BC-5C15-41E4-A51D-3ED23DE8DB9B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94C02575-EAD3-4C16-8003-1B8B813EB4C6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922DEC20-E30A-4255-B9A9-8137C5AE5441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86792DC-0C55-460F-B6B8-7ADAA0136896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C5D95987-E5FA-4862-A89D-23EB21B67F38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AE6669B-8751-4A6A-97F7-548303E325D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77636BF9-131D-403C-96F3-0244F6679A84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BBE616EE-837C-454F-84CC-35A58E3D7256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8D43C786-BD73-44D6-AEEE-4FBA6F99152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17CB03D-D8A0-495F-9923-76CB3B46A28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AC68D4AF-17BC-465A-A8C8-93F521D6799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44A94F9D-4F1E-4239-A241-410C7D57DF1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E556809A-01F7-4883-8CD6-50682A0CCE8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3F500A5-46C9-4825-8D1F-D440196C7568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FA3BF05F-415A-43F6-BB06-F0346DFB7831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21B341C-47E4-4687-BCAC-C60C0B2AD87B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3FC8ACD6-8DE3-4153-A323-8B5C2DFF7510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D381AFA5-7009-4DE8-9EEE-42CD9EBC06C8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7F2CE717-6AE5-4DD1-A0A4-7021823C0BBA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9C3C2B5-CFC6-4215-822D-9DFD7EC49F1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F4DAFB28-404A-4D05-B75D-5F3C319ACB10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D6C1510-0BFF-410A-A1AB-33A461B889A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C1C92E64-38F7-46A4-A606-5F0D54F6631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9DE26601-92D8-40F3-B1E7-059749487C75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6C058FB9-621E-4182-B6E6-1DA10CCD313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637C7EC6-525A-4B35-94E8-49FB58526F8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AE66374E-C8EC-40CD-B0A8-092476B8A2D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8D81BF3-E073-4E3A-B48F-B19F1653775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58C84960-4121-455D-9AF8-D3763BE4156F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F3143A84-7DF3-43CB-A214-761EBC386BE4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4261028D-8A41-486F-A1AE-5B76CA4B30E6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B29C112-991F-4D94-9302-A2F815030171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E897FFED-138B-4A15-8D8E-C439C2C48AB3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7D65A224-5789-43D4-A732-474ABE6D0633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C59B6245-2684-4D07-B8B6-B32E1ECB1D5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A7344FC-D500-4107-8548-D227053A7BC1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49685B01-A2F3-4BF2-872D-1F79D7E4CC61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613BC897-057B-411A-9ABB-C5764262BA0A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BB456F9C-BFCA-42FC-B567-CFB38129432B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3BB17F0-9BF8-432F-A581-9907A1B92823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1D5FF868-B8E9-4D7C-98FC-E53EE43B1C2A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63D316E-5582-4E6A-8104-0D0446350942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51BEC56A-E5BD-4AB3-BD29-EC152E0C65F3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CD4195A-58CB-4D14-81F4-319C8BB486B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5579B663-1C7F-471A-9011-FA4A5F6482C7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8DF5A4D-A832-4536-AC3E-C97805AB60E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95A5A8A4-33D7-4312-A857-2DDF4AC5EDF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A5D6E390-7B40-402E-B286-B1CC4E7E0D3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183B6593-0423-4545-8DD2-0F2EBBF7CEF4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C53E937C-D8AE-4AEC-B6BD-2E369C88AB57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9FA4C673-349E-4691-91DE-84226B1E2A2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4285E19F-9C0B-4FE7-A7D6-AF9EB1388313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39812A28-79B3-4E16-8830-DAE9C62DCA2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C79CE970-B44F-4DFA-8763-7A71D700B0BD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9DCDFFFE-92E5-4942-B931-9EB8D3022C18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E235A76-A289-4E3D-8E36-10371AA1230E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204C3E2B-C201-422B-8267-5870C5CC930A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091F792-1F08-4993-B02A-EC7D1DE51187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E4AF74F9-A1DB-449D-85BF-17A8ED073533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965E76BF-EB19-4870-B632-3D1C14DC72C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0AD1B289-183E-461A-A961-8AE5D2FBDBDC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D82A704F-8AB5-4B0B-96A9-99E062C9F209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7A116C15-7D46-4512-BE68-5F46E5320CC6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97DBC6B-6FDD-4967-A2B7-E239172C194A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3824E94E-39DC-40E1-8429-7A5B0313BE74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76D758AC-392A-465D-8756-055E744B71ED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D2AE23AA-47A3-4FC2-A384-BC925277BAA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0C04B841-5499-46A4-89ED-3A50B76E2048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5AA1092E-8D75-4D03-859E-BD7F94B98E08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4438FBEA-CDA5-46C0-AD2C-F7F73FD681F5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01AB3122-8CF2-40B3-AAD6-D439D50BB46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38F8D27F-C063-4C5B-9E78-C88A24EF58B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8BD1088D-CB18-4111-8E52-28EB457AFD37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F809356-A753-4F35-8634-D1F561A06286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67D088C6-1BB3-4794-A2E0-5901AD14E674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F5BDC82-AFE1-4454-B4FD-45819740E336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82099F51-1769-42B0-8DCC-99D90D58953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CF27A3AF-298F-4995-ACB9-E8CA0C80E5C3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AE803498-5BCA-460B-8F41-8FB6C50B5F9E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2E572239-7171-4EE4-9AAA-75EBA5B95980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565D0C68-2C1E-4DC4-B7F1-2DCF0939C747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32689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53C9A7D5-B263-423A-91D8-659A6537A498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2E7146D3-19D4-41AF-A1B2-BF987837AAA7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62EFFA2C-3FA6-491F-9D75-669AB053E72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580316E9-2615-4FC1-84B5-B58CD89C38EA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38DF9F17-555B-4ABA-9E9C-9ADDE059CC6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6C7880C0-D007-4C62-B1F8-93395A276773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6E1D4F54-C392-4E28-8F7A-8F99EEB2155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7473C6B5-7909-4749-9AC9-797C03FB823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E4809BE3-7A48-4CAD-87F2-C4AD4593F55D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4DCEBF81-288B-451C-A023-1EFB93219325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FA19396-299B-47D7-868B-CD3A0B8A398C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F46D771-A6F2-44EB-B29E-8D2E9A7D9C1F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2E587AB-C51C-4DCC-B488-3DFC1EC4E111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3FF7927A-FEBF-4889-BA44-16B617C47053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415DF24-8685-48E8-A7DF-FDA0C89C3281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A3D31D63-80D9-434E-A548-AA7B41A5F5C8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96F3CFA3-4A64-4A04-9E7C-97335B427FD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B2376CDD-E958-4C2E-8533-BF2781B0634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6C6A160-8D25-4CF4-8EFC-BC8B9BC310D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D69B02DE-5610-4C2F-B652-AEEF8106DCFB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15B23A1-265C-49B4-A8FD-5B22EC2CE33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B3BF5B3C-666C-419F-BC7B-690C1652DB8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AA215818-0B55-4AE7-8920-2902377E96A9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21A2B1FD-DD78-416A-B572-404361EDB45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8E03850-1378-4C3B-8B7D-FCBF3577755A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518AFA47-BFD9-4511-BC42-60BDB2CA6A26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C23AE9D5-2347-456D-BDBB-D5BF6C688378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C6EB8569-52B9-49AF-BF41-575C8682C23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E0639E35-78BB-4F77-B0EA-1D98C06DD11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4D50338F-EF5D-492D-BB65-892D58989518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84190F63-9618-448C-930A-B9EEB18E08F1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69567BC0-50B0-4E45-B7E9-6CFC4A75DB8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98CF74B4-6C18-49E9-B36F-A23BA22590D8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AC9A52C7-902E-4056-B06E-2EBE90FDF330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D88A70E-F3E0-4BFB-BF40-078686C435A3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1C5D5F8F-D1C7-4DFB-821F-53F62123F02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64499B5C-EFEA-4CF0-98D0-C92E2EDF5092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7D3557F6-92FE-4DED-8FE2-A0170B79B8E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6D1A13E7-1EFD-4902-9AAD-5FEF9A6652C3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1FD55638-837F-428A-92A3-0B7302E1439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7C5A1A5D-69AB-45AF-89D4-CFA406A0D87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139820CA-EA0E-420E-9480-36A64CB7D8A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A2ED51C0-24C2-42E2-AD48-CE12441F8700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8D2AB250-5B3E-43B4-AF60-175B9C917E1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B75EE82D-9559-4712-AFEA-A1403676B457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E6991B2D-9E72-4E21-A48C-65E3436A0C5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1DAD542A-54FC-4C3E-8913-B0844CFF0F34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52BBB35C-BA68-4ACF-8D33-CE33B4258AF5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D178516-2C7C-4859-BFB2-3EF585ABEDAC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AF5D311A-5753-4BFD-80F3-984AEB12099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C94439DB-E74E-4CEA-92C8-6F46E719460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C7D42C58-7A19-46E1-8F8B-B32417A0820E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9A1C833-365B-4612-9470-46CC80C44A1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14DB39E7-6ED9-440C-999D-B80AD6A41ED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8D0BCFE-1F83-489E-9158-3D1D844304E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E6F0CBF2-0B02-4376-91C4-8D167CE47470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7DD498B-8093-4DE4-9DE6-90C62EF2D9E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0C3BEAF9-70DC-4A17-93C1-6B7D620E5FAD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9E879FAE-DB11-4830-B13F-B2A4ABEA384D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987B62D9-1825-4954-B13A-5E5799489A7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5EE1BC82-590A-40D8-9CA0-00F00D02801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EC24CA49-0E5C-401D-AAE5-2DDB71EEE92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89080F96-F1F8-4570-978E-89D456DAE8FD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497EAFC1-0C53-4B61-9493-95C152CD1276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BFC99037-D233-46E3-A595-4CAB3C9C0BD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49F3A5CA-8044-4AA3-A810-E4625E6B902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A90F62E-62E8-47B5-9827-6CDEFEA6A0C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466A178A-A2B6-4EEE-9BFF-6B0198096A67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CE46A9F9-2415-444F-BB09-47C46AE83E2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51A94440-1F42-4887-B869-365C05C6965D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C5A24A45-17A2-4F73-9333-014017D8729F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57CD39F4-084A-4270-A198-2BE7E679135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86127C54-2264-4415-8942-AF9BEB67A11E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27011EA7-54A6-4B13-8500-41C3D458322D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5398C53F-5A87-4724-B55B-8788E282C5FD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7BA55EC7-35BE-4A78-B02B-0659019601F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50507B7A-A7A2-4713-BDB8-276EEF19015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CD270F43-AA1E-4A6F-9323-7574A3860800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9E193F92-A893-4A9D-AC32-D52062F0179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FC6D4E0E-6028-4ABB-B73B-2F829065122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A5D13CD-48A8-4002-BB1B-C933A3877ED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3702A08B-7FC1-458F-A362-E7C73F30AD96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F9EE854-43B1-4989-82DF-5F2BE8A3FD8B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15D573E8-13A8-4AE0-957B-5AF61D296D89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ED0D092A-E8AC-4180-9AEC-5B9C693A046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45C6FF85-D7A1-4773-AB0D-49AF92CABB07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057AD486-945B-429B-A009-2AB3BF7EBDDF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856342BC-3102-49A1-AEE3-2696422B6157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C59D187-03D8-4F98-82E7-F6F18442F4E7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60789AB3-393B-4D36-B594-51FD0F6A7B55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410078D3-29AE-4A7A-A9AC-520B613F6982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940CE73-AC68-4985-8B9D-E5D0DFF0AA5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163CC755-0AD5-48E2-914B-683523D72457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393F2856-3E72-4AB6-A1DA-D0D6652EFAC0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33032D67-DBA7-4681-9603-6D41473C63DF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3AEDD7E9-E9CA-4CE3-A3DE-FF2D52729C33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713994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8C8B970D-B4D2-460A-B38C-213225905FD1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E7F88278-1E82-4AFE-9C51-65F6A086C5C0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6F633025-DCBD-48DB-BFE1-62B1664ECE6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08100DC0-B551-40D4-A90E-12301D569BDB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79A6D387-9F1C-463B-930B-935B8872DDCF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28CC0CF6-CCAB-4A8C-B10F-F6082CC0B9CD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C2A490B-68E0-476D-AD73-ECAE363F897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215A29D8-44FB-4AD9-AAEF-BC21569232D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406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D40565C6-DB6C-4A05-A346-0A7B5FFA218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3" name="AutoShape 2">
          <a:extLst>
            <a:ext uri="{FF2B5EF4-FFF2-40B4-BE49-F238E27FC236}">
              <a16:creationId xmlns:a16="http://schemas.microsoft.com/office/drawing/2014/main" id="{0267609C-6AE7-456C-A1E1-849632E1356E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B442B3E2-43CC-41EE-A295-6F67381C7EFF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5" name="AutoShape 2">
          <a:extLst>
            <a:ext uri="{FF2B5EF4-FFF2-40B4-BE49-F238E27FC236}">
              <a16:creationId xmlns:a16="http://schemas.microsoft.com/office/drawing/2014/main" id="{ED1702FA-B4E0-43CB-9CE1-9C0AA922347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B344D55B-F1C3-4C23-AAAA-0F48E99EC21E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7" name="AutoShape 2">
          <a:extLst>
            <a:ext uri="{FF2B5EF4-FFF2-40B4-BE49-F238E27FC236}">
              <a16:creationId xmlns:a16="http://schemas.microsoft.com/office/drawing/2014/main" id="{0E4F1C96-F0A2-48A9-94C2-181E9F13364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6A6FD72E-531B-412A-B718-3C8F3E0FA33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9" name="AutoShape 2">
          <a:extLst>
            <a:ext uri="{FF2B5EF4-FFF2-40B4-BE49-F238E27FC236}">
              <a16:creationId xmlns:a16="http://schemas.microsoft.com/office/drawing/2014/main" id="{5C85823F-53F4-4675-A0A8-786B5E79E07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86A5572C-5B70-469E-823E-3C188A65391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1" name="AutoShape 2">
          <a:extLst>
            <a:ext uri="{FF2B5EF4-FFF2-40B4-BE49-F238E27FC236}">
              <a16:creationId xmlns:a16="http://schemas.microsoft.com/office/drawing/2014/main" id="{46498ECF-F7E3-4076-B572-9687A408A123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D52AC30D-5539-4711-A372-6F6BD0723BCF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id="{4195FD12-C19C-4C11-9F39-103409BE0FC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B98E70A-EC0F-461B-92D9-64768A7C944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5" name="AutoShape 2">
          <a:extLst>
            <a:ext uri="{FF2B5EF4-FFF2-40B4-BE49-F238E27FC236}">
              <a16:creationId xmlns:a16="http://schemas.microsoft.com/office/drawing/2014/main" id="{FC9B6403-B128-43C7-920C-C2FFB91E9827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9909FF09-5708-40A7-A2C3-0ED4BBE0F34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17" name="AutoShape 2">
          <a:extLst>
            <a:ext uri="{FF2B5EF4-FFF2-40B4-BE49-F238E27FC236}">
              <a16:creationId xmlns:a16="http://schemas.microsoft.com/office/drawing/2014/main" id="{AC1B64B0-909B-4B05-8010-93A1C8EDD57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CB48E2B8-D2F1-4C5D-AF96-0FDABB69BBC4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19" name="AutoShape 2">
          <a:extLst>
            <a:ext uri="{FF2B5EF4-FFF2-40B4-BE49-F238E27FC236}">
              <a16:creationId xmlns:a16="http://schemas.microsoft.com/office/drawing/2014/main" id="{B9C74523-E7E8-442E-937C-BF219192A073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510A5CA3-C58C-4C7E-908C-AF4ACC8E6749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1" name="AutoShape 2">
          <a:extLst>
            <a:ext uri="{FF2B5EF4-FFF2-40B4-BE49-F238E27FC236}">
              <a16:creationId xmlns:a16="http://schemas.microsoft.com/office/drawing/2014/main" id="{57B833DE-ED66-4790-BBBF-6C9397D506DE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CE6A38FD-26ED-4B40-899A-F8953C4E6EF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3" name="AutoShape 2">
          <a:extLst>
            <a:ext uri="{FF2B5EF4-FFF2-40B4-BE49-F238E27FC236}">
              <a16:creationId xmlns:a16="http://schemas.microsoft.com/office/drawing/2014/main" id="{962E19F3-F01C-4593-BDD3-89ACB15A2CCC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624CE61B-E2A0-49E8-B41F-24A7DE1A1AD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25" name="AutoShape 2">
          <a:extLst>
            <a:ext uri="{FF2B5EF4-FFF2-40B4-BE49-F238E27FC236}">
              <a16:creationId xmlns:a16="http://schemas.microsoft.com/office/drawing/2014/main" id="{14A4A089-27C0-4C05-99B1-249A93925873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D7BDAB2F-B333-41A3-A0D6-EB0330925CF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27" name="AutoShape 2">
          <a:extLst>
            <a:ext uri="{FF2B5EF4-FFF2-40B4-BE49-F238E27FC236}">
              <a16:creationId xmlns:a16="http://schemas.microsoft.com/office/drawing/2014/main" id="{154FD185-E953-4422-B8FB-45C7A2DC339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E1DB82D0-C3D6-480F-B0B0-8C880FF088BB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29" name="AutoShape 2">
          <a:extLst>
            <a:ext uri="{FF2B5EF4-FFF2-40B4-BE49-F238E27FC236}">
              <a16:creationId xmlns:a16="http://schemas.microsoft.com/office/drawing/2014/main" id="{2767A1AA-F74F-4BA0-B781-F29A68478CE1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2E09C144-85B8-4451-9032-EDF9CBC4203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31" name="AutoShape 2">
          <a:extLst>
            <a:ext uri="{FF2B5EF4-FFF2-40B4-BE49-F238E27FC236}">
              <a16:creationId xmlns:a16="http://schemas.microsoft.com/office/drawing/2014/main" id="{76065B04-9F7E-4B0D-96E2-1DE20A2B458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4809952D-069C-492A-BF1C-B2D27CAE3ED5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33" name="AutoShape 2">
          <a:extLst>
            <a:ext uri="{FF2B5EF4-FFF2-40B4-BE49-F238E27FC236}">
              <a16:creationId xmlns:a16="http://schemas.microsoft.com/office/drawing/2014/main" id="{B2A6C119-774A-469E-A1FE-F83E75E561A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62EFD7F2-17CF-4DD0-8AB0-4B31A49C9FE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5" name="AutoShape 2">
          <a:extLst>
            <a:ext uri="{FF2B5EF4-FFF2-40B4-BE49-F238E27FC236}">
              <a16:creationId xmlns:a16="http://schemas.microsoft.com/office/drawing/2014/main" id="{77E7031B-6EA8-4B90-8CC8-DF8A5210378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8A825EA0-5BC7-41B6-8AC8-F7D9EA80E648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id="{7BFF972B-4463-4611-86F3-158C1594B53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CFD16B44-87DB-4BC4-A5A4-A31F45B7D2E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id="{EF384994-5321-4864-8A00-D7F4166EE16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A368A97F-C38A-4A49-92A8-1A1BF0717FD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id="{AA5BFF2D-9EBF-4DFF-96D3-79C82CE79B0E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FF01A602-1192-413D-B2C5-1653E1E3FC71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id="{E982E1A6-0FBD-4D36-85D7-94A03D476904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35C6F37-3BA4-4127-8A92-D7CF0DB9AC01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id="{F7BAD63B-4C1B-4BC6-98A0-CD5515C54719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71DFDBA0-DC09-4514-B987-0F63AD425B54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1E59A9C4-E6A3-4D6D-AE71-148184C2E62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DD8909FE-59C3-49DD-A5B1-3EC0E3DD7C64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49" name="AutoShape 2">
          <a:extLst>
            <a:ext uri="{FF2B5EF4-FFF2-40B4-BE49-F238E27FC236}">
              <a16:creationId xmlns:a16="http://schemas.microsoft.com/office/drawing/2014/main" id="{90D398E6-213D-4C87-8F17-B1BEF551996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54E6AAB-953B-4C3C-B6A5-1BCA1A6EF73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id="{85E89FBB-CACA-40DB-80D3-B3116D08066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E41E2996-08B1-4ECC-BF95-46FA9CC0960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id="{036A3768-B8AE-4ABF-8106-C6806479FCE2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36C79ECB-2A43-4B1D-B164-BC3AA15E815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9791C296-DE0B-4C27-8C99-42C88B9E29D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FE8E7C71-CED2-4216-BFF6-B5F35DEED6C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57" name="AutoShape 2">
          <a:extLst>
            <a:ext uri="{FF2B5EF4-FFF2-40B4-BE49-F238E27FC236}">
              <a16:creationId xmlns:a16="http://schemas.microsoft.com/office/drawing/2014/main" id="{193AA0FA-8E4C-4510-BCD4-1C1CA0E9341E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744FB1FC-E7CF-43E6-8E14-7411105CC6EC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9" name="AutoShape 2">
          <a:extLst>
            <a:ext uri="{FF2B5EF4-FFF2-40B4-BE49-F238E27FC236}">
              <a16:creationId xmlns:a16="http://schemas.microsoft.com/office/drawing/2014/main" id="{2E928B34-FE27-4309-B4B3-24E8D648277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9D8980B9-5E8C-4B95-9F05-3376237D40CD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1" name="AutoShape 2">
          <a:extLst>
            <a:ext uri="{FF2B5EF4-FFF2-40B4-BE49-F238E27FC236}">
              <a16:creationId xmlns:a16="http://schemas.microsoft.com/office/drawing/2014/main" id="{91C8C9BE-53F2-4C65-BC02-8E5CE0DF000B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9D60190C-046A-43B9-A895-8A7DDF3403F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3" name="AutoShape 2">
          <a:extLst>
            <a:ext uri="{FF2B5EF4-FFF2-40B4-BE49-F238E27FC236}">
              <a16:creationId xmlns:a16="http://schemas.microsoft.com/office/drawing/2014/main" id="{D67A563D-7BD1-43BD-AF23-EE7DF79FF79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35ED697-963E-42C7-BD4C-2BAFD22B9EB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65" name="AutoShape 2">
          <a:extLst>
            <a:ext uri="{FF2B5EF4-FFF2-40B4-BE49-F238E27FC236}">
              <a16:creationId xmlns:a16="http://schemas.microsoft.com/office/drawing/2014/main" id="{F7D43AA9-C3EB-4603-B93B-28C4C3B4A8A9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3A403555-12BA-48C0-B04A-3A4C97EB2F98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67" name="AutoShape 2">
          <a:extLst>
            <a:ext uri="{FF2B5EF4-FFF2-40B4-BE49-F238E27FC236}">
              <a16:creationId xmlns:a16="http://schemas.microsoft.com/office/drawing/2014/main" id="{649AB33A-22DB-4D76-8FFD-F54984E6C4A5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D66A8B3-289E-478B-8FAA-BB418C748AB4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82024A07-FC39-4ACD-A47D-834A55476C5B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00157668-1E48-4F60-A245-598302EB82BA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id="{C20444D6-F35C-4313-BF18-1CFB010BDAFB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D9A43711-C3AF-4A4F-8099-C00BCE5DA72C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id="{68552725-C144-4F59-9D2F-2DEEE1C67E05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D5F7227A-DA79-4F86-A186-FC5C9A5E60DF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id="{36D91EDE-119F-4995-96D6-A0A026C1CA5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8413B033-C504-4C70-80C3-51B1E895275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0544B8BB-CB7E-4A64-B0B1-369F918F94C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F548EAD-39D8-4883-97CE-86292EE8CC99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id="{ABC085D4-C454-4C58-A442-41E60CB0D652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405E04AC-C2A5-456C-995A-91CDE4CE6DB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id="{D2CCCEFA-9EC9-4501-A4CE-B8D6F25B6F2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D44DAAF5-1FAB-45A6-B0E1-385028FAD68A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3" name="AutoShape 2">
          <a:extLst>
            <a:ext uri="{FF2B5EF4-FFF2-40B4-BE49-F238E27FC236}">
              <a16:creationId xmlns:a16="http://schemas.microsoft.com/office/drawing/2014/main" id="{54B7607C-2A0D-4305-B664-5C7B89C9E3FB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865B0CAF-4B1D-45C6-A279-95981F9FBFA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5" name="AutoShape 2">
          <a:extLst>
            <a:ext uri="{FF2B5EF4-FFF2-40B4-BE49-F238E27FC236}">
              <a16:creationId xmlns:a16="http://schemas.microsoft.com/office/drawing/2014/main" id="{5D7619D1-EE9A-4516-9251-44BAF498EE35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411483FB-FCCE-4B6C-A6BA-28BC647DD8E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7" name="AutoShape 2">
          <a:extLst>
            <a:ext uri="{FF2B5EF4-FFF2-40B4-BE49-F238E27FC236}">
              <a16:creationId xmlns:a16="http://schemas.microsoft.com/office/drawing/2014/main" id="{EB4C0FEB-E8A3-4EE3-8F24-A5BAC5EEA3B3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15A9603C-4F3D-4218-A652-FC5254555A6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9" name="AutoShape 2">
          <a:extLst>
            <a:ext uri="{FF2B5EF4-FFF2-40B4-BE49-F238E27FC236}">
              <a16:creationId xmlns:a16="http://schemas.microsoft.com/office/drawing/2014/main" id="{5C08A033-AFB2-41C8-A551-65A52C5DB179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55644FED-C4CF-4DA2-9884-52AE0D25AF9C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1" name="AutoShape 2">
          <a:extLst>
            <a:ext uri="{FF2B5EF4-FFF2-40B4-BE49-F238E27FC236}">
              <a16:creationId xmlns:a16="http://schemas.microsoft.com/office/drawing/2014/main" id="{EC3E95F0-F4EF-4452-B3C6-E388F2D6A5DC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3FCFD814-E717-4444-9725-F3E1B867E355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3" name="AutoShape 2">
          <a:extLst>
            <a:ext uri="{FF2B5EF4-FFF2-40B4-BE49-F238E27FC236}">
              <a16:creationId xmlns:a16="http://schemas.microsoft.com/office/drawing/2014/main" id="{123C3625-547E-4471-9580-6F50057496CE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09582B5C-83B5-46B8-AC88-FC84A6BD12AB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5" name="AutoShape 2">
          <a:extLst>
            <a:ext uri="{FF2B5EF4-FFF2-40B4-BE49-F238E27FC236}">
              <a16:creationId xmlns:a16="http://schemas.microsoft.com/office/drawing/2014/main" id="{4D7DE126-6A6D-41FF-A621-F4DE4D0A0D2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D8591D95-220E-4E98-AE82-FB7684ED2EBC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497" name="AutoShape 2">
          <a:extLst>
            <a:ext uri="{FF2B5EF4-FFF2-40B4-BE49-F238E27FC236}">
              <a16:creationId xmlns:a16="http://schemas.microsoft.com/office/drawing/2014/main" id="{C271B127-B01E-441F-B219-860CD1BB4962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4E8DFC63-9F9E-45EA-BCE3-A3AFD070AF4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88BDE9A3-D441-4B92-A890-EE7903F0AD0E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9A8D96C-6795-4B46-AC4A-8BD961DAD1DB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1" name="AutoShape 2">
          <a:extLst>
            <a:ext uri="{FF2B5EF4-FFF2-40B4-BE49-F238E27FC236}">
              <a16:creationId xmlns:a16="http://schemas.microsoft.com/office/drawing/2014/main" id="{5A18C4E9-18BF-45DA-ABB0-DC5438EA6C54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4D612EC9-5814-4496-8581-653067EF239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3" name="AutoShape 2">
          <a:extLst>
            <a:ext uri="{FF2B5EF4-FFF2-40B4-BE49-F238E27FC236}">
              <a16:creationId xmlns:a16="http://schemas.microsoft.com/office/drawing/2014/main" id="{83A5A35F-2DFD-4E39-9AE0-852291FA3AC7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520A9914-4079-46BE-80F0-FC946C5DB12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05" name="AutoShape 2">
          <a:extLst>
            <a:ext uri="{FF2B5EF4-FFF2-40B4-BE49-F238E27FC236}">
              <a16:creationId xmlns:a16="http://schemas.microsoft.com/office/drawing/2014/main" id="{EFAE6D8D-9ECB-40CF-98AC-707A3DCD15A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E2422865-CA25-429B-BB59-703BE4251982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07" name="AutoShape 2">
          <a:extLst>
            <a:ext uri="{FF2B5EF4-FFF2-40B4-BE49-F238E27FC236}">
              <a16:creationId xmlns:a16="http://schemas.microsoft.com/office/drawing/2014/main" id="{F4EEE250-A1CF-4DB5-AA42-B69CE85E78B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33FC569E-FDB6-48CB-B1A7-CB0F1C702975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09" name="AutoShape 2">
          <a:extLst>
            <a:ext uri="{FF2B5EF4-FFF2-40B4-BE49-F238E27FC236}">
              <a16:creationId xmlns:a16="http://schemas.microsoft.com/office/drawing/2014/main" id="{6EDC62D5-9E34-4C31-A226-E22D4382491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2A6C914B-2118-4E2F-9C7E-10CD4A3A44D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11" name="AutoShape 2">
          <a:extLst>
            <a:ext uri="{FF2B5EF4-FFF2-40B4-BE49-F238E27FC236}">
              <a16:creationId xmlns:a16="http://schemas.microsoft.com/office/drawing/2014/main" id="{D81B43AD-0EB6-47BD-B441-1AE360ED024C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2DA96B1E-C47F-426B-9637-E9ED656E58F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13" name="AutoShape 2">
          <a:extLst>
            <a:ext uri="{FF2B5EF4-FFF2-40B4-BE49-F238E27FC236}">
              <a16:creationId xmlns:a16="http://schemas.microsoft.com/office/drawing/2014/main" id="{717CDE4E-A094-420F-951C-F21663FF1A6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B057B2B9-DD2B-47E2-A06A-592A8FCDA3A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5" name="AutoShape 2">
          <a:extLst>
            <a:ext uri="{FF2B5EF4-FFF2-40B4-BE49-F238E27FC236}">
              <a16:creationId xmlns:a16="http://schemas.microsoft.com/office/drawing/2014/main" id="{F8411C54-CC21-4162-A636-84BB5347E20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3642922A-BD73-42FD-842B-70AFC2993B6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7" name="AutoShape 2">
          <a:extLst>
            <a:ext uri="{FF2B5EF4-FFF2-40B4-BE49-F238E27FC236}">
              <a16:creationId xmlns:a16="http://schemas.microsoft.com/office/drawing/2014/main" id="{8F813103-4E41-4637-8200-4D1A414B220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F61DCA52-0342-4C26-9509-2C44BBEC13D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19" name="AutoShape 2">
          <a:extLst>
            <a:ext uri="{FF2B5EF4-FFF2-40B4-BE49-F238E27FC236}">
              <a16:creationId xmlns:a16="http://schemas.microsoft.com/office/drawing/2014/main" id="{F8602C62-CDFB-4CAF-95A8-830E2EED76DA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6D1BA1C0-A5F9-43E7-B604-2D66BEDCCD6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id="{40510142-8A7D-4ED5-981F-C07B4B6618F0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59EF628C-88FA-4270-B41B-2D34CEE2E34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3" name="AutoShape 2">
          <a:extLst>
            <a:ext uri="{FF2B5EF4-FFF2-40B4-BE49-F238E27FC236}">
              <a16:creationId xmlns:a16="http://schemas.microsoft.com/office/drawing/2014/main" id="{D4501FFF-CA19-498D-B984-E1F6DB3B2032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31169EAC-37CD-4525-8B7A-0D3CAAB4DF27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5" name="AutoShape 2">
          <a:extLst>
            <a:ext uri="{FF2B5EF4-FFF2-40B4-BE49-F238E27FC236}">
              <a16:creationId xmlns:a16="http://schemas.microsoft.com/office/drawing/2014/main" id="{95FD248B-FF15-46E3-8F9E-D6DA94D18BE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6A02A0C5-7C70-424A-838F-D4172873A25E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7" name="AutoShape 2">
          <a:extLst>
            <a:ext uri="{FF2B5EF4-FFF2-40B4-BE49-F238E27FC236}">
              <a16:creationId xmlns:a16="http://schemas.microsoft.com/office/drawing/2014/main" id="{A86F7A3A-E724-449D-AFD0-257D6DCCB8D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683DCFB4-817F-42B4-8344-42BB9D79FC7C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29" name="AutoShape 2">
          <a:extLst>
            <a:ext uri="{FF2B5EF4-FFF2-40B4-BE49-F238E27FC236}">
              <a16:creationId xmlns:a16="http://schemas.microsoft.com/office/drawing/2014/main" id="{47920D0B-FB71-4E34-B86D-04254C03FCE9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6AAD95C1-072D-4193-BEAA-8301553D7AA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1" name="AutoShape 2">
          <a:extLst>
            <a:ext uri="{FF2B5EF4-FFF2-40B4-BE49-F238E27FC236}">
              <a16:creationId xmlns:a16="http://schemas.microsoft.com/office/drawing/2014/main" id="{F7699A81-9560-436B-BEA1-253F284F3DC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9354DF7-4716-4536-A4B1-0F2ECBAE0675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3" name="AutoShape 2">
          <a:extLst>
            <a:ext uri="{FF2B5EF4-FFF2-40B4-BE49-F238E27FC236}">
              <a16:creationId xmlns:a16="http://schemas.microsoft.com/office/drawing/2014/main" id="{6ADB664B-7E4C-4FE4-B0C6-E5A7531648E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3BF5454-2187-4ADF-ACBB-0FA2A7A22D84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5" name="AutoShape 2">
          <a:extLst>
            <a:ext uri="{FF2B5EF4-FFF2-40B4-BE49-F238E27FC236}">
              <a16:creationId xmlns:a16="http://schemas.microsoft.com/office/drawing/2014/main" id="{F22303C5-E1AE-4F09-B727-1F64A23EE29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42574434-3F74-400A-8E90-974F458A0B5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37" name="AutoShape 2">
          <a:extLst>
            <a:ext uri="{FF2B5EF4-FFF2-40B4-BE49-F238E27FC236}">
              <a16:creationId xmlns:a16="http://schemas.microsoft.com/office/drawing/2014/main" id="{287115A3-3FFD-4BDC-B72A-687BDA0792C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1624840B-F0AF-4B1E-AE52-5D342A19631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39" name="AutoShape 2">
          <a:extLst>
            <a:ext uri="{FF2B5EF4-FFF2-40B4-BE49-F238E27FC236}">
              <a16:creationId xmlns:a16="http://schemas.microsoft.com/office/drawing/2014/main" id="{91F045B4-6147-4ADA-B56A-394D8007A381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13DC9B1-B071-42FE-BC66-C3C34924441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1" name="AutoShape 2">
          <a:extLst>
            <a:ext uri="{FF2B5EF4-FFF2-40B4-BE49-F238E27FC236}">
              <a16:creationId xmlns:a16="http://schemas.microsoft.com/office/drawing/2014/main" id="{00540C4A-2F8F-40A4-8B0D-8DEC5E1A57F9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D27A725F-E9F4-476E-81C8-7396149CF414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id="{CDFE7A9E-1DDA-488F-9D63-BE06BFEFFB6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1043725C-9D60-47BE-B559-E0176E3A4C0A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45" name="AutoShape 2">
          <a:extLst>
            <a:ext uri="{FF2B5EF4-FFF2-40B4-BE49-F238E27FC236}">
              <a16:creationId xmlns:a16="http://schemas.microsoft.com/office/drawing/2014/main" id="{0AC90D1F-AEC2-4B94-8310-35BFC05286A7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16B4AD34-6161-40F1-B3A7-98300127FBC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47" name="AutoShape 2">
          <a:extLst>
            <a:ext uri="{FF2B5EF4-FFF2-40B4-BE49-F238E27FC236}">
              <a16:creationId xmlns:a16="http://schemas.microsoft.com/office/drawing/2014/main" id="{150500C4-39F4-4C26-B94C-5152CA41421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5DB0779A-09D1-48E4-A34D-94F54ADAEC46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49" name="AutoShape 2">
          <a:extLst>
            <a:ext uri="{FF2B5EF4-FFF2-40B4-BE49-F238E27FC236}">
              <a16:creationId xmlns:a16="http://schemas.microsoft.com/office/drawing/2014/main" id="{A0C4EE7D-B4AC-47E1-8EF3-85DE4364412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2BD27A99-A4A0-4344-A030-F925C3FD410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51" name="AutoShape 2">
          <a:extLst>
            <a:ext uri="{FF2B5EF4-FFF2-40B4-BE49-F238E27FC236}">
              <a16:creationId xmlns:a16="http://schemas.microsoft.com/office/drawing/2014/main" id="{1316127D-99AD-4DCF-A191-79AA0BCB7A6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C7EDAFDB-7807-4803-BC24-487FDCCF26C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83B3E097-0B65-4E17-97E4-E5F6CCF301E7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EACE77FC-03BE-488E-8666-1BF8C6196FC3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5" name="AutoShape 2">
          <a:extLst>
            <a:ext uri="{FF2B5EF4-FFF2-40B4-BE49-F238E27FC236}">
              <a16:creationId xmlns:a16="http://schemas.microsoft.com/office/drawing/2014/main" id="{53A77F8B-41AD-48E6-9A6B-3426B2B3CBAB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9C065567-8E92-4279-8B72-AA750B890A2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7" name="AutoShape 2">
          <a:extLst>
            <a:ext uri="{FF2B5EF4-FFF2-40B4-BE49-F238E27FC236}">
              <a16:creationId xmlns:a16="http://schemas.microsoft.com/office/drawing/2014/main" id="{0519CDB4-ACDC-44E1-BB3B-3D6D2D61FE05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540E1BF-CFB5-4356-8D42-5190A64BAB3A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59" name="AutoShape 2">
          <a:extLst>
            <a:ext uri="{FF2B5EF4-FFF2-40B4-BE49-F238E27FC236}">
              <a16:creationId xmlns:a16="http://schemas.microsoft.com/office/drawing/2014/main" id="{FA3B4C08-B16E-4BAB-8C1C-AF4D0C45CA7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7D85573-A0DB-41FE-8798-EAA8F55AF3AD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561" name="AutoShape 2">
          <a:extLst>
            <a:ext uri="{FF2B5EF4-FFF2-40B4-BE49-F238E27FC236}">
              <a16:creationId xmlns:a16="http://schemas.microsoft.com/office/drawing/2014/main" id="{F6393280-B7BD-4FD9-BD08-27CC9A71ED11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819775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15B264C-EB53-4B2C-85D7-90DDD33A557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419FE53-8DB0-4146-A82C-D4CE59D97FE2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304EBC5-A824-4E00-8EFD-614CBA3109B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C745DB14-38CD-4D26-9249-CC70563F6EBB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C21D658-35F9-4B63-933B-C7B78BE77A0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9E88D7D0-2E47-4D97-BBE1-F8FB32D45F3B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8530CC9-50E1-43D8-B01D-75BFB9EFA93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99BA872B-4C1F-4BDB-89A4-3B840A85A45F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D3F72EC-60CE-4429-900D-54E26975FE34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56111F80-F1B9-4232-9DE2-41D93B1993C0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52A3E1F-6EC9-439A-A2A7-449BC7002FCD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A1B164BE-84C4-44F6-B88E-EBBCB31ACB3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50D9CB5-D075-4699-AF78-5ED128A29DED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DCE9968C-6247-47E6-8351-2A0BC4C2A21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EDE3D7C-8905-4DE8-854A-562C2A2AA886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CACBE6CE-AAA4-4EC0-AFAE-AF2291C3B51B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AAB2943-07E5-4721-A058-79267EE63779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590FEB56-497D-4798-8F89-C2C5445F1EB8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E831996-B776-4B53-B184-2ED81EA3D57E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4DD95781-A1EC-40A8-9E26-034310AACDE1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87A14A4-4F98-4B50-86E8-643D1E155D23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B92FC1D7-E494-4848-9ECF-37D337054483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3BB24B93-4C69-406E-94DA-19595E32E76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3CE0933B-9872-4CE4-AAB9-7AB33851430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A5AD7D8-EFEF-4F84-A1B8-A042FF473E90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C0B16B2A-67F7-4C80-A775-DE20D2F74663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C60E342-FEC4-4F56-826D-8DB325D00856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1252262D-1330-499F-AE49-264C55984B1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736F62F1-DA13-4639-B852-6CDF899108FC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1C38B1B5-ABB8-4ACE-8D16-94100D38C5D8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7DE8896D-DCF4-45B3-AFC1-F6C53A720F7C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EB733C30-6AF2-46AF-95CC-03B2E4DAF5F3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CF34D479-8129-48C5-B994-27508BF09A20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82A87FCA-57DC-4778-AAD2-A4A52973C77A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C87CE879-9B18-4D65-8EA8-E38597C8BBA2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245D2669-C600-4CCF-8FAF-63D2E361E0DB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F3E52520-CBBF-40B8-BCB7-0973B14736BC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32811CF0-CA09-413E-9475-44D29B501EB7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E24687AB-3884-476E-B326-4ECD3D747022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7A522A2-D34F-41FC-8366-992760D18EB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05FA0EE-3BED-4318-B714-35FA6D42543B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D7D83725-0F48-4F0C-8CF3-220005C61CBE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05F253C-099C-4E07-A17D-1466CEC60025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5A51B404-CD36-413E-B7A5-5854A9ABACE8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D5114CCD-62BF-4727-87FC-D95F71E7E7B8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84A67138-F486-47B5-B90C-6C05B34C3436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3C06BF96-2394-40DF-8FC6-FC1CBDBC7B27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C32CD266-D5CB-43D3-B54E-8545ED2EFF0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32585028-508E-4A48-A101-9553E99DBB64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E3A935A1-287E-4974-B664-5FD710869D31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E47E24F-CFDC-4714-8BEA-471E8D50D07E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1F86CF06-B2E3-46AB-BA4E-C8B78932E7DC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B9BC02A-4046-4521-A05C-9FA49D59FD23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02FB7E0E-3553-4F03-9681-1B32CCCF1DE8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18B3D08-FC7B-4E7E-A4FA-2E03BE27312E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89081F9E-60BF-4637-BEC0-1FF7AE779512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C819540-24A3-472C-9DE7-D4141280C01A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1D789FFE-E348-4168-BC50-4551A25CE538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96A2DBB8-5F0B-41FE-8C5E-D3DEE7961214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48930200-0697-43F5-A07C-8039884B3C8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3EDA0397-C13B-4514-BD5E-625738D7D811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5A4957CD-D962-4D68-9A11-65F6F4A3D85E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20587F9-C524-4EDE-A897-1B9984460326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51CA4364-B448-4C10-8D5A-77B5A01409D6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3BC872A-643B-42FB-BE92-6DD59624687F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59C93185-7AF8-4588-9D42-7262E615597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238D8E8A-24D2-4552-A766-AD25F035DA1A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F78EA58F-2F87-4A1E-A536-C0891983630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581294AE-1F27-472F-8A9E-B6A8E918C30E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953C7182-15E1-47DD-8AA9-12BD8AEDB11A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02D92073-340D-4AE8-9AC6-AB2D5E936283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4BD67E0C-3EF7-4FA6-A0FD-5C01BB130A96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6CA83E70-F274-4337-A214-CF289622995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83856771-0195-4745-A2E4-19EF04179CC1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9F83C1B0-57D2-469C-9E82-BC655D1F5F0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63E0D574-7C4C-4657-8747-F03190684A71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F5EFD17-8945-4EAE-9E5F-E739158B443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A67A4B6F-8395-4BAC-B0E7-A09316DBE94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5478A21-FCF1-47C3-BEC4-0A2F41988D48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1E4BB49B-F332-416D-B53E-866BADD5467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E05CCE92-C9E7-4DDC-951D-990F1F3A5CAA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8ED35D94-F7B1-4792-B06C-A2C823B404E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D5E3B22-4D49-4631-A662-1E1B40699762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B2505307-D16B-4C4D-AF9D-2069E6D510A8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778A4B9-AD80-4CC6-A03B-FD54DED3B36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A61D8F48-B4A5-4876-AE16-13DD5FF0E7C5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4BE87A5A-C8D3-40F5-B748-96980D65A6A4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EB1A6DD6-56DE-47BE-9536-7ABE9E324E1C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4786D07-6EB4-4419-8A8F-8EA33A79B004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F7E04C52-CA65-484E-A1CC-C17A816952A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923A0355-71E7-404E-B8E2-B80E8E95B03C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611C8D5C-0164-4744-BF6C-C83FCFA5E5AD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F2AD6C24-ABE9-45FA-B8CE-41A82B1FF0D2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2527B689-E935-49B1-8F3B-5921CC36C311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1CDC3BE1-25BF-4F4E-91AE-BD402CE85B75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6D632487-3290-4815-B1EC-6E8BEEB32FA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F55EFA33-8B4A-41CC-AADD-74B8B966D74F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7E36CE54-1361-4AE3-8633-F9EAA98ECBFA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31A3087C-C062-46AE-9337-F97D409405C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5CC5E7BD-2C16-4CF1-9F86-8CDC2ED1F75F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D917EB6F-985D-4698-A812-AECA95B8CE1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5D2FF545-6DAA-4EFE-98D9-9792B315C3EB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BFAD34BE-0A84-4277-B899-59872E97BBE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637D8AA3-59F6-4CCA-831C-FFA65FCA3D6C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E5311D67-0DB3-4346-9CB8-A90F7905CC7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5DADF598-2696-4FB1-81AE-E18ABD3A7F21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FF3540F5-9940-454E-AAA8-D8C026B9C6B3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6D81BE33-B9AB-4028-A5D8-E7FE24C6952F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924F4B5-47BE-409D-A12C-2BBF6EB20220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88B3B1C1-1F0E-45BB-9669-D4E1EB7AA83C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6EEAE4E0-E3AE-47D5-A7A4-10EB4AD58878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42E48CB1-B053-4285-9B1A-FBB080DAC4D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693F4040-9C03-4ED3-8D3D-DA0E83E7ABFA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F92CEE12-EE59-489F-A6D1-856EE8C8ECFC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7C72AAF6-F6BD-4754-8325-256268FF578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CE55151A-9BF4-47B8-A063-10785FFDF91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10A90BEC-7B4D-4E20-BAE7-38F84AB9968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EBB9410C-FA57-4535-B686-78E9A41FC29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2F2FC49-4079-4A52-A06D-1D9F3FB8801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1EEA8008-965D-44F1-9A10-823870880972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6905FB2D-C341-43D4-944F-F871F975FE93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CAA15E73-24EB-46FA-8615-C665A7D57CF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E86F1B34-A065-4545-AFAA-CE14AA4F862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FDE05601-B727-49E7-9751-E5F17CAC830F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B4B1BF74-0DC0-449D-9460-74480394B775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5E328E0C-C450-4D16-992E-103B68F0B027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41D22629-D9D8-4DA4-96DF-8B390178B281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E912C675-4AF5-47E9-B9CA-CC5F383C004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8840D056-F2AC-4053-B22B-C2440573C560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688D4E01-0CAD-43FF-8E8C-E0892919A671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2DD7403F-2354-4E64-8DB4-B8F233C1CF56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3796AC6F-EBCD-4945-BB2C-D1CC84E2F0A9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0F519F6-DE39-4039-B162-AF833F1B0806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9FFED0A3-076D-462A-853B-73C7DB2BB980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E93D3BAD-FD64-4615-81F5-1B565D6FCA00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D6185B5C-2864-4467-90B5-2C7F4FC82140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FF6C19A2-530C-4CC5-BE8C-5B7CE8F70F7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92BB6636-8533-4520-A756-E72D05B19A8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53CF4992-E363-4DD0-AF25-934AF4E0CC28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1BBE7822-CB88-4EF6-995A-BF4326879E0A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F8D0348-68B0-4AF0-8882-9191C35B1CAB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92B03DC1-AC15-4F21-A8DD-B9E4DAA3528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F52C5E92-F4DC-43C2-AED5-AE65DC1AFEBC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189EDF13-660C-41C8-A3F4-B5EBF6A4C50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49D248C4-D6E3-4407-BF15-D7B9DC4E44A4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904B614A-C447-4ADC-A7EE-822B0ADA1A5A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D413181A-19BA-4ED0-850B-F6771DF722E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3F9E9A5F-ABF9-488F-A80D-6B958B2CDFE4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195812E-57D4-4628-BCC4-1F6EBDEACB4C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BD18FF7E-5C01-4582-BEF8-2F51FB883738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A8A9B27-8F72-4FB3-893B-E3D7D9787B8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C2F17838-AAD7-40FE-BED0-ACEE80B64574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E375FC8-7101-4D0F-BB2B-10836CED958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3FD80B4F-E87D-42D7-9DBE-CD3F2BDEC812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5F560D65-4AAB-4656-94C5-7098EA44751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F591C900-CFFF-409E-924B-EE1F7CFE816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A3DC296D-E424-4CF4-AE26-8E2ED1191CA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07C13022-68F6-4364-B2AD-8976B7236C1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E98D57D8-7D9E-4118-A429-9EB46FF8E3F2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B9D9413D-7147-4C63-9FDA-C3645B1D7094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A83FD51-471D-4AF2-9CCB-38218DC57FFC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DCB88024-FEB8-42B0-AF74-4086A85F010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DC4FE3A6-D2E1-42D1-A00C-04CE8A861CC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D3260A92-B313-40BF-90C4-B2F9E025E09B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9086C13E-F592-42F5-8CC0-351583466CF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410B960E-C2C8-478C-A459-7C5E4BF73ED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B8029BAC-D17E-4BAE-88DD-120D44939000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7EBBFF34-C226-4473-8F51-6106A429438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8BDE5715-75C7-402A-B702-ABC91223C15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A5822C2E-C49C-4C46-B4FD-1CEF5DB3BEA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2E83EA0-2A15-45C5-A5E1-9EB81A323253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327E1EFF-0BFE-44CA-88CD-14EA2B95642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7BCB0973-B487-4354-9408-31CF8B0E6483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820C0CE5-C26B-40D9-B922-DA8498F3E05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A5704FF9-1EED-4C04-9942-EC07405C47B2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1A807CC2-1108-4ABE-BC3A-497B0510A1B9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234276C2-A57F-4FC3-8065-9C7352B5D96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33381875-5B34-45A4-81C0-CDFF93E20C81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481D2419-680F-4EB4-9DAB-AEC0AC7F601F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28EF8166-2BBE-4475-877F-F18BC03D99A8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8B229F45-38C1-45CE-A7D2-26981B0E6934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8D57B91A-700F-42C1-AF42-AFE83A3AEF2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9D88622-46AC-482B-89E6-479AE19545CE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E6DE996D-6DC3-45F7-BD1A-7159C704C898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D3216B8-EC28-4665-AB1E-099034123BE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63B22201-441E-4875-A3AF-EDA402988F44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3FE2AF6A-8BE8-4E47-AD11-4DBF10F7529E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CAC929F3-2E4F-48E7-9F71-D2CE9F0F7D4C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B5F754C7-8EA3-44E3-8AF5-E5F4EA90CEA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F841E058-2F25-4C89-A764-51146913CA5F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637BABBA-CBE4-48F8-BB1E-D53F926FC7D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0A3A901A-5976-4538-BC93-A1565BAB345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04E3E874-DA06-4E21-91F5-7297A02857E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6F2B21F4-9263-422D-8446-88B320F4010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F257FF31-AE33-46DD-B700-872A4478B4F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44394326-1375-495C-BCC4-9247940E20F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2EFA3494-2B44-4AF2-85F8-A3E8F4158BE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F9437120-5F6F-4CE5-9868-B23D535FFBD9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51E16D8E-A7B8-4042-A73F-88E045EE42CE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24164AE9-F6BD-459F-896C-548EDE173B13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932EF182-D63F-4C7D-9DF7-B613643EA53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EC6782A0-4A93-4684-879E-B9D85AC169F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E43D2027-6C0C-4426-ABD5-54800F53A45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DB9B0A1B-C686-49D3-9811-EEB04035A73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4AF1FE73-779B-434D-8DA7-5DE154A6081B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C9D64D4C-17AA-4D0A-9F1E-DBE351373365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682E7AB-184F-4FA0-9552-007B3490F870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27981AEF-657E-421D-8383-9101B0FEE05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03576DB9-1E38-4207-BDB5-29527035E9E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06305FBC-ADCC-49EB-AF21-D5555356F495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C6C1DCE-A81B-497A-B909-97C6EEED4A3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CA2C91BB-1C4E-432A-9249-29E27C49578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76F9FE7-BBB8-43A7-96DE-96DE3955974B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E0243996-F5C8-4AC1-815C-A277723717E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B91B8C43-E2C3-4C2C-BB4B-C65C130B8389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2EA3990D-EFFA-45F8-AECB-B5D72099EE23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D805DF04-3459-41E7-B9E3-CCBD13E2667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C51BEE86-7C68-48BD-AE5D-3F0551F9130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F1425514-592F-4ABD-86F8-6EF5F459AE6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E4738A0E-05C2-490C-B695-6E80577C97E7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5BB4F74-80D2-486B-9D6C-53C941B1A078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9543519D-813C-493F-A9CE-585C2D6585F0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EA7C6B0C-CB5B-4452-80D7-4D3D5E332F8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90FB2C77-4258-4446-B5E8-CB5D2C169BC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610CCF12-E76E-4B9A-A398-97344207822A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6CF6C80F-B032-41B0-A598-12F1C65E6F8A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CCA61A9-1715-4227-83E9-09627B7B734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E7667831-91B3-40B6-AFD7-BBA9221BAC47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8E791214-D949-4467-8AEF-12E807FFCA4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DFD512F9-5609-4298-9A13-38153B8E571F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0933A36-FA09-453B-A193-8D3949C505F5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8145BF4B-8CBF-4BAB-9A15-34B9B7458A2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52806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65600430-6840-40E1-9963-D5D20D176935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873FF9F6-F2F6-4BB1-BC75-F54A519451C3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BF936F4-A753-414A-AFC9-5903AE97E9E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14463807-E020-4C2F-9157-89CB783E4665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4A7D8697-DC5D-4FE9-AF85-FC264523CE5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8E3318DD-86D3-4FDE-BDE5-7284EE1E40E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59066F27-EDA1-4190-8796-7AE9B31E9F90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9D036108-5333-48EC-ADD6-8FBDBD65ABF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A7725642-0586-4B48-B2C7-7782A7AF961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C99487A6-7106-4194-B38C-EE45A85E834A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26BD0322-7AF7-46E6-A34A-0A18C0F11542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4376121C-CB56-47A9-95E3-E2C93EFC894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8AA63B7B-133B-4D66-884A-7288D58CDB39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2144BB63-4D3C-4B56-8044-E928B4968BFA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EF29705-2456-48DD-BF4D-6A67D8A9B7B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E2D46132-B267-465D-9CC9-D95AEB3A5295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9BEFAD5F-8BAF-4EE0-A90C-E4F8546EFC1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30148D6F-7D74-41A0-A0AB-BE7D9F8B491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8EA7AE9-03FD-41E8-8092-ED146D3F852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15D7EC62-2DF8-4A8C-A65B-64C310C9991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671E45B-9423-4E0A-A996-2DB546263112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6D092C7C-906F-4902-9A0A-33397369702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482B4E09-D0C9-438A-A0BD-E69CC20EF12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A390A1B2-B499-4470-8D94-C6F09C4456D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2374109A-853E-4CD5-BF92-E1E77374F330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0A12AE53-9CEC-4C4E-8002-0BB2D7E75CA7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645DF356-F52F-43AA-A1F4-AF185E828C0D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EAD3FEC0-3A35-4F9B-871E-D42F15548975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5EBF3957-29C3-47CD-8AEC-140CB366B044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6EF829EA-2D7B-44F3-AC99-AF7EF403EE5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A07964A9-0885-4B3B-B053-BD195D41FCD9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7025EF8B-0015-44F0-BB24-AC4BE6D04B4C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B80A0321-D0EE-41B4-AEDC-337795A64CC7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548540F4-8D40-4F17-83C5-22CEFB071EDB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FE37B132-FC44-4FC7-9DE7-D1478D8E624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05404F3E-F9AB-4CBB-A921-C09AD67B468B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64FA0A01-7582-4D71-8C88-5CE4CA4FC93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17E2AB29-A538-4909-AF4F-5BC04D2B424F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BF33E398-D274-434A-A8FC-37F280D2AEAA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0B2C43E6-6591-4C20-9CEE-B4C2EF916D09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D055CD85-C261-4022-8C84-01CAE4E872A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040160C8-2F91-471B-9410-07475388C0B5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7A2055C2-636A-4222-85FC-B4EFED62A51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9CC08B7C-E063-4C40-BCB8-046BA7CC5BCA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A3CDC08-D85F-43AD-BEBF-1DC3BFAC38B7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471B9B6A-AC2B-4716-BCB7-518B6719B04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80F1B886-A678-4B4A-A8D2-4FDAAE8DA33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77F69C5B-653F-455B-89F1-B90E6CAD857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2F01469C-2DF8-4FC1-A5DF-726E5A2D8EA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E0D1D03B-0631-4F4F-ADFD-C29A5B99F8E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6A62D37-6466-4A2D-8F1D-C63AE26CDBF9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E21F5BBB-4503-483F-8DEB-C462FD1B24D4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1F65678D-FA74-49CC-941C-0FC0B1626ECF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5996A53D-4EB5-4F89-8993-4AB2E7FD9B88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4A21984-781D-426D-A25E-A526F5A04BD3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40FEF026-6D2B-4E21-B6FD-0C84BFCA7A73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ABFAB01D-FB1E-4F9D-90CC-3476B345268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287F686E-B035-4324-B139-B985E1673349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283EC99-F600-4EFC-8C9B-E3C141C86DCF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727EF5C1-C06E-4FFE-99EB-61052DD8EF2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1E8E3F72-F850-40A0-AC23-36B371BCF65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C450E18B-71C4-48F6-AACE-134686560CBE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48BED9A5-B461-47FA-9A4A-FC9D188CC760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C029A9A9-DDB6-4339-9435-024C3BF9D8C0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BEBD7B73-3322-4239-A7C7-28968F4F8B36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27C01279-194B-46D2-AB46-522AEC75C0A9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CF20F49D-B01D-4359-9318-D92144DE9F2C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74DFDE6F-07D6-4006-8208-1A4D9F63E960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DE786FE-584D-4D00-A4C7-4186EBB3A43F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F42CDFA1-99CB-4DFC-80B0-FECCA340364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EB4C3C9C-427E-46D3-B4F9-4601B6B2904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179EFC15-2CAA-4E46-982E-4841029D9BE4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C6C44BC0-4401-4106-ACCA-2E5E2E58140D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C3B9DC63-3E76-40FD-83CF-774FA5C68A0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7EDD96A-C9A7-47E2-9C20-E15F8968B88E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10BA76FF-D8D9-4AE7-A8CF-D4AB94ACF866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BE4FE87F-EA82-40FC-B4BE-55B4CFFC08BE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1" name="AutoShape 2">
          <a:extLst>
            <a:ext uri="{FF2B5EF4-FFF2-40B4-BE49-F238E27FC236}">
              <a16:creationId xmlns:a16="http://schemas.microsoft.com/office/drawing/2014/main" id="{6EC306AE-78E5-40A4-816D-B2B6BE8476C6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07164BA1-4A7F-4DB8-BC9A-13A8899BAED7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3" name="AutoShape 2">
          <a:extLst>
            <a:ext uri="{FF2B5EF4-FFF2-40B4-BE49-F238E27FC236}">
              <a16:creationId xmlns:a16="http://schemas.microsoft.com/office/drawing/2014/main" id="{3EAB67AD-F97C-456C-9CDA-9864D4B023B4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D29FFBE8-7D6E-4480-8889-09B534652490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5" name="AutoShape 2">
          <a:extLst>
            <a:ext uri="{FF2B5EF4-FFF2-40B4-BE49-F238E27FC236}">
              <a16:creationId xmlns:a16="http://schemas.microsoft.com/office/drawing/2014/main" id="{D037CF9D-C73C-4C32-8E96-04FEE7648BC0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9FA7E1DD-243E-4001-BC34-CA346D08C5A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id="{BF83ACFE-65C0-433A-A081-7B8C538F6B59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8557A8A-76A4-4EF1-9406-52B8FA867428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9" name="AutoShape 2">
          <a:extLst>
            <a:ext uri="{FF2B5EF4-FFF2-40B4-BE49-F238E27FC236}">
              <a16:creationId xmlns:a16="http://schemas.microsoft.com/office/drawing/2014/main" id="{B892E03B-0151-4811-8DCF-56FF643C8EBD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FEEF754-6E93-45AC-9D5B-7CE641184AC4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1" name="AutoShape 2">
          <a:extLst>
            <a:ext uri="{FF2B5EF4-FFF2-40B4-BE49-F238E27FC236}">
              <a16:creationId xmlns:a16="http://schemas.microsoft.com/office/drawing/2014/main" id="{78E6F4BE-094E-44D3-85F4-6D162B62E75D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D69F1633-C06F-42F9-B19F-2E2AB362102B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3" name="AutoShape 2">
          <a:extLst>
            <a:ext uri="{FF2B5EF4-FFF2-40B4-BE49-F238E27FC236}">
              <a16:creationId xmlns:a16="http://schemas.microsoft.com/office/drawing/2014/main" id="{8B39F51F-31E4-44B1-9F03-6859BAF3E9E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794566EE-1302-49F2-B829-8551F2298A6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5" name="AutoShape 2">
          <a:extLst>
            <a:ext uri="{FF2B5EF4-FFF2-40B4-BE49-F238E27FC236}">
              <a16:creationId xmlns:a16="http://schemas.microsoft.com/office/drawing/2014/main" id="{BEEBD6FF-D97B-422E-BE17-DAA2D23FEBE2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BB1674B3-97CF-4740-B6CA-3A70BFE6D1A2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7" name="AutoShape 2">
          <a:extLst>
            <a:ext uri="{FF2B5EF4-FFF2-40B4-BE49-F238E27FC236}">
              <a16:creationId xmlns:a16="http://schemas.microsoft.com/office/drawing/2014/main" id="{723CE23B-910B-4C1A-84B2-DC922979256F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C9077E1D-8390-470B-811D-F1338259A26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id="{4F9621C4-50D9-4570-A580-941A18B0EBB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DE96EF31-371C-4925-9A13-64171A61E90A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1" name="AutoShape 2">
          <a:extLst>
            <a:ext uri="{FF2B5EF4-FFF2-40B4-BE49-F238E27FC236}">
              <a16:creationId xmlns:a16="http://schemas.microsoft.com/office/drawing/2014/main" id="{BA9D74DA-EC79-4108-A3D8-2AD2C0B78E72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78B951F2-4FF2-4DC1-AA7E-20A1AD877ED0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3" name="AutoShape 2">
          <a:extLst>
            <a:ext uri="{FF2B5EF4-FFF2-40B4-BE49-F238E27FC236}">
              <a16:creationId xmlns:a16="http://schemas.microsoft.com/office/drawing/2014/main" id="{FE77613D-C66A-41B9-BD78-0D50A88B59F5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5EC11AB-2560-40C8-92F4-ED31EF05CAE1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5" name="AutoShape 2">
          <a:extLst>
            <a:ext uri="{FF2B5EF4-FFF2-40B4-BE49-F238E27FC236}">
              <a16:creationId xmlns:a16="http://schemas.microsoft.com/office/drawing/2014/main" id="{E89F4AEA-3EC8-45C0-A76E-52629D2B776A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869E1EBF-3E90-4FE5-B531-CE8DF3F5E99A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BA3F718F-D127-445C-9BD7-343D56CEEB8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526206E1-7D39-4F16-A41F-8AC38F78D62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1EBF0699-EE32-4EC1-A723-0C19965CB72A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8949939A-7A04-4D47-9511-8305AB5C06A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782BA573-6428-445E-ADE7-6603A6E2871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51D072EC-DF84-45D3-8698-AA17E42DDDB4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799B89B0-2679-4938-A409-9A78BEEC1082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id="{DF24675B-E537-4259-93AD-99C39F1E151D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21937980-EF52-4A9D-828F-37FCB1F3AD0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id="{B8393F43-17AF-43E6-89DE-DFD77D77A1CC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10D53C21-8A86-48D7-B23E-4B7E9E6D4021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id="{D390C2C1-5172-4035-86FD-3EAE63CB5E5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A68955DF-B241-4465-801A-14918FD33091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id="{5681D11E-C2AD-4DA0-9989-43E4D73ADD8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486F64AA-AF22-465B-94B2-841C4F57CBA4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A07A6FE4-7DE1-435B-9DC0-1285892B821B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CD253BDE-DD1B-4EFA-B040-FD8CCF93421F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id="{671CF855-9A80-4D46-A9C6-BC15A15DD58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CAA4EFED-6BC5-40C1-A225-129BF5993AB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id="{4D0C6A86-D12F-47C5-8722-8734025CB06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B03547A8-EFE0-4EE1-9D68-17CDE3BD363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id="{6CCD2C6F-97E3-49B9-81AA-82E4031E60B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EE6C89F9-D573-4AFA-A84A-104CB498407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id="{752458BC-9DB2-4E6D-8FFF-92B510D263F8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8AEB6849-661C-4DD7-A90F-D0631EBB989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527B5E21-3D53-4E6E-92CB-A574866D794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10F043D-92A9-4760-9043-F4137C6DF0D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9B64A9B8-4427-46D3-AD71-439C85991DCE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C79D99E6-D5E2-4166-A458-C96A73E684C6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EEDE5F22-D872-4F45-BBD4-40E40CF591F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D80A2B2-2B2F-4331-BEC8-DC1FB98F3E5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009E2EB5-4655-4498-8E07-C7B66CBB0CF9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D86DC281-426D-460A-9BC9-059A277595B9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EA8442F5-038A-498A-BD5D-7C0514720BD3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5AA4A21E-FF38-460E-9976-0BC48EBC3477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8BB2F273-46D5-482E-913A-2B5A440A495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BFEAA6BD-175E-4A40-B6FD-17787C61ED02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99A63F8A-74A5-4FC4-962D-B02C13ED902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50BF9D8-6021-4067-826E-2C3B863F9263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D0F27D4A-699D-41CA-B6EA-5F44D3A899F4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73D0B018-D27A-4194-921F-360F408882CC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id="{E6316456-FDDB-4D46-9B97-424A19EC7A03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56BEB4A-9A62-4029-97BF-7E6B9B190EAC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29D0A793-D06E-4A7A-B3AC-8800BE241DE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D6CC7996-7507-4F6E-8224-C3DA010AB42E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6018D1C1-7D14-4FB5-9D70-9A0F92CCEF9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A9286069-26B4-4EE4-B08C-7EF917BA10D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95A6679B-D3BA-418F-8DA5-50AFD1A6180B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1A90C0AD-117D-4AAD-91C3-386A69045B34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24842091-EFBE-4F23-9D36-87E0B551366E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9031CD42-49D4-4005-AE8C-093F592BAC50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F3A8C394-6E45-4ECD-B9FA-2A23D1BEF4D4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BD0E192C-6FB3-4BD0-9C8F-DC4C369979AE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8A657154-32CC-409D-B08A-27077428C536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B40FDA79-E788-4BFB-AF2B-967A07F96D5E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id="{A14CF5C8-1D5B-4409-8BBE-52EB6B9719C7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5F64873A-76D9-4305-B1B3-B4391457429B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id="{DE7E0624-2B7A-442F-B6C3-174F4667ABF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7BB79B4A-C63F-4561-8A54-A324ED9E4B4A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DA8CB8BA-1BBC-4426-9651-3AAFFE9C415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675359E3-B341-49EB-B6CC-5DB85703508F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2B7CB275-FAF0-45D9-A5E7-8B3A84DE544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149B4DDB-1E95-4FBB-BEE4-9E7921B796A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E7134234-BE2F-4A75-BC2A-994E5C85CE17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7B6DF6D-95CE-47AA-A46B-1B0DA4D9AFB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FEC8D5B-9212-4565-91D0-2296AC09BF1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A1A1892-DF96-4629-82CD-E77A3752538D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E100A3DA-DB6E-4F8A-95A3-1FD43013C0A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B66F8D1-2135-4585-BF8D-00F891D6FBA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4E98ADF-D8EE-402D-B274-A140F70AA7FF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81A56C8-A9E8-479F-BFD0-5E4FF856F0C8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77E8C79-86B1-480B-994E-F1BDC455F0E4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8C14EA5-8DD4-494F-9B7F-8009EC554542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C298E734-F32F-4813-B813-6DDEBACB7D57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CF4982E-03B4-4B22-9383-BA6E3B7E4D4E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B25D8B-A52A-4033-8361-B8EF27BE17AB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357B585-ADEE-4A9A-AF34-24F43A5609F2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06074658-387A-466D-B8F1-351148E0F1B5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5885857-96DA-4EB9-B7DE-D675D12785B9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EA83AE6A-F6B1-42EF-B3E1-79A5D8EB8A8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DE80C40-7B98-435E-A059-A557A5A2AE95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D43AB5-2567-4ECF-BB77-423E2B5D7C5B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D81CB919-9340-4A66-A8AF-443717AAE3AD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6AC678C-A87A-4CF8-8BF0-A463B359749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CFE4A14-F234-44F6-9F0B-89AD5BE3FC55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44C7F81D-4EF5-4843-AF14-209C48188B72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292DB39-C9FA-4AFA-9F58-3E04493873DC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5FFBE233-1949-4C17-B9EB-5AEDCC897F7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27B07CA-2E17-4A35-A679-754E1A6103F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B7B4E5D2-44EB-4B1E-B323-C2E6D6F5A66B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4CA55A4-6207-46A4-BB28-1DC5B9E0F14F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161BB2F7-1568-4EC8-B836-1BFE3F930C1D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C382878-BFA2-4F54-B781-A062B0B2B07F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D9BA84D-436E-4141-813E-B0BB685EF85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F9E6885A-2F28-4013-87AA-BF3A4897B28B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27435AA9-6369-4D7B-8AD7-751A2A9E478A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20C23D06-10FA-4AF6-B2AC-750FDB4DC787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E8B2BD8B-0838-435F-BC6D-F3BBED4ADF75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22C6D76-9FEF-4999-AF08-0FF57DCC6BD8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F4FED8C9-BE63-4998-8FF3-A1F44C7DAA74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A1AAEB7-7BCE-4806-8210-C373D5C7753D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6AD838BF-2C64-4088-AEEF-29106EB4282E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4A4C7B7-4612-4807-BDB1-0C2649F7AB57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78118E77-FDBB-4F4F-88E0-EF503E72AAD1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7B61864-1D9A-4DCA-B404-BF61BCC139B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D0086548-625D-4B10-B85C-FA1552C0364D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D76DEF3-E67D-4D7F-A7E4-FB4CC0E3F940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036C3BF5-E2E3-443E-AC2D-DA6D1FC9B823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D92C152-A031-4C11-A16C-716B03579C49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110490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9BD683C9-CFDE-41F4-B3F4-4F55E8EACA8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8AD57DE-E4C2-41BC-B314-61E02E757CD8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A0B16321-2080-4A72-B8FE-C73A260F604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FB62B3C9-F604-4C31-A6E7-87CFF3ED61E7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5D173B8F-8C81-45D5-9EEB-04490C2139E5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F54D65ED-834E-4199-8713-D0DFD1D2226A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110490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E5F948FB-6061-4F04-8900-F37F6AFFFF8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6357580-F2B0-437A-906F-5B8E53903C34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E5A8D18A-A119-40E7-BF15-02624EE8F7DE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FF5FDF68-82A3-4121-9FB6-173EE47E25CA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BB6A5A89-F5DC-401B-BAED-E618BF13A337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79313945-1B38-4BFD-914A-F65110D6BCF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F525B053-9C33-4ADE-A07A-086858DE6CF5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3B9546F2-A660-4EDC-8E81-35DBF6CE0F5C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D4D8AF0B-62D4-4502-8CBC-95816266D0CC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F99E6D1-80FF-4F55-AECC-1EF4C42F64FD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D5CD6B44-F07A-4AAF-9572-5C417364F77D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A93B14AE-1B98-4A75-8791-14E78E5E3A3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54359A9E-7EF5-49C7-AD5D-13865ED1E827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423C66F5-7684-45CF-8E99-B1D06C1C5E0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F07851F8-C011-44CF-96BD-D842AE75ACC5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8E47AEB-0716-4C00-913E-49C434CF087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110490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E2CAE0E7-2983-44F9-9707-1ADD0119144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31250BB5-F64A-41CC-9ADB-A3986929C6CF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58814701-59BB-4B5F-8DD4-726C02ECDC75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43B42F5-4329-4D53-A1D0-5AF9AE0640E8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6EBD4ADA-D0AB-448D-9DD7-A3B40EDF7595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1E5A6B99-9554-4A4F-A473-E19156154E9B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A9F60EA2-F18D-487D-82F3-5287D974140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CDDF4E00-A2B8-4D5C-9FE7-2E3033B2A83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5F6A38DC-861F-4769-84EC-D82D12314963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4E0CF55-21B5-4A4E-8009-9EFF52871C7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7032FD58-A5E8-4B3C-BA7B-FF86C3A04729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6D5D7F1-CB47-4EEB-9453-742CDF0500C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56C9A4E2-40B5-44A1-B12E-7AEBA0AF358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2438C0C-872A-426E-B6AB-55C456E3ADD9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5FEE0C32-B0E1-47CB-8EC3-839C618955C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E61A1B6-A633-46FC-A478-FBA9584F5D42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B021A3D3-3949-4704-A7CC-4B359EAFB68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1121D2D-547A-428D-A88B-C5F80B68567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944F03BC-2E2D-44B4-8A9B-A7B0C915693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DDC17974-68B1-4131-B662-10ABE982F12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F303D972-7483-41BB-AFF4-5BA7FED61A0E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754A8B14-FA87-41A1-9FB2-C4DA6274BA00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7EE25F3F-7F3E-4561-909E-469EBE92B971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C244295A-0EBF-4DC5-888D-895CD1637863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14BA2A6F-D9DD-44DA-9347-5F839B16E452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3F44BEA0-6525-446B-AD1C-C385EF5DBDD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923DE1EC-E95D-4662-BD3A-9384BC2CB37F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D2624145-2683-424B-8E5B-2ED30A2604BF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C56449AE-4FC9-4AC3-B227-72C8AC91336E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7030887F-B17D-44DD-A581-49C694F8D226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A340E3F4-1361-453D-9238-FA096EACD73F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319C41EE-BA8C-4DC3-9EA5-1E67A1C5FB4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309D6237-6258-449F-AA3E-3B12E0DDA213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D0BC80B-67D9-4A3C-BCAE-4B9BF9AFF2D7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DBCF4CAC-C227-421B-853F-E016AACC4606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E91D7C6-3BE2-4EBE-A971-A4602F87B317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D7CB2A18-7855-48A2-9644-478024763AA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F62B926D-E004-45D8-8D82-784805E7797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00EB9B05-58BE-4181-9936-6EAEEA1E100A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1E8D301-AEC1-456C-97EF-368DD15FA998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5E16B7F8-5EA3-4869-B0CC-FD1EB9EF0F3C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ABE6612D-AA03-41F7-819D-E0772FA4ADB9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97E0BC8D-7138-4391-98DB-02C35E881334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9FF5BDD-F938-4492-8A12-9509E7513562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BDABD8EB-C3D8-4699-9976-78BD09B3D92C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A1B59CD-DB77-44F3-BAEA-C904209F0E4B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38A1A2B5-4C5D-4502-ADB8-829EC61B7FB7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29AE36A9-067F-4E3B-B7A3-D14DEABA7C2A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21A6A75A-14C1-4C8F-BF7A-9DA2D144987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95E8CD18-6EC0-4053-97E8-5A10FE96B09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A5676A24-59F3-44D2-8D1E-BA512F35EE03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232649C8-6EB3-4E59-83EB-E1874764D9C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EBA5AFFC-E9A7-4B2E-BAEE-2F4F8270967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C27CB376-8CCD-44B7-AD61-CA5D46D2D563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508422CA-D0CD-4DB6-AB62-96A3CBDE979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D6DBE7C1-9CE3-4F62-B058-FB1CE59A9717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0315F563-D0B5-4B2C-A9B9-89754CE999CD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17AF67A6-6D3A-406F-A7D4-AD8A73CF0CF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7B87336B-84FF-4343-8508-D5584757EBE7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D3237158-3EA3-4026-B3D3-3F54F4DF1D7A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2B980C2-C24D-4D4D-8E0A-1892D1CB4DB0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BA2C5337-6E93-40D3-9C62-1E887FD310D9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70CAE123-7C93-4C97-B4B6-CC9B69E8A6E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5736C7E5-7F45-4217-AEB6-B72D75A8751F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FADA9B7A-D46F-42DF-8917-7919B5B2A7B6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76D002E-082E-442C-92BA-9EFD61B457A0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6D1A33CB-453F-4BAC-ACCA-4895B592E8DC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DBDFC121-8DAE-426C-BA7B-92288C7B4BDB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774F7FFE-7FCD-4E83-BFB5-A72128A37120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319087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9746F80A-F122-47D2-9EB1-95A4E3C5C696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416D12E9-FCD4-4C3B-A723-CA5592331040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5E585822-487E-46BA-B017-05BE48E83471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69242D70-A223-497C-96D6-061CC478087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FFF3DE2-C7EF-450C-A400-E43B9660F58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8B9246F5-319B-4DD5-A020-7315B223196D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27AEF06D-21F9-420D-908B-3908E66E9354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68F55CF4-465C-45F2-A22D-7DBA7564B6F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2768FCC2-0627-4B87-AD3B-8C23E578506E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3916C444-CA99-4B8A-867E-F4DB875D60DF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60D3AE06-0075-440F-904C-E328700ED0BE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40A516BC-8EBD-4307-97E3-CB3FA6D991D0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91EDECCC-F0BB-475F-A280-FC488EDAE15E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7F709833-39DD-4A08-B0D3-88E9541D956D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4DA53AFA-9FCD-46FE-A352-B99959BFC21C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099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16070473-6C03-42B9-802C-A8E54A09C69A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29432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CE6D52E-505B-4D71-A44F-45C1A638FE1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BFA08AD4-E127-45DB-9F9B-0E052AEAD6C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2983D695-5924-4997-9768-65DA49346653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C5B6E280-F51C-4AC6-B9EB-840F52EDFAE1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87C21AC3-15D3-48E6-BD1E-9201CAA249FD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0B3AD5EF-678E-4E32-B02F-14E2A8F6C15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23C5DD9-D557-42C4-9CDA-32AA8AB0CB89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45D1E1EF-8803-4780-BCAA-905F4688706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B62969B6-4D83-4CDD-B6A6-7BE3C76E75E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B7D7C9F5-8CF5-4DCD-A4FC-66AF79DDC606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2AC665E-B130-47F6-B763-A1C0190EDBC1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6F7A427C-987B-4292-A5DF-06C897759BF2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980EE99E-C35D-4729-A819-BF57189BC194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C7C4C673-359D-432E-937A-7C42426487E2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9720EEE6-A2D8-4922-8759-BB8B0CDFB21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B344327D-32F6-4B22-AC2A-8418565836D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FCC8963E-BB55-4F80-AE1C-ABC8C8EDF201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11B978F0-8BEE-4A29-B935-BE36BE8EADA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C3A070A6-7142-4A5E-BF8A-A113A0F543A0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04C9F8CF-9B78-4FFA-BDA8-A73100B14A9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63E09D4B-F31D-4E38-A321-C06081BFC93B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1CE3CE33-1688-41A2-A4EE-6420EFB2A7C6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A571E29F-006C-4307-9C21-CE4F2F9FB06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9D19331D-A2F7-47BE-BDDE-C342E21AD6A4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EBA08B4-6A2C-46A1-9794-16913031758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47A32535-6709-484E-BB23-D65898364376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14024100-A77C-463C-87F9-AAA266912831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FBA028F7-CFBC-4EB6-A1E2-32A1CDC384A2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C230845-D8AA-474F-85AC-2533415ABB8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29624517-66DF-4B09-9324-39B24E3E8D30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8FEF0C7-6A88-4E40-81B8-21D9E8603D9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E6C910A6-0897-4092-B4E5-F75AA60E6B3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E8420526-4FD0-43D4-B323-D28144C0CACA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42545A3D-9F92-4695-8D94-B2D49C1D84C8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B04E97C4-7992-48AA-9261-D90A37B591D4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16DE6CAE-F825-4F42-BD38-3EB161EAB1A0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64FC5E1F-B788-496A-B460-42895FB84BE2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ABDDCC72-0446-401A-9F1C-E908ED9D2B92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23C35327-E85C-48B6-92BA-85E48CCD3549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3240ED34-98AA-49A5-A6D5-78156D6F162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2550577D-267B-47C5-AB93-4ADFA37D9901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E1E1C62F-1076-4EED-AD83-E4D3761DFE2B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99BB15EE-D1C2-4D03-92EA-E57D9BA809D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1FB6D50C-D8CB-43C3-8BC0-C5428255524C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EEE921FB-7443-472C-893A-ED82F644298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75AC52AB-D08C-4A5C-A807-07CB0A54983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2BA991E-587D-467E-9F6C-0FE4E15A866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4BE8B790-12EA-4BBC-A453-03228364B89E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A522153-AB36-48BB-A0BE-CAB5F9A7F27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D7259BA5-F143-4E4C-B82F-056E006119E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1295499-8B01-47C5-823D-A612F600FCD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7C1D8873-1EDB-4941-BDF6-32329E0D570A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C30DA576-B05F-483D-9F68-9FCC26F975A5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431B0C58-6FFA-4971-BC7F-133CC1EBF8E1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349D154A-3C76-4B46-AF9B-DB26F449F440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4A6160AC-8B11-42F8-BF2C-7273F3F55138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4C5ED88F-465C-43C4-9A72-AF5A2D535E47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B2B2B913-0700-416F-9403-DDF936A148A7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403D409F-EAB7-420B-A701-39CDB5AAFA9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9F1CFEB0-CEB0-4391-84FC-9AF9DC4F8B3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54F68C33-2CA0-47B9-9AC9-C4BC87D6B98E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B840601C-0774-4618-BB4B-1CE040E8FF69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F7953E8-0925-472C-903A-76F2BD281C0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4B5D38C1-1771-458A-8F4D-092CF1D022E1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80F8C41-D747-48EF-8B8B-C0F25849D018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8AA6908D-3E02-448B-B36E-D1BA6A8ECCB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A22EB762-21B1-4B0A-BC12-8BAA3F3F4CFB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F9CFFEE-7220-48DE-82BC-0E3BF699977C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783DAF7-D8D6-4CA7-BE7C-9988BABDB6CF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CD066A04-9D24-4091-9076-81345495275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B645E249-D1FA-4A13-8E50-5B3271C789A0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DE8C5813-A838-463F-9D18-51C77DEB9982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ADBE30DB-9096-404A-A868-7922882B547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FADDA6AC-88A6-41A9-981F-A85BB8C6E9D7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BE9F73D-CB87-4EE1-AD13-35565DB453D6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A72A256A-E0C9-486C-A24F-B435AEA2C869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C68E9AD2-BC6C-4814-8F3A-D2DA872A672F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04A0DA55-6688-4B80-B481-E13A67672E6E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618A777-C664-4FCC-BCE4-936F759F0883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AE5AB591-92CE-499E-B9EB-73CA15F8F530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562725" y="12001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FAF845C-B9F8-4535-9586-B606DAAE610F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FAEA3137-516F-4687-A7BF-18A971C6FFC1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8FC2142D-E74C-4B06-9536-649154740551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AC59B5C4-B8F2-48D4-959F-6D9FF73E9D75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EC881761-61AA-416D-A05E-CBB992DEEA9F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ED0BA175-269A-46A1-9D0D-3BD4A7E01D5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02BA16E9-E231-48F2-ABEA-C8E32BBDA17D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8E137C7B-C57C-4FB9-98C0-FEA506F41FC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191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109B8FE0-A5F2-4B34-880C-AD14B1EE082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C450D329-E9EA-4416-8FC4-24798FE057A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AE03011-715F-4F69-BA65-DD6A235CEF6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94E9DB28-7AF9-4266-A6B5-9872DB80BC3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63669BF7-4453-47D1-85C4-53CA123EFC9F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187B8561-77FC-4CF8-830D-B741CC55391D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67B45BC-E951-4163-8947-6488303713B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760EF589-BA16-49A0-9FF0-D303F80EC376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1C00B39A-071B-4D24-882D-10E21358ABB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5CE2E279-41B9-4F16-832E-341CD88224CD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6488B7C3-58AD-40A3-9A80-F13B68EA60E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078D57DC-8387-4391-B9CE-8C921F281AE7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88462BC8-732F-4063-AB6B-031011E3205D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DB33CC93-26F7-4589-9B52-54987ACDF465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DCF8BCA5-EB68-4B2E-9E8D-8D425D23BC0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360C65AE-C46E-4587-8C55-23F209F9C625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EF20D2FE-21D6-45E4-AFF8-1BB86625FC59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1C7ABB3F-13FE-4006-AAFC-1CCD0A55D392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514A22D0-69CC-4C30-AC53-6E40EEC94BF2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A679484E-E7C9-498D-8C09-750A16F7EF86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5ABBB7A-CBFB-4EDC-BC11-2196446F7160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5AB34B45-FC6A-438C-A7E2-72088EFEC40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DA8229A3-48D0-475A-9D2D-93033ECD9845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443B02DC-1B54-47A4-AC64-3D515BF499A9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2DA30EEC-54D5-41EA-A1DA-BF5C44A01F68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C3985187-98D4-4667-BBDF-1268417AF10B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9AE07099-7D6E-403A-8F63-6B80C86902F5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50359620-5DB0-4128-949B-4A697F474FE2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486EE401-BE8B-4312-A026-CDA0ADC8334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DA4FBF26-74CB-4574-BE61-1E43D7617429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196BA51-0384-4D49-9D5D-0127336CBB1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4A274379-A9E6-4668-AFA9-4DFF67CEB14C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5DFA2356-934C-43B5-8BB8-AE717D076D27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B423826D-4EDF-4B04-85F5-441A7F6FA76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14B0909-7ACC-4A70-A60F-F54EB4356996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8477FB57-11B1-48E6-A24B-879EDCAF933E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120D802D-01C6-41FE-BA7A-707FB1D58FE6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9CD6125F-06AE-4E1B-AF9B-998A15ACF70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57169BF4-636B-4C6F-904D-46F9FC7AA1B3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5D83940C-92AE-4722-B725-B32F2F07183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AC59D99-E8B4-4602-8BD3-1F1950F0DBD4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4D4F407F-63BD-4369-AC91-3C584958CC4C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F7BC039C-7108-4B14-8167-DCB58FC107D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ED60029D-8ABE-43DE-817E-804B489EAB1A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34C0BC4-C7AD-44F1-AC4C-79C31CE6E4B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1C23AC67-1F68-4375-B9B1-415CC739291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C320843A-622E-4DFA-B302-D55572CFEAE0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2B93252D-5DAE-4FE6-95DC-DFC34FC82DFA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A0A53083-671B-4419-BC9B-D2869C387E6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8AA1A269-FE2A-4B2B-AA06-6589D7CCAEC8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B577C7E7-1EBD-46E5-B329-0866B1621EEF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D368F4A2-B041-4500-A4D9-2A42D430F39F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A9BF9AC1-CB09-45C4-ACEC-2061A892BCB4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13C1BA81-E865-44D5-B981-7195FD9FC051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7B067CA2-F1C8-40D7-8937-8ABBDD10C5D1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F86EE9F1-38A2-4E4B-BA02-F1F72E67938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EF78F239-4011-4850-8460-80C456CCCABC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41F73C7E-7A1B-4276-8338-DF0D5991A4E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F81073C5-401F-4158-9856-864A39722536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D138FFEA-F281-469B-A64F-0F0CA35729E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A3682722-AF61-4CB3-85CF-72B4917BBD45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055B6590-B06A-4AE4-9DDC-5DC62396830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93C4957B-E781-485F-AC92-D59B82DC27F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943F1FA4-5534-49A8-ACAB-EC8112E48454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14933A0-19B5-4A43-B30F-E3B630EFAB0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5E4618FF-EF46-4BF9-B6D1-68C523FB274B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46F005AC-0634-4439-AC95-DF05D89C6E69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AC751611-D025-4BF4-9457-42F0372C10CF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A312D794-F1AC-45FD-AD9A-2D8E60122EC5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1" name="AutoShape 2">
          <a:extLst>
            <a:ext uri="{FF2B5EF4-FFF2-40B4-BE49-F238E27FC236}">
              <a16:creationId xmlns:a16="http://schemas.microsoft.com/office/drawing/2014/main" id="{B24842E2-E446-4DB5-9FC0-ADF7357EC7F1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5FF8B352-481D-4BE6-836B-9CF288251722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3" name="AutoShape 2">
          <a:extLst>
            <a:ext uri="{FF2B5EF4-FFF2-40B4-BE49-F238E27FC236}">
              <a16:creationId xmlns:a16="http://schemas.microsoft.com/office/drawing/2014/main" id="{72826E51-C57F-4C0F-B420-9BB55B0F27AE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466C8DBA-EC02-4292-9A4A-AE125A3BADB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5" name="AutoShape 2">
          <a:extLst>
            <a:ext uri="{FF2B5EF4-FFF2-40B4-BE49-F238E27FC236}">
              <a16:creationId xmlns:a16="http://schemas.microsoft.com/office/drawing/2014/main" id="{D265F379-DF5F-46F4-83E6-B4CFB43CEE58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28C401DF-379E-49D5-BE00-2EE08DFDA9D1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id="{3B37E4CB-2EE3-4A9B-88DC-36756426A79C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A77196A8-1398-4A23-88BF-9E20727B57FD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9" name="AutoShape 2">
          <a:extLst>
            <a:ext uri="{FF2B5EF4-FFF2-40B4-BE49-F238E27FC236}">
              <a16:creationId xmlns:a16="http://schemas.microsoft.com/office/drawing/2014/main" id="{2FDABDAC-A9F6-427A-89A8-56FA7FA71961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12D95E3-736E-4814-B6D1-261598F3650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1" name="AutoShape 2">
          <a:extLst>
            <a:ext uri="{FF2B5EF4-FFF2-40B4-BE49-F238E27FC236}">
              <a16:creationId xmlns:a16="http://schemas.microsoft.com/office/drawing/2014/main" id="{503C0DA2-45C8-4BC9-A5D4-6DEB4553018F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794ADFAF-BD0F-4B1E-82E7-64555B0D35CE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3" name="AutoShape 2">
          <a:extLst>
            <a:ext uri="{FF2B5EF4-FFF2-40B4-BE49-F238E27FC236}">
              <a16:creationId xmlns:a16="http://schemas.microsoft.com/office/drawing/2014/main" id="{D496B1C8-0BFB-4D35-B0A7-7579CE6C0782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8E555550-EA97-464F-A56F-86F8BA94C25F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5" name="AutoShape 2">
          <a:extLst>
            <a:ext uri="{FF2B5EF4-FFF2-40B4-BE49-F238E27FC236}">
              <a16:creationId xmlns:a16="http://schemas.microsoft.com/office/drawing/2014/main" id="{6606C03F-12B9-491A-9FA0-E6300801227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37807F18-7E5A-4A29-9261-96D849E6C1F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7" name="AutoShape 2">
          <a:extLst>
            <a:ext uri="{FF2B5EF4-FFF2-40B4-BE49-F238E27FC236}">
              <a16:creationId xmlns:a16="http://schemas.microsoft.com/office/drawing/2014/main" id="{BDE0BC47-10F9-4E3E-B3A5-DDB2A448E4E9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D21E8497-1725-44DC-B5D7-D4319739F2C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id="{8FE1650B-D43A-465D-8A1E-3D4F050FB6D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0FA2286-4006-4118-AFA0-87F57C24EB44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1" name="AutoShape 2">
          <a:extLst>
            <a:ext uri="{FF2B5EF4-FFF2-40B4-BE49-F238E27FC236}">
              <a16:creationId xmlns:a16="http://schemas.microsoft.com/office/drawing/2014/main" id="{207A8960-1A0F-4F7D-8749-85E4BD1F58E9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6BD3F16D-DA2B-4715-91C2-B7F97D3CA6F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3" name="AutoShape 2">
          <a:extLst>
            <a:ext uri="{FF2B5EF4-FFF2-40B4-BE49-F238E27FC236}">
              <a16:creationId xmlns:a16="http://schemas.microsoft.com/office/drawing/2014/main" id="{0EE5C191-D218-4362-A239-3513D4587531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2CEF2A97-2B2C-43BF-A7C6-CA0BEFFCB0C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5" name="AutoShape 2">
          <a:extLst>
            <a:ext uri="{FF2B5EF4-FFF2-40B4-BE49-F238E27FC236}">
              <a16:creationId xmlns:a16="http://schemas.microsoft.com/office/drawing/2014/main" id="{F06D2137-AB9C-43A9-8370-AE8544C22739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B9128394-B1E8-4A61-9D4B-C20F0C4D3DD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337" name="AutoShape 2">
          <a:extLst>
            <a:ext uri="{FF2B5EF4-FFF2-40B4-BE49-F238E27FC236}">
              <a16:creationId xmlns:a16="http://schemas.microsoft.com/office/drawing/2014/main" id="{C13FE0E8-C70F-4C6B-BE41-87C3466DFBDE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27FD4142-7767-42B2-AC2A-1726F36670B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DBD70769-84A3-47EA-8F29-6B227593D3B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A0BFF554-6382-4CBE-87FA-ACDAD6D92107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467DE5B8-4F4D-40F9-BFB4-00D551A71B1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1E25549F-09C6-47A4-8874-BED57323E5C9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4D5D3EC7-70BD-4338-9D93-6C8635C4EA09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6C458F75-5024-4920-9868-588F700D8E86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id="{FE701414-56A9-4AEB-95C7-7C6658DB7F6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C03B1622-1865-48CC-9CA0-B57EDB92A6C9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id="{B082C07E-32F7-430E-96F6-7DB94368789F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B71E8439-12E0-4EE0-B2AD-BB513AD9CFC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id="{C2486901-AA96-4D74-8922-4F4148F5D35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3ADD5522-B479-4C1F-A644-1066E2C6D51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id="{B4D5D0B1-F9C6-4C00-AD65-577735122E82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7FD32AE2-D809-4176-8584-813026D40F2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F2CD7FF6-7943-4BF4-8BDF-C1429B1F957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D18662EF-214B-4917-9784-559346940D3C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id="{51A49F0D-36D2-4B37-8E9D-7A644D7664C2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6CEF4DD2-D7E4-4782-91E2-AF5BF24101AF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id="{E65F517A-D7D8-4354-A7CF-D1CEAA0F0CD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BAB7C976-B363-4187-8AF6-95115184E6E0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id="{4C6F9DED-A91B-482C-BE7B-758FDE79B522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607356E1-0361-42AD-9184-821813D68DF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id="{B9485BBC-69C1-43B7-955F-3B31458560E6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513C6B29-4507-428F-8EC9-0CB5BBDE35AA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D34B7613-187E-4BAF-BECF-CD13C4B0C22B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F677961A-972A-44FA-91BC-D8CAB732A0C4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929E22FE-0C7B-485E-9290-70CCCA63E86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18FAF9DD-EE61-42CE-AEDA-C83B052470E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B12B3F78-0652-4818-9162-DA352D46D816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4A9EE5C0-2113-4243-8548-8F644BDA7F34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C2A75DFA-4924-46D2-A081-A3BBA416055A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DCC1098F-EDEA-4F32-AB55-B1EE6B630CF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EAB7A778-CF35-4FCE-8C55-CB3EFBB64C45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C1285874-F113-43AE-B96F-17A5A67CF801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84767B36-0CED-4E7A-86D9-AC1AE6D49FC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3EEE7988-186C-47E3-961E-7996586753FB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BBA43CC5-B462-4096-AF73-6F58FB11D966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B679EC6-32C8-41D4-9D5C-80BEF90AA204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D6137EFE-B348-473F-84EE-799140F8A6D7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913A8887-8E9E-4332-BD2A-352A7B6A5BD8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id="{31B8017F-E999-4BEC-9CB3-F2C0BA7C5BF2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9D2E4EDF-0E6F-4536-B29C-FF0ED9F99C70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3483D74F-62C8-4AE3-96B1-5CCA8DEE12B9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B60659A9-0158-4D16-8E3D-7C314C8F1F5C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21406B88-1826-4430-97FA-163A5FA5F126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B80A7DD7-CF67-48A6-96BB-2715071E0B25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BB3C2824-D527-4286-86FD-269F5A78EAEB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63486E1-62A8-4834-9E47-0885210C6A36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3FAD1B41-5CE2-42C2-95DF-C52F7951DA1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2EBF1931-37BF-45B1-BF07-28D33020962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3E96298C-731E-42BA-B390-9A76769F2EA5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EC863C5C-F176-411B-A567-1684723D3CE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E7A38120-9F3C-42FB-971D-E395B79EA0C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72020CE1-1ECC-4406-9361-3F4E21EF4156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id="{1136049B-A61C-416C-8F51-3A8D007C6B72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F5FAF633-9D15-4D95-BF6F-9B71EEA41BC8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id="{3EB1CD35-7D6E-4B1E-9579-0A0B4BC8D376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070D15E8-FBEE-4032-9703-48AD71BA3B7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B56DCAE5-B65E-4855-99AF-A18A76677BCE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F3020238-1F1B-423E-9979-6C04B5B749E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9BD41780-48BD-4772-B76A-90AFA5187FC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FBBF6CE7-793F-49CC-91E9-0D19BF8FFF81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6512F83B-D809-467D-9FD9-FF5A7000987E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525780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A4E99BC-EB3E-4C36-B55A-4A7D5F12F929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4C6C575-B698-4E4E-970B-19D34C1C3A2E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2989517-6CC4-4D07-8901-9E9278EEBCB0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CAD3BEE-E5D4-4C2B-ADE8-EC68DED4AB05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CBBDE74-CC2B-406B-903A-703B4529FC25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C4393989-A9EE-498B-A937-D4A309880998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7E325C1-D426-4BC8-AD11-9B1247D457C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AC59764-584A-4099-BA5D-23EFB9855EE5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4411D6A-F231-42A7-8A1D-79776DBA178A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440D18F1-24FD-4559-B354-3CB3F6A3733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A1101B88-899B-4C2C-BA4C-3482A2406619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608D4C58-80B0-4714-BE70-187B97BE2AE2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B931F67-289C-44B0-BC25-F7193D8E2D83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8793163D-152E-464E-9754-C37FE86C75DA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86885A9-6261-4DF9-9D3E-AD9B740BDEC6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3F8D4D3-10DF-40BD-9128-FFC8CF067CC2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B376E82-7196-4A60-9DF9-E675F043353F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C9B4548-583C-4E27-A977-C82FE305ACDB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24148F76-84A7-4D01-ACE2-ACAD762CF8B4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1B7D18FA-68BB-4742-A477-88D6D1BC3BFB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11AD07D-7115-4363-88D1-2FB09586B47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98495890-C95C-4EEC-83D8-3C58C060BA7B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A33F78-4520-40C8-B209-1EDF692C93EA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9CA22D1F-430C-4B05-BB29-D10B9F58B41A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3F06823-CFCC-4F8C-921A-AA1502C4D84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AA9E9D79-4592-4127-B425-511E448C7E5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1C422DF9-09E2-4D1F-9FAE-9D8E2EB6024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9E239FAA-D693-4AC7-94B1-7649B93298DE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37C61009-EC31-4FF5-9BB6-5C474F537B98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515F22A7-8CA4-443E-B1DC-585A5FD1A16D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0AEAE1C-D2D8-4C21-AFB5-77F136BC1BEA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C5D7D658-EE0D-4E7E-91F5-90C22684ED7B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C633FB1-8124-46E0-836B-6D1FDC132702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22AE050C-D376-4FA9-B106-537C6B48FE92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7F8EDA-D662-4DDE-88FD-D8544AB32BAC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2F07E7EB-17A2-4C91-A6BC-A7837BBC5FED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C0D342A-38F4-40B3-A266-294222C780B1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B4D8675E-3763-4FA8-9257-33F9C862CF9B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DDC7CC8-55C8-40FB-8A3F-8E8F665EEF7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28CE34DD-DF93-45CC-9050-EDFBDCDD315E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5247C16-BF34-42CB-9636-928C0EC643BA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73389103-67AD-4C91-96AD-87FBC2C189CD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DFBA9A8-E180-4108-ADE9-5F90BD75D7F0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5" name="AutoShape 2">
          <a:extLst>
            <a:ext uri="{FF2B5EF4-FFF2-40B4-BE49-F238E27FC236}">
              <a16:creationId xmlns:a16="http://schemas.microsoft.com/office/drawing/2014/main" id="{951BE32E-88AA-45CC-8C36-961C616186E5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79076D53-B0B8-488B-A31C-B9B6EB62E640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47" name="AutoShape 2">
          <a:extLst>
            <a:ext uri="{FF2B5EF4-FFF2-40B4-BE49-F238E27FC236}">
              <a16:creationId xmlns:a16="http://schemas.microsoft.com/office/drawing/2014/main" id="{BED98FB1-185A-4F35-A0FF-DFA65886E6AE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367F5872-6A30-4CA3-B521-EF2C6AF5CBB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606FA37-4E98-4913-AAAC-412C879E007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3CCF6CFA-4B9D-4FD6-9058-2BA82577E64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A76990FC-E82F-4F6D-B396-7F2741AF98C2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77AF1CEB-2475-42D9-A0A9-D9C1369779AA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5081D482-BE5E-40BE-A15F-2BB01BE6876D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0A4EE88-BF5A-403D-A345-F63EF39C358E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1F54A61D-216F-482B-ADA2-321F2FDD45B6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AADFD782-CD49-4FC2-9168-0AD6A852E737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787A5629-2421-4A0E-8BE2-720539483271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D201A15B-4276-4C7D-95BF-69C0C269DA2D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13BA6023-78AD-436D-9B64-300E9F452E5F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6BF30E5-BA3A-4C4C-A302-5F12934DE3C9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87377C09-8C5A-49FC-99C1-7854D4AAAAF9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59CAA93C-98CC-41ED-809D-D3835DBEEA5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C1848707-EA50-4759-8381-6C3F2DF78EA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C9D8307-7545-4AF8-BAA6-D0F397A0371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5" name="AutoShape 2">
          <a:extLst>
            <a:ext uri="{FF2B5EF4-FFF2-40B4-BE49-F238E27FC236}">
              <a16:creationId xmlns:a16="http://schemas.microsoft.com/office/drawing/2014/main" id="{CE68A60E-7978-4A87-A254-42EFF54DAB96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959BDFD-3CCA-4CF6-80BC-9D0844C72986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7" name="AutoShape 2">
          <a:extLst>
            <a:ext uri="{FF2B5EF4-FFF2-40B4-BE49-F238E27FC236}">
              <a16:creationId xmlns:a16="http://schemas.microsoft.com/office/drawing/2014/main" id="{B9965A0E-4D46-439F-8D87-294577E2C5EA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CBC0B355-ECB3-4A32-8F53-E075F1669739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69" name="AutoShape 2">
          <a:extLst>
            <a:ext uri="{FF2B5EF4-FFF2-40B4-BE49-F238E27FC236}">
              <a16:creationId xmlns:a16="http://schemas.microsoft.com/office/drawing/2014/main" id="{8B9E96F2-9611-4AA2-B934-B4482AAE4583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36AB4EE-EF83-4BC3-8D51-ADAC7E25C180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1" name="AutoShape 2">
          <a:extLst>
            <a:ext uri="{FF2B5EF4-FFF2-40B4-BE49-F238E27FC236}">
              <a16:creationId xmlns:a16="http://schemas.microsoft.com/office/drawing/2014/main" id="{DDB4E79C-170F-45E7-9683-A16C8C629721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F7001FB7-03EA-426C-A80A-1C77A547571A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3" name="AutoShape 2">
          <a:extLst>
            <a:ext uri="{FF2B5EF4-FFF2-40B4-BE49-F238E27FC236}">
              <a16:creationId xmlns:a16="http://schemas.microsoft.com/office/drawing/2014/main" id="{0BDFE222-12BA-496E-9DC0-222DECDB574A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2C4F78F-8B06-47E6-A730-A409FE731427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5" name="AutoShape 2">
          <a:extLst>
            <a:ext uri="{FF2B5EF4-FFF2-40B4-BE49-F238E27FC236}">
              <a16:creationId xmlns:a16="http://schemas.microsoft.com/office/drawing/2014/main" id="{BAD57D1C-C31D-4C76-B643-344FCA0ABB8F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98FA2629-F393-4CE9-B39E-2C548AC7EB0F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77" name="AutoShape 2">
          <a:extLst>
            <a:ext uri="{FF2B5EF4-FFF2-40B4-BE49-F238E27FC236}">
              <a16:creationId xmlns:a16="http://schemas.microsoft.com/office/drawing/2014/main" id="{9D9DD5F9-517E-4366-BE9D-76A9039D38D5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182F442F-AC64-4409-91C3-EEBCCFDACA8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480F939B-592D-499C-94C2-FB2DAA149C13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B7ABB53-3D79-44B6-8DEB-121381E03C44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1" name="AutoShape 2">
          <a:extLst>
            <a:ext uri="{FF2B5EF4-FFF2-40B4-BE49-F238E27FC236}">
              <a16:creationId xmlns:a16="http://schemas.microsoft.com/office/drawing/2014/main" id="{7160EE8F-E235-42D9-A867-8E584FAB5688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AE73DE1-0645-4467-B101-D322387E6553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D05D5DF9-DD30-47ED-9DB7-7802D4264E91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EB80253-CC98-47ED-8D82-86C7F79E05E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85" name="AutoShape 2">
          <a:extLst>
            <a:ext uri="{FF2B5EF4-FFF2-40B4-BE49-F238E27FC236}">
              <a16:creationId xmlns:a16="http://schemas.microsoft.com/office/drawing/2014/main" id="{F7E53B3B-7285-4AA5-9CDC-F7954FB2787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89066866-B817-4777-9ED1-AD6630577380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7" name="AutoShape 2">
          <a:extLst>
            <a:ext uri="{FF2B5EF4-FFF2-40B4-BE49-F238E27FC236}">
              <a16:creationId xmlns:a16="http://schemas.microsoft.com/office/drawing/2014/main" id="{68204959-DA9D-4EB2-B425-87DD5847B9F8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CFCA707-8789-4FA4-B71B-764780957AC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89" name="AutoShape 2">
          <a:extLst>
            <a:ext uri="{FF2B5EF4-FFF2-40B4-BE49-F238E27FC236}">
              <a16:creationId xmlns:a16="http://schemas.microsoft.com/office/drawing/2014/main" id="{2E42BEE9-11AB-43B8-9452-077DAAB24DB6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4410186-9645-4107-8C4C-F8C34FD36B3D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91" name="AutoShape 2">
          <a:extLst>
            <a:ext uri="{FF2B5EF4-FFF2-40B4-BE49-F238E27FC236}">
              <a16:creationId xmlns:a16="http://schemas.microsoft.com/office/drawing/2014/main" id="{A1C2B2DD-0F6F-4C86-BF48-C916A447A2CB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4B45CF4-D05D-43FC-A6AF-97C89B3E9414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3" name="AutoShape 2">
          <a:extLst>
            <a:ext uri="{FF2B5EF4-FFF2-40B4-BE49-F238E27FC236}">
              <a16:creationId xmlns:a16="http://schemas.microsoft.com/office/drawing/2014/main" id="{0F56019E-41BC-4EE2-9FBD-2E342CEBA316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77E0B985-5BD5-4A05-B551-C51E4F474B1E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5" name="AutoShape 2">
          <a:extLst>
            <a:ext uri="{FF2B5EF4-FFF2-40B4-BE49-F238E27FC236}">
              <a16:creationId xmlns:a16="http://schemas.microsoft.com/office/drawing/2014/main" id="{6FD86FCA-6F8A-426C-908E-08A48521BED2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4A249D4E-1FA5-4BAF-BE08-D84658E768BB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4A33610D-788E-4513-8801-9052CC1B1000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99A7D82A-35E4-4075-B16B-2E31D8496DD7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EDCDDC4A-3E5E-4791-88E9-24CCE21358DF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4F472500-3F78-4AAC-81D6-9BE3FCFF2AE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85984D16-9F52-4714-9D29-82E7ABD4470B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49CA437C-FE9D-4E39-B462-A884EED07949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3" name="AutoShape 2">
          <a:extLst>
            <a:ext uri="{FF2B5EF4-FFF2-40B4-BE49-F238E27FC236}">
              <a16:creationId xmlns:a16="http://schemas.microsoft.com/office/drawing/2014/main" id="{D0EEEF9E-BE27-4611-8CC6-BD547F7AB9D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B1442810-5580-4E95-979D-BCDBD00BE549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5" name="AutoShape 2">
          <a:extLst>
            <a:ext uri="{FF2B5EF4-FFF2-40B4-BE49-F238E27FC236}">
              <a16:creationId xmlns:a16="http://schemas.microsoft.com/office/drawing/2014/main" id="{8ABDD133-C45D-442C-8F59-6A1F147020F4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FE2C34B3-CB94-40E5-9991-9DBF754F664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B82A390E-BD13-4E67-B4D8-448CFAF25163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559A4716-7B89-4CC4-97CF-90A77A393AE5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09" name="AutoShape 2">
          <a:extLst>
            <a:ext uri="{FF2B5EF4-FFF2-40B4-BE49-F238E27FC236}">
              <a16:creationId xmlns:a16="http://schemas.microsoft.com/office/drawing/2014/main" id="{002FD23F-B251-4221-A39C-512CC7F69F94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6D01C63-86C1-4E2F-81FF-F7E3CC790542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1" name="AutoShape 2">
          <a:extLst>
            <a:ext uri="{FF2B5EF4-FFF2-40B4-BE49-F238E27FC236}">
              <a16:creationId xmlns:a16="http://schemas.microsoft.com/office/drawing/2014/main" id="{4B39558E-B599-4BA4-99D7-692A472E063D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844C2D35-319D-4605-AD9C-974EE0438017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3" name="AutoShape 2">
          <a:extLst>
            <a:ext uri="{FF2B5EF4-FFF2-40B4-BE49-F238E27FC236}">
              <a16:creationId xmlns:a16="http://schemas.microsoft.com/office/drawing/2014/main" id="{197FE7C9-170E-44AD-84EC-6A65FB81A5F6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D2E4AD5E-098B-41EC-B08F-4B7E48666B20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15" name="AutoShape 2">
          <a:extLst>
            <a:ext uri="{FF2B5EF4-FFF2-40B4-BE49-F238E27FC236}">
              <a16:creationId xmlns:a16="http://schemas.microsoft.com/office/drawing/2014/main" id="{DE06AEA4-729A-469A-A8CB-2B378E7E947A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74BFF8CC-B7C0-40FF-8C6D-57810F9434B1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7" name="AutoShape 2">
          <a:extLst>
            <a:ext uri="{FF2B5EF4-FFF2-40B4-BE49-F238E27FC236}">
              <a16:creationId xmlns:a16="http://schemas.microsoft.com/office/drawing/2014/main" id="{CEF50E9E-D41C-4ECB-B571-063C41CD485A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E5F58AA9-3CF1-414F-82FE-3B13815054DF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19" name="AutoShape 2">
          <a:extLst>
            <a:ext uri="{FF2B5EF4-FFF2-40B4-BE49-F238E27FC236}">
              <a16:creationId xmlns:a16="http://schemas.microsoft.com/office/drawing/2014/main" id="{687D2C09-0C01-49F0-8C48-34E41FF296A5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C3B08421-C32A-40DB-BE3F-D4DEAE23109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6091B82C-3769-41D4-92FB-5BDAC1C4B4D6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3BC42AE9-3F0F-43CB-9346-161E54D19BA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78F7D1F0-2A59-470D-AE59-D8C32F79A961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1C34FD9E-BA74-4D9E-91B2-02506A02988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05C7F271-819E-477F-B628-6CA402E7B5E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E1FB2DB-D740-41E0-97E4-FA4536AEA671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56572A74-07EF-4A8C-A35C-5C096780A61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EB2F3B56-E863-4DEA-A4B9-5CCA5541B214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6A9FC9FD-07E7-46FE-A9AB-5B26E786C835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389E0440-1F85-42E0-A2AC-DA5276327C15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CB553BBB-681E-4402-89FE-E30A4E891B4A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67CD61C8-0EB7-494B-9FCA-1AC3A6DB6C34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57E58193-7773-41D7-93E5-0E747011A690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A402766-3081-43DF-8C0C-1E80E5BDB8E4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830F528F-F3B4-4907-9256-7992D9DF8625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40809445-AF8A-460C-9C24-05B3325832E1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137" name="AutoShape 2">
          <a:extLst>
            <a:ext uri="{FF2B5EF4-FFF2-40B4-BE49-F238E27FC236}">
              <a16:creationId xmlns:a16="http://schemas.microsoft.com/office/drawing/2014/main" id="{8973065A-736A-4855-897F-63A3F3D70B9D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29AACBCB-3802-483F-8BED-E1CCEA4D9B2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39" name="AutoShape 2">
          <a:extLst>
            <a:ext uri="{FF2B5EF4-FFF2-40B4-BE49-F238E27FC236}">
              <a16:creationId xmlns:a16="http://schemas.microsoft.com/office/drawing/2014/main" id="{3218717F-8F97-4E44-9F6A-79BF32B91F68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AC71FA67-83E1-4EFD-BF38-99C4E20230EC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1" name="AutoShape 2">
          <a:extLst>
            <a:ext uri="{FF2B5EF4-FFF2-40B4-BE49-F238E27FC236}">
              <a16:creationId xmlns:a16="http://schemas.microsoft.com/office/drawing/2014/main" id="{4EB00AD1-A774-4513-9598-3B037EC62D24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9BE84E5A-8150-446F-BE8F-7EFF811B9B61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3" name="AutoShape 2">
          <a:extLst>
            <a:ext uri="{FF2B5EF4-FFF2-40B4-BE49-F238E27FC236}">
              <a16:creationId xmlns:a16="http://schemas.microsoft.com/office/drawing/2014/main" id="{DDEE70FE-FDCB-4230-84F9-53DE6776BE7D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3C8E4A18-ED4A-4335-B3C7-8D48EA042F3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45" name="AutoShape 2">
          <a:extLst>
            <a:ext uri="{FF2B5EF4-FFF2-40B4-BE49-F238E27FC236}">
              <a16:creationId xmlns:a16="http://schemas.microsoft.com/office/drawing/2014/main" id="{786238B0-56A8-406C-B392-43E8051D6F5B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0E141709-4FCE-4E98-87E6-47898ED10C0E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7" name="AutoShape 2">
          <a:extLst>
            <a:ext uri="{FF2B5EF4-FFF2-40B4-BE49-F238E27FC236}">
              <a16:creationId xmlns:a16="http://schemas.microsoft.com/office/drawing/2014/main" id="{509DA3F4-27A1-47AC-9DAC-EF5874003930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E5D4776-9077-42F0-B71C-68C145363F5D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49" name="AutoShape 2">
          <a:extLst>
            <a:ext uri="{FF2B5EF4-FFF2-40B4-BE49-F238E27FC236}">
              <a16:creationId xmlns:a16="http://schemas.microsoft.com/office/drawing/2014/main" id="{534B2A41-FA41-4606-AF07-C8764C0A8C15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C04FBDAE-DA12-4EE4-8C20-198A7A8C31FA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1" name="AutoShape 2">
          <a:extLst>
            <a:ext uri="{FF2B5EF4-FFF2-40B4-BE49-F238E27FC236}">
              <a16:creationId xmlns:a16="http://schemas.microsoft.com/office/drawing/2014/main" id="{130F8130-B109-429F-8423-70CFC4E0E5B9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A7B481BA-F233-4FA7-B7A4-5575947ABEB6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1910A64D-F3BC-464F-9022-7549CF6C89FC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7D5571A6-41D5-4430-9A8B-C4597B978ED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68096478-81DB-4A41-8C12-3E67DBF3AE21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E1DF382F-2D17-42D5-857F-37A1033A14BF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7" name="AutoShape 2">
          <a:extLst>
            <a:ext uri="{FF2B5EF4-FFF2-40B4-BE49-F238E27FC236}">
              <a16:creationId xmlns:a16="http://schemas.microsoft.com/office/drawing/2014/main" id="{F74D09F4-22F7-4C6D-82B9-828996A76FC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B60EF432-47E6-4B16-A8ED-E2F6C1488F08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BDC2474B-89ED-44D0-9F04-CEDA4330E77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09BE989F-5E86-4A7C-B596-B393A7EB3C2C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61" name="AutoShape 2">
          <a:extLst>
            <a:ext uri="{FF2B5EF4-FFF2-40B4-BE49-F238E27FC236}">
              <a16:creationId xmlns:a16="http://schemas.microsoft.com/office/drawing/2014/main" id="{C7A18375-093A-4FCB-ADAA-19B0E808DAD8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2ADDC226-86A4-4493-B29B-C876F0F6BADF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3" name="AutoShape 2">
          <a:extLst>
            <a:ext uri="{FF2B5EF4-FFF2-40B4-BE49-F238E27FC236}">
              <a16:creationId xmlns:a16="http://schemas.microsoft.com/office/drawing/2014/main" id="{E63FC009-DC0D-49A4-81D4-FCE8691241EE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CACEF7B-113A-4C34-860E-3D13C645B1EF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8AFE7C04-91EB-49E6-B176-60A329E6268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D71C56B-6114-4CC3-91F2-0C2F6D69C74A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67" name="AutoShape 2">
          <a:extLst>
            <a:ext uri="{FF2B5EF4-FFF2-40B4-BE49-F238E27FC236}">
              <a16:creationId xmlns:a16="http://schemas.microsoft.com/office/drawing/2014/main" id="{BB0636AC-1873-44C8-9FBF-6598B45A01DE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4FCDA3FC-0448-4069-8A88-1446F9500340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69" name="AutoShape 2">
          <a:extLst>
            <a:ext uri="{FF2B5EF4-FFF2-40B4-BE49-F238E27FC236}">
              <a16:creationId xmlns:a16="http://schemas.microsoft.com/office/drawing/2014/main" id="{E7DD9CE1-C2BE-4782-9412-0A1A7DC67CE5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F1701393-0182-42B8-A0CD-24F0A8770973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FC2DEEF1-CAAF-48D4-9323-4AFB8C11FCF4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1C0653C2-89FD-491D-9890-8D9AC98ED3A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3" name="AutoShape 2">
          <a:extLst>
            <a:ext uri="{FF2B5EF4-FFF2-40B4-BE49-F238E27FC236}">
              <a16:creationId xmlns:a16="http://schemas.microsoft.com/office/drawing/2014/main" id="{7DAE8BD9-8CFB-4916-8A38-881374394119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4344E293-EB7C-4A18-8D1E-62F3CDFB4C69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75" name="AutoShape 2">
          <a:extLst>
            <a:ext uri="{FF2B5EF4-FFF2-40B4-BE49-F238E27FC236}">
              <a16:creationId xmlns:a16="http://schemas.microsoft.com/office/drawing/2014/main" id="{8E6054DA-3CA4-42C9-8560-CAD2689950BF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B89362BD-5718-4E78-8813-3094197E364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7" name="AutoShape 2">
          <a:extLst>
            <a:ext uri="{FF2B5EF4-FFF2-40B4-BE49-F238E27FC236}">
              <a16:creationId xmlns:a16="http://schemas.microsoft.com/office/drawing/2014/main" id="{8BF927AF-4ADA-439D-980E-494531B6AC6D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995C671-C9D4-452A-8228-B2A2D1F2119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79" name="AutoShape 2">
          <a:extLst>
            <a:ext uri="{FF2B5EF4-FFF2-40B4-BE49-F238E27FC236}">
              <a16:creationId xmlns:a16="http://schemas.microsoft.com/office/drawing/2014/main" id="{6D1663CD-B28C-4945-AFD1-6B55FB8E932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7F34194B-8E15-45DE-BAA1-D3DB7193E32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1" name="AutoShape 2">
          <a:extLst>
            <a:ext uri="{FF2B5EF4-FFF2-40B4-BE49-F238E27FC236}">
              <a16:creationId xmlns:a16="http://schemas.microsoft.com/office/drawing/2014/main" id="{A00560F2-5659-439F-ACDB-F6475F2F0F6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8F1E324-BA14-4DED-9B1B-F1A2F6B7763A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83" name="AutoShape 2">
          <a:extLst>
            <a:ext uri="{FF2B5EF4-FFF2-40B4-BE49-F238E27FC236}">
              <a16:creationId xmlns:a16="http://schemas.microsoft.com/office/drawing/2014/main" id="{B5CCF8D3-453D-4DF1-9514-C47BCC8F81A8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C86C92B8-D939-4D36-999A-390DA97DB5F3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5" name="AutoShape 2">
          <a:extLst>
            <a:ext uri="{FF2B5EF4-FFF2-40B4-BE49-F238E27FC236}">
              <a16:creationId xmlns:a16="http://schemas.microsoft.com/office/drawing/2014/main" id="{31A2E196-7D0B-40D5-BFBE-96EF31C9FE0B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1CE1ECD7-4C69-4A3E-A41F-EA07ED1CD0F5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F50274C3-0E31-46F6-A54B-3E2F69B73F3D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88CF446-EC6C-48B3-8BEC-69E384F2A828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189" name="AutoShape 2">
          <a:extLst>
            <a:ext uri="{FF2B5EF4-FFF2-40B4-BE49-F238E27FC236}">
              <a16:creationId xmlns:a16="http://schemas.microsoft.com/office/drawing/2014/main" id="{62C39371-784B-4C4D-9E78-B3586EE77893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BC4A15B7-6A75-4C99-8010-D398564D3421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1" name="AutoShape 2">
          <a:extLst>
            <a:ext uri="{FF2B5EF4-FFF2-40B4-BE49-F238E27FC236}">
              <a16:creationId xmlns:a16="http://schemas.microsoft.com/office/drawing/2014/main" id="{AE263E68-EFD5-4B32-A12D-FED539923CC8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419A8EDB-EBFD-41AF-9947-CCF4C9BD8B00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0B4496CA-68A6-43FF-8A91-D989499AFD7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72EE5504-18B5-49B6-93D8-A2C14B8B73FC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5" name="AutoShape 2">
          <a:extLst>
            <a:ext uri="{FF2B5EF4-FFF2-40B4-BE49-F238E27FC236}">
              <a16:creationId xmlns:a16="http://schemas.microsoft.com/office/drawing/2014/main" id="{9C134795-C7A9-4D0B-B653-F5CBDF155B11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1C017B6-4BDA-417B-9EDC-89E9C9270BB5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A02A06BA-CEC7-49E4-9CD7-3ABD5B5873C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1D51C89F-F219-456C-81D1-D256F8B45A4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199" name="AutoShape 2">
          <a:extLst>
            <a:ext uri="{FF2B5EF4-FFF2-40B4-BE49-F238E27FC236}">
              <a16:creationId xmlns:a16="http://schemas.microsoft.com/office/drawing/2014/main" id="{245ED568-27B0-4B5F-955A-DF6F37ECA37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045B092A-BF0A-4E16-B37C-F05D92972AE9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1" name="AutoShape 2">
          <a:extLst>
            <a:ext uri="{FF2B5EF4-FFF2-40B4-BE49-F238E27FC236}">
              <a16:creationId xmlns:a16="http://schemas.microsoft.com/office/drawing/2014/main" id="{BBC7AA99-12E2-4023-BB4D-BE645B0CDCE6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3656618-0D9E-4394-BCD0-C584244C22EC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3" name="AutoShape 2">
          <a:extLst>
            <a:ext uri="{FF2B5EF4-FFF2-40B4-BE49-F238E27FC236}">
              <a16:creationId xmlns:a16="http://schemas.microsoft.com/office/drawing/2014/main" id="{7478A2F6-2A6E-4A56-B9A8-2D50CDA1A520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73CBC893-FC17-4566-8592-7FCB0623CDDB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05" name="AutoShape 2">
          <a:extLst>
            <a:ext uri="{FF2B5EF4-FFF2-40B4-BE49-F238E27FC236}">
              <a16:creationId xmlns:a16="http://schemas.microsoft.com/office/drawing/2014/main" id="{DB768369-7F32-40EA-935D-198B2CA21E7D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D0ACCA9D-DA16-487D-85C3-07213A7C59C8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7" name="AutoShape 2">
          <a:extLst>
            <a:ext uri="{FF2B5EF4-FFF2-40B4-BE49-F238E27FC236}">
              <a16:creationId xmlns:a16="http://schemas.microsoft.com/office/drawing/2014/main" id="{A7C2D067-F27B-4AE2-8347-D3B16C8ABAA0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B60E4F6-5E20-40FE-BE8D-2165E6A5C7DC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CF9F6C26-CF1E-4430-9C29-3ED2551638E4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39C276B9-D115-4AAE-B261-6351AB6E8D9F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11" name="AutoShape 2">
          <a:extLst>
            <a:ext uri="{FF2B5EF4-FFF2-40B4-BE49-F238E27FC236}">
              <a16:creationId xmlns:a16="http://schemas.microsoft.com/office/drawing/2014/main" id="{39D86FE5-22C2-409E-8076-50962309EDC0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07051B59-EE36-4D56-898C-424BA7023544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3" name="AutoShape 2">
          <a:extLst>
            <a:ext uri="{FF2B5EF4-FFF2-40B4-BE49-F238E27FC236}">
              <a16:creationId xmlns:a16="http://schemas.microsoft.com/office/drawing/2014/main" id="{C275A364-DDC9-470A-BEC3-0D4451639088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069033B3-E9CB-4C61-8954-20E880EB3DE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5" name="AutoShape 2">
          <a:extLst>
            <a:ext uri="{FF2B5EF4-FFF2-40B4-BE49-F238E27FC236}">
              <a16:creationId xmlns:a16="http://schemas.microsoft.com/office/drawing/2014/main" id="{B83CC449-8582-40A0-A0D7-9F56477877F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28328E2B-88E8-4420-96A2-2FD70ABA468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7" name="AutoShape 2">
          <a:extLst>
            <a:ext uri="{FF2B5EF4-FFF2-40B4-BE49-F238E27FC236}">
              <a16:creationId xmlns:a16="http://schemas.microsoft.com/office/drawing/2014/main" id="{03DC5CAC-B850-4656-8E60-41BB25A88CAB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77DE8096-D50A-475B-A084-598F26AAD86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19" name="AutoShape 2">
          <a:extLst>
            <a:ext uri="{FF2B5EF4-FFF2-40B4-BE49-F238E27FC236}">
              <a16:creationId xmlns:a16="http://schemas.microsoft.com/office/drawing/2014/main" id="{6C518002-B231-4FD1-A8FA-7C44303BA8A8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A309C04-5A20-4C1E-A603-80A7C3644FAD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1" name="AutoShape 2">
          <a:extLst>
            <a:ext uri="{FF2B5EF4-FFF2-40B4-BE49-F238E27FC236}">
              <a16:creationId xmlns:a16="http://schemas.microsoft.com/office/drawing/2014/main" id="{0F7381AC-8E1B-42F0-A6D8-CEAB628412C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90637E9E-4202-48C3-876C-C349F087AAB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3" name="AutoShape 2">
          <a:extLst>
            <a:ext uri="{FF2B5EF4-FFF2-40B4-BE49-F238E27FC236}">
              <a16:creationId xmlns:a16="http://schemas.microsoft.com/office/drawing/2014/main" id="{962EFD61-9436-4B55-88C8-14C487293A98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0968B66-BE73-4254-943A-9FA31BE1F55B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5" name="AutoShape 2">
          <a:extLst>
            <a:ext uri="{FF2B5EF4-FFF2-40B4-BE49-F238E27FC236}">
              <a16:creationId xmlns:a16="http://schemas.microsoft.com/office/drawing/2014/main" id="{A619BEA8-E129-498B-AE4E-1A9FD4515256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FCE6D5C6-0018-45E5-8F2A-96ADE3DD8CD2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227" name="AutoShape 2">
          <a:extLst>
            <a:ext uri="{FF2B5EF4-FFF2-40B4-BE49-F238E27FC236}">
              <a16:creationId xmlns:a16="http://schemas.microsoft.com/office/drawing/2014/main" id="{3DA405CD-3832-4CE9-B019-33BB2C34314E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3242B92-5784-4824-82E3-2F7CFDC28CBA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29" name="AutoShape 2">
          <a:extLst>
            <a:ext uri="{FF2B5EF4-FFF2-40B4-BE49-F238E27FC236}">
              <a16:creationId xmlns:a16="http://schemas.microsoft.com/office/drawing/2014/main" id="{833B61EB-286C-4291-98DC-F6A3B9337644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B7B30C5-C38D-4E95-80C6-E4FC1DE2F930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0FF21CC8-29D8-45D6-A316-FE62F1F63A72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F3E90375-751E-429E-A8B1-3BDCB3FC95FF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233" name="AutoShape 2">
          <a:extLst>
            <a:ext uri="{FF2B5EF4-FFF2-40B4-BE49-F238E27FC236}">
              <a16:creationId xmlns:a16="http://schemas.microsoft.com/office/drawing/2014/main" id="{D89B0B0C-EC74-4076-9409-B551EED5B283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3858D5D4-2654-44D2-8865-4F3763DA358C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5" name="AutoShape 2">
          <a:extLst>
            <a:ext uri="{FF2B5EF4-FFF2-40B4-BE49-F238E27FC236}">
              <a16:creationId xmlns:a16="http://schemas.microsoft.com/office/drawing/2014/main" id="{0575C342-44AA-421F-AC73-9C352200E29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D9900B0-342C-4926-A1B2-4DEFF37E9B0D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7" name="AutoShape 2">
          <a:extLst>
            <a:ext uri="{FF2B5EF4-FFF2-40B4-BE49-F238E27FC236}">
              <a16:creationId xmlns:a16="http://schemas.microsoft.com/office/drawing/2014/main" id="{82F650C2-FA0D-4B4A-B01F-35DFD770DFCC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B37F78F1-5DCE-4B20-B781-D658C04305A0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39" name="AutoShape 2">
          <a:extLst>
            <a:ext uri="{FF2B5EF4-FFF2-40B4-BE49-F238E27FC236}">
              <a16:creationId xmlns:a16="http://schemas.microsoft.com/office/drawing/2014/main" id="{AB85F3A9-B91C-4A85-BE67-14EE98648D64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BE75C9D2-9F67-4E08-B1FF-B79ABFEDB2D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241" name="AutoShape 2">
          <a:extLst>
            <a:ext uri="{FF2B5EF4-FFF2-40B4-BE49-F238E27FC236}">
              <a16:creationId xmlns:a16="http://schemas.microsoft.com/office/drawing/2014/main" id="{ACA57551-E8A5-4FE1-B63B-6A5DA694FE4D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83F61441-5D36-43BD-B2EF-4BBC932D6C1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3" name="AutoShape 2">
          <a:extLst>
            <a:ext uri="{FF2B5EF4-FFF2-40B4-BE49-F238E27FC236}">
              <a16:creationId xmlns:a16="http://schemas.microsoft.com/office/drawing/2014/main" id="{5866358F-1E8B-4404-AAB9-C9B843FE2D6B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AABFFBD3-EB27-4EE6-8F77-C5010D0A1A15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5" name="AutoShape 2">
          <a:extLst>
            <a:ext uri="{FF2B5EF4-FFF2-40B4-BE49-F238E27FC236}">
              <a16:creationId xmlns:a16="http://schemas.microsoft.com/office/drawing/2014/main" id="{4C3D1170-A698-4B44-927B-E418C1065B17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EFFDD049-C110-483B-B22C-73F86E7EECAF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7" name="AutoShape 2">
          <a:extLst>
            <a:ext uri="{FF2B5EF4-FFF2-40B4-BE49-F238E27FC236}">
              <a16:creationId xmlns:a16="http://schemas.microsoft.com/office/drawing/2014/main" id="{D9986AEF-B51B-42F8-AB98-DF6BBD2CB48C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439C843E-5201-4FA8-B05E-3FEBD1CC9575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49" name="AutoShape 2">
          <a:extLst>
            <a:ext uri="{FF2B5EF4-FFF2-40B4-BE49-F238E27FC236}">
              <a16:creationId xmlns:a16="http://schemas.microsoft.com/office/drawing/2014/main" id="{86A2787C-791D-42BC-8E03-030926E12E8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47DA41DD-95DB-4508-99B1-20122146B155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1" name="AutoShape 2">
          <a:extLst>
            <a:ext uri="{FF2B5EF4-FFF2-40B4-BE49-F238E27FC236}">
              <a16:creationId xmlns:a16="http://schemas.microsoft.com/office/drawing/2014/main" id="{F18AE946-C53C-4568-9FDE-52082EBCD929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411A6308-AB23-4308-AE14-E5A6EF63017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AF074872-AF25-49F3-8D7D-5D502D58E591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B5D0DEDF-6243-463A-8170-C328BE688725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55" name="AutoShape 2">
          <a:extLst>
            <a:ext uri="{FF2B5EF4-FFF2-40B4-BE49-F238E27FC236}">
              <a16:creationId xmlns:a16="http://schemas.microsoft.com/office/drawing/2014/main" id="{E9E8B971-67A3-4B96-8D99-FA1FACF77173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BFE8E45-B348-4F38-8BAD-345B3AF59A64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7" name="AutoShape 2">
          <a:extLst>
            <a:ext uri="{FF2B5EF4-FFF2-40B4-BE49-F238E27FC236}">
              <a16:creationId xmlns:a16="http://schemas.microsoft.com/office/drawing/2014/main" id="{F0F4F52B-B96D-4D53-818E-BC6592BC1DF4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69F759F-9CFE-4ADB-89CF-A08B1F3BF3AF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59" name="AutoShape 2">
          <a:extLst>
            <a:ext uri="{FF2B5EF4-FFF2-40B4-BE49-F238E27FC236}">
              <a16:creationId xmlns:a16="http://schemas.microsoft.com/office/drawing/2014/main" id="{22C766B0-306A-4F8F-A3D4-97134F654DA6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0E41912-169D-494B-8825-773B4800C2CC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61" name="AutoShape 2">
          <a:extLst>
            <a:ext uri="{FF2B5EF4-FFF2-40B4-BE49-F238E27FC236}">
              <a16:creationId xmlns:a16="http://schemas.microsoft.com/office/drawing/2014/main" id="{61F7A699-7F5D-4F57-AAE2-B33B4345B992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44B7310E-57FA-4729-A3A7-A3ED8F78AD56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63" name="AutoShape 2">
          <a:extLst>
            <a:ext uri="{FF2B5EF4-FFF2-40B4-BE49-F238E27FC236}">
              <a16:creationId xmlns:a16="http://schemas.microsoft.com/office/drawing/2014/main" id="{1F01BA12-9BCC-4EA4-A904-9C711C854596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18242599-A1D4-4CF3-9E41-B32E8D556545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5" name="AutoShape 2">
          <a:extLst>
            <a:ext uri="{FF2B5EF4-FFF2-40B4-BE49-F238E27FC236}">
              <a16:creationId xmlns:a16="http://schemas.microsoft.com/office/drawing/2014/main" id="{39D8B2B9-93C9-49BD-8575-CEFEF3A3F591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41D05CF-3152-4F94-8900-C1717AE9A69A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7" name="AutoShape 2">
          <a:extLst>
            <a:ext uri="{FF2B5EF4-FFF2-40B4-BE49-F238E27FC236}">
              <a16:creationId xmlns:a16="http://schemas.microsoft.com/office/drawing/2014/main" id="{92EE90EA-8CF9-4DE9-BA91-C4B535EC9862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26CB0440-9D22-4FE2-B58D-9C2ADAF94D5E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37538254-0BB2-481B-A8D7-A7644DC49353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15DAD967-8F20-4D52-8054-657DA5B9BAB6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271" name="AutoShape 2">
          <a:extLst>
            <a:ext uri="{FF2B5EF4-FFF2-40B4-BE49-F238E27FC236}">
              <a16:creationId xmlns:a16="http://schemas.microsoft.com/office/drawing/2014/main" id="{62E4F98D-C8AF-4BCC-9E81-9A267136C1AE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8E82B23-F342-4D6B-B478-498973F3103C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3" name="AutoShape 2">
          <a:extLst>
            <a:ext uri="{FF2B5EF4-FFF2-40B4-BE49-F238E27FC236}">
              <a16:creationId xmlns:a16="http://schemas.microsoft.com/office/drawing/2014/main" id="{692F047D-17E3-474B-9F27-A618A096BD6A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1F68FD3-360C-4B92-B53F-FE102BD8EA42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5" name="AutoShape 2">
          <a:extLst>
            <a:ext uri="{FF2B5EF4-FFF2-40B4-BE49-F238E27FC236}">
              <a16:creationId xmlns:a16="http://schemas.microsoft.com/office/drawing/2014/main" id="{64CC6CFF-2BED-4AAD-B7D8-8ACCA73DCB99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645914CA-D67B-4E23-A32C-D470ED2CEFAD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7" name="AutoShape 2">
          <a:extLst>
            <a:ext uri="{FF2B5EF4-FFF2-40B4-BE49-F238E27FC236}">
              <a16:creationId xmlns:a16="http://schemas.microsoft.com/office/drawing/2014/main" id="{2F58B05A-CF1D-4F6A-A227-49E8B8CED9D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D547EAB2-46A7-448D-A2DC-F7571D82593D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279" name="AutoShape 2">
          <a:extLst>
            <a:ext uri="{FF2B5EF4-FFF2-40B4-BE49-F238E27FC236}">
              <a16:creationId xmlns:a16="http://schemas.microsoft.com/office/drawing/2014/main" id="{525B5435-6A0E-4728-A610-73A88B13B36A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FB942EF-F341-4476-979D-6F055B04EE49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1" name="AutoShape 2">
          <a:extLst>
            <a:ext uri="{FF2B5EF4-FFF2-40B4-BE49-F238E27FC236}">
              <a16:creationId xmlns:a16="http://schemas.microsoft.com/office/drawing/2014/main" id="{2B19746C-A65C-4E46-AC55-DBBCCF10EE0E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FD7FB14-D203-416A-9EF1-D9653A78D93D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3" name="AutoShape 2">
          <a:extLst>
            <a:ext uri="{FF2B5EF4-FFF2-40B4-BE49-F238E27FC236}">
              <a16:creationId xmlns:a16="http://schemas.microsoft.com/office/drawing/2014/main" id="{CE9482F2-7B01-4ADF-8348-F817CBEB1DD1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3137523B-91E8-42BA-BDEB-6FA6617151A6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744214F5-8387-4FA3-8FA2-E500BF1F606C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70CAF54F-2660-48F3-AD00-32E8B3E7F314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112395</xdr:rowOff>
    </xdr:to>
    <xdr:sp macro="" textlink="">
      <xdr:nvSpPr>
        <xdr:cNvPr id="287" name="AutoShape 2">
          <a:extLst>
            <a:ext uri="{FF2B5EF4-FFF2-40B4-BE49-F238E27FC236}">
              <a16:creationId xmlns:a16="http://schemas.microsoft.com/office/drawing/2014/main" id="{71AB675F-7AA4-4D30-80A5-22CA1CA6FB07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20DF417-BA53-4F11-B4C3-2C8749093DEB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89" name="AutoShape 2">
          <a:extLst>
            <a:ext uri="{FF2B5EF4-FFF2-40B4-BE49-F238E27FC236}">
              <a16:creationId xmlns:a16="http://schemas.microsoft.com/office/drawing/2014/main" id="{5EEA1904-790A-4E41-B00F-774F55D4AC67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E4906A6E-52B4-4859-80D8-CF3BADD640F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91" name="AutoShape 2">
          <a:extLst>
            <a:ext uri="{FF2B5EF4-FFF2-40B4-BE49-F238E27FC236}">
              <a16:creationId xmlns:a16="http://schemas.microsoft.com/office/drawing/2014/main" id="{4C3F3470-1BDA-43FE-829F-478D8081345B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5F0C1409-B986-4DBF-9983-8F434806F23E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112395</xdr:rowOff>
    </xdr:to>
    <xdr:sp macro="" textlink="">
      <xdr:nvSpPr>
        <xdr:cNvPr id="293" name="AutoShape 2">
          <a:extLst>
            <a:ext uri="{FF2B5EF4-FFF2-40B4-BE49-F238E27FC236}">
              <a16:creationId xmlns:a16="http://schemas.microsoft.com/office/drawing/2014/main" id="{BB847912-47BD-4478-BE4C-662AD8608F3B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99BF4A4D-3BE9-4D57-9B90-6EED75AEEDCC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5" name="AutoShape 2">
          <a:extLst>
            <a:ext uri="{FF2B5EF4-FFF2-40B4-BE49-F238E27FC236}">
              <a16:creationId xmlns:a16="http://schemas.microsoft.com/office/drawing/2014/main" id="{7D3EFEF4-9F87-42FB-BA29-E372723B6A09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9C9DA7F9-E31C-4D3B-A82D-470A04B47CFE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7" name="AutoShape 2">
          <a:extLst>
            <a:ext uri="{FF2B5EF4-FFF2-40B4-BE49-F238E27FC236}">
              <a16:creationId xmlns:a16="http://schemas.microsoft.com/office/drawing/2014/main" id="{6CE6BB8C-5E71-4189-8449-B75878C15869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BA7F82F4-203B-4639-AE51-1862666EEEAC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299" name="AutoShape 2">
          <a:extLst>
            <a:ext uri="{FF2B5EF4-FFF2-40B4-BE49-F238E27FC236}">
              <a16:creationId xmlns:a16="http://schemas.microsoft.com/office/drawing/2014/main" id="{B58471D8-DE50-44CD-AEEA-651C16B65222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330C4A7-AD58-4CA1-999F-3AC4CA5DE61B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26E52708-1489-4595-A745-6952EAF2D496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E8A5DB82-1813-4D7B-9BA1-51726F802E40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3" name="AutoShape 2">
          <a:extLst>
            <a:ext uri="{FF2B5EF4-FFF2-40B4-BE49-F238E27FC236}">
              <a16:creationId xmlns:a16="http://schemas.microsoft.com/office/drawing/2014/main" id="{45EF7228-2610-4AE5-B597-5DACEC39308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60C3DC9-B4F1-4D93-8B5E-3253762D3FE8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5" name="AutoShape 2">
          <a:extLst>
            <a:ext uri="{FF2B5EF4-FFF2-40B4-BE49-F238E27FC236}">
              <a16:creationId xmlns:a16="http://schemas.microsoft.com/office/drawing/2014/main" id="{218CCC1B-ADBB-40B7-BDEF-F7CF3B424523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DFD09493-B829-416A-A14A-E06DC395BAF4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7" name="AutoShape 2">
          <a:extLst>
            <a:ext uri="{FF2B5EF4-FFF2-40B4-BE49-F238E27FC236}">
              <a16:creationId xmlns:a16="http://schemas.microsoft.com/office/drawing/2014/main" id="{00F9140E-7A44-4F22-AAF0-66FD66E93DC7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105A334-AAA9-4471-A50C-DB4185BD33E5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112395</xdr:rowOff>
    </xdr:to>
    <xdr:sp macro="" textlink="">
      <xdr:nvSpPr>
        <xdr:cNvPr id="309" name="AutoShape 2">
          <a:extLst>
            <a:ext uri="{FF2B5EF4-FFF2-40B4-BE49-F238E27FC236}">
              <a16:creationId xmlns:a16="http://schemas.microsoft.com/office/drawing/2014/main" id="{D13E65D4-CBC8-4205-9EDB-4D66AD5CBB68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F5B62675-95AF-4412-A19C-114C2DB5B82C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1" name="AutoShape 2">
          <a:extLst>
            <a:ext uri="{FF2B5EF4-FFF2-40B4-BE49-F238E27FC236}">
              <a16:creationId xmlns:a16="http://schemas.microsoft.com/office/drawing/2014/main" id="{93FB624B-C0F2-4AE9-A66A-B4A635A122B7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FFA088BD-A7B4-4761-8ACD-8D75C9BF8D42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3" name="AutoShape 2">
          <a:extLst>
            <a:ext uri="{FF2B5EF4-FFF2-40B4-BE49-F238E27FC236}">
              <a16:creationId xmlns:a16="http://schemas.microsoft.com/office/drawing/2014/main" id="{027C35E2-893F-4B39-A64D-469332089E7C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F6B10A07-A416-4776-9587-BFB882A167A0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5" name="AutoShape 2">
          <a:extLst>
            <a:ext uri="{FF2B5EF4-FFF2-40B4-BE49-F238E27FC236}">
              <a16:creationId xmlns:a16="http://schemas.microsoft.com/office/drawing/2014/main" id="{6F19C198-DE77-4418-A047-4A29287D1B9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0FD0CE2-EAD3-45C7-A19A-3D805BD619C5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id="{3759EBA4-D09B-42C9-99F3-151DC59F4AA4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5744AC30-7334-40A6-8D66-DFA1C29670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19" name="AutoShape 2">
          <a:extLst>
            <a:ext uri="{FF2B5EF4-FFF2-40B4-BE49-F238E27FC236}">
              <a16:creationId xmlns:a16="http://schemas.microsoft.com/office/drawing/2014/main" id="{73E1DFCC-53D2-4BFF-81AA-6ADB232B0C7C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53B44DA-EE71-40FE-AA07-7D6A61ED58EA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1" name="AutoShape 2">
          <a:extLst>
            <a:ext uri="{FF2B5EF4-FFF2-40B4-BE49-F238E27FC236}">
              <a16:creationId xmlns:a16="http://schemas.microsoft.com/office/drawing/2014/main" id="{BA50C6F0-1552-43A7-9F3B-0906D5198A57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91AC293-6753-4B0A-9F6F-E4AD1E74186C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3" name="AutoShape 2">
          <a:extLst>
            <a:ext uri="{FF2B5EF4-FFF2-40B4-BE49-F238E27FC236}">
              <a16:creationId xmlns:a16="http://schemas.microsoft.com/office/drawing/2014/main" id="{6C1528E0-B8F1-4E1A-993F-A8CA3ADCAC53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1ACF709E-3EA0-44D6-A0E1-059C57E141AE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25" name="AutoShape 2">
          <a:extLst>
            <a:ext uri="{FF2B5EF4-FFF2-40B4-BE49-F238E27FC236}">
              <a16:creationId xmlns:a16="http://schemas.microsoft.com/office/drawing/2014/main" id="{2227E305-C004-480E-8DA6-3611595BB162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48AACCA8-5BAB-4E92-9B3C-671DF5DE2173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27" name="AutoShape 2">
          <a:extLst>
            <a:ext uri="{FF2B5EF4-FFF2-40B4-BE49-F238E27FC236}">
              <a16:creationId xmlns:a16="http://schemas.microsoft.com/office/drawing/2014/main" id="{297D9173-1150-4E5E-B5B5-A944A6EDB106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1B30BFE9-8FAE-4919-A498-AE362744B335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id="{E5CC2C70-8352-4430-AC31-2586ACE3023E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D4FC10DC-52FC-4015-8827-9A66129DA103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31" name="AutoShape 2">
          <a:extLst>
            <a:ext uri="{FF2B5EF4-FFF2-40B4-BE49-F238E27FC236}">
              <a16:creationId xmlns:a16="http://schemas.microsoft.com/office/drawing/2014/main" id="{D6969213-9FDF-410F-9F59-A3A5F4B3225A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6DE3F840-5FE3-49CD-A845-542F47C7FB02}"/>
            </a:ext>
            <a:ext uri="{147F2762-F138-4A5C-976F-8EAC2B608ADB}">
              <a16:predDERef xmlns:a16="http://schemas.microsoft.com/office/drawing/2014/main" pred="{FC25EFE3-DAF9-4068-B4C7-2439F1F8104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3" name="AutoShape 2">
          <a:extLst>
            <a:ext uri="{FF2B5EF4-FFF2-40B4-BE49-F238E27FC236}">
              <a16:creationId xmlns:a16="http://schemas.microsoft.com/office/drawing/2014/main" id="{BC29E775-0176-4695-8676-83339D5E4B70}"/>
            </a:ext>
            <a:ext uri="{147F2762-F138-4A5C-976F-8EAC2B608ADB}">
              <a16:predDERef xmlns:a16="http://schemas.microsoft.com/office/drawing/2014/main" pred="{95DBE2DA-4AE6-46D2-93C7-B6366587461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C25E5CA3-3CEF-4C38-BC75-B8BA05073337}"/>
            </a:ext>
            <a:ext uri="{147F2762-F138-4A5C-976F-8EAC2B608ADB}">
              <a16:predDERef xmlns:a16="http://schemas.microsoft.com/office/drawing/2014/main" pred="{47A3ED05-8269-4DFF-821F-F9E0CB7B409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5" name="AutoShape 2">
          <a:extLst>
            <a:ext uri="{FF2B5EF4-FFF2-40B4-BE49-F238E27FC236}">
              <a16:creationId xmlns:a16="http://schemas.microsoft.com/office/drawing/2014/main" id="{499BD365-A123-4DC7-BB3A-19A09060C71F}"/>
            </a:ext>
            <a:ext uri="{147F2762-F138-4A5C-976F-8EAC2B608ADB}">
              <a16:predDERef xmlns:a16="http://schemas.microsoft.com/office/drawing/2014/main" pred="{2B42FA4C-9D77-4C55-B5EC-BE1793B83BA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513ECAE0-6719-4FAB-9AAE-6CAB4A8957AF}"/>
            </a:ext>
            <a:ext uri="{147F2762-F138-4A5C-976F-8EAC2B608ADB}">
              <a16:predDERef xmlns:a16="http://schemas.microsoft.com/office/drawing/2014/main" pred="{17DCE2FC-4F95-4182-9BEE-41B08359FD33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7" name="AutoShape 2">
          <a:extLst>
            <a:ext uri="{FF2B5EF4-FFF2-40B4-BE49-F238E27FC236}">
              <a16:creationId xmlns:a16="http://schemas.microsoft.com/office/drawing/2014/main" id="{8E272222-5513-4A0C-AEE3-ECA6B083E61D}"/>
            </a:ext>
            <a:ext uri="{147F2762-F138-4A5C-976F-8EAC2B608ADB}">
              <a16:predDERef xmlns:a16="http://schemas.microsoft.com/office/drawing/2014/main" pred="{3775B042-8679-4F4D-96D1-69EA85CFE42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A53AAFA-DB47-4192-950B-1127F81E8F7A}"/>
            </a:ext>
            <a:ext uri="{147F2762-F138-4A5C-976F-8EAC2B608ADB}">
              <a16:predDERef xmlns:a16="http://schemas.microsoft.com/office/drawing/2014/main" pred="{74263AA0-41EE-491F-87D2-6F06AA95DEEE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39" name="AutoShape 2">
          <a:extLst>
            <a:ext uri="{FF2B5EF4-FFF2-40B4-BE49-F238E27FC236}">
              <a16:creationId xmlns:a16="http://schemas.microsoft.com/office/drawing/2014/main" id="{BB492D84-19B1-460A-803B-CE374B13CDE8}"/>
            </a:ext>
            <a:ext uri="{147F2762-F138-4A5C-976F-8EAC2B608ADB}">
              <a16:predDERef xmlns:a16="http://schemas.microsoft.com/office/drawing/2014/main" pred="{5309D4AC-851E-4604-B00F-12D2F932D37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D59D1F37-D08A-469A-8B6B-133C54A86A6E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6B5F70BD-78D0-49D8-AE4F-5EC5530812AE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F0A6B326-C440-4C90-ADE6-266877038CC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3" name="AutoShape 2">
          <a:extLst>
            <a:ext uri="{FF2B5EF4-FFF2-40B4-BE49-F238E27FC236}">
              <a16:creationId xmlns:a16="http://schemas.microsoft.com/office/drawing/2014/main" id="{64061558-F5C3-40FC-A5A8-A8256E9DA92D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966A0DEC-1FB4-4FDB-8BD3-C6C0B46591C8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5" name="AutoShape 2">
          <a:extLst>
            <a:ext uri="{FF2B5EF4-FFF2-40B4-BE49-F238E27FC236}">
              <a16:creationId xmlns:a16="http://schemas.microsoft.com/office/drawing/2014/main" id="{DD07B7F2-9CC4-42C3-B6F2-F1FDFAE48DAA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B59B62D8-70EA-442C-9BE5-34EFC46B56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47" name="AutoShape 2">
          <a:extLst>
            <a:ext uri="{FF2B5EF4-FFF2-40B4-BE49-F238E27FC236}">
              <a16:creationId xmlns:a16="http://schemas.microsoft.com/office/drawing/2014/main" id="{0E590B19-C00A-4EB9-9422-B0764B565D4A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C9CF7E8-8352-458B-A402-54DA195FEE81}"/>
            </a:ext>
            <a:ext uri="{147F2762-F138-4A5C-976F-8EAC2B608ADB}">
              <a16:predDERef xmlns:a16="http://schemas.microsoft.com/office/drawing/2014/main" pred="{5311908E-A144-4440-9E82-C324965116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49" name="AutoShape 2">
          <a:extLst>
            <a:ext uri="{FF2B5EF4-FFF2-40B4-BE49-F238E27FC236}">
              <a16:creationId xmlns:a16="http://schemas.microsoft.com/office/drawing/2014/main" id="{1099967B-0107-4327-B19A-989028862EF0}"/>
            </a:ext>
            <a:ext uri="{147F2762-F138-4A5C-976F-8EAC2B608ADB}">
              <a16:predDERef xmlns:a16="http://schemas.microsoft.com/office/drawing/2014/main" pred="{2BC12FB5-90DA-4094-9708-73EF3FC8311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52E86500-7AFE-4705-8AF6-0819D71E7B7D}"/>
            </a:ext>
            <a:ext uri="{147F2762-F138-4A5C-976F-8EAC2B608ADB}">
              <a16:predDERef xmlns:a16="http://schemas.microsoft.com/office/drawing/2014/main" pred="{143E6ECB-3836-44AE-AB6A-B74853F3D81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1" name="AutoShape 2">
          <a:extLst>
            <a:ext uri="{FF2B5EF4-FFF2-40B4-BE49-F238E27FC236}">
              <a16:creationId xmlns:a16="http://schemas.microsoft.com/office/drawing/2014/main" id="{362FA5FA-2EBE-4346-9B3E-0B49A5D938DE}"/>
            </a:ext>
            <a:ext uri="{147F2762-F138-4A5C-976F-8EAC2B608ADB}">
              <a16:predDERef xmlns:a16="http://schemas.microsoft.com/office/drawing/2014/main" pred="{0F2CDB1C-7131-41A1-A364-974D3159C159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FBDB4387-BA10-48F4-8C86-67AFA30D1ACD}"/>
            </a:ext>
            <a:ext uri="{147F2762-F138-4A5C-976F-8EAC2B608ADB}">
              <a16:predDERef xmlns:a16="http://schemas.microsoft.com/office/drawing/2014/main" pred="{78958DFE-1CED-479C-B3E1-13C59446C6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74A04233-1D85-409B-BDEC-08740DF79E79}"/>
            </a:ext>
            <a:ext uri="{147F2762-F138-4A5C-976F-8EAC2B608ADB}">
              <a16:predDERef xmlns:a16="http://schemas.microsoft.com/office/drawing/2014/main" pred="{660E82B3-5B09-46A2-A445-990EBE94619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97A04B57-EF75-42DF-87B7-CF4A7D7BBC36}"/>
            </a:ext>
            <a:ext uri="{147F2762-F138-4A5C-976F-8EAC2B608ADB}">
              <a16:predDERef xmlns:a16="http://schemas.microsoft.com/office/drawing/2014/main" pred="{DECB09ED-2371-4E12-AFFC-C238F838E3C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55" name="AutoShape 2">
          <a:extLst>
            <a:ext uri="{FF2B5EF4-FFF2-40B4-BE49-F238E27FC236}">
              <a16:creationId xmlns:a16="http://schemas.microsoft.com/office/drawing/2014/main" id="{512A8BE4-8243-4650-A992-F7E94CF53774}"/>
            </a:ext>
            <a:ext uri="{147F2762-F138-4A5C-976F-8EAC2B608ADB}">
              <a16:predDERef xmlns:a16="http://schemas.microsoft.com/office/drawing/2014/main" pred="{24760E80-1B53-4146-9CD8-7157BD60F2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E84C85FF-2660-4A82-95C2-ABB05CE3A642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7" name="AutoShape 2">
          <a:extLst>
            <a:ext uri="{FF2B5EF4-FFF2-40B4-BE49-F238E27FC236}">
              <a16:creationId xmlns:a16="http://schemas.microsoft.com/office/drawing/2014/main" id="{723D24CC-6EB1-4DF2-B937-255284718003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B42D07E3-73F5-4A08-9C7F-52457688DED3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59" name="AutoShape 2">
          <a:extLst>
            <a:ext uri="{FF2B5EF4-FFF2-40B4-BE49-F238E27FC236}">
              <a16:creationId xmlns:a16="http://schemas.microsoft.com/office/drawing/2014/main" id="{87F4E287-7FFC-4E1C-8213-FD22BF4E7380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F79A33D1-34F1-491C-9DA9-5F305A28CA54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1" name="AutoShape 2">
          <a:extLst>
            <a:ext uri="{FF2B5EF4-FFF2-40B4-BE49-F238E27FC236}">
              <a16:creationId xmlns:a16="http://schemas.microsoft.com/office/drawing/2014/main" id="{A4C5B204-E629-472E-B7D7-96646D31DDA1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A2825022-50E8-4568-8E5A-7B4C31271B5B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63" name="AutoShape 2">
          <a:extLst>
            <a:ext uri="{FF2B5EF4-FFF2-40B4-BE49-F238E27FC236}">
              <a16:creationId xmlns:a16="http://schemas.microsoft.com/office/drawing/2014/main" id="{6ABB8CBB-7404-4FB1-8B06-FA11383FD75B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2DC22BB7-64FE-48A0-81E5-F2BFD5CB24F1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2961422E-AE0C-457F-9E0A-DF2B699F2C4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83AFA845-28DB-4A80-98BE-A91FDBC833A8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7" name="AutoShape 2">
          <a:extLst>
            <a:ext uri="{FF2B5EF4-FFF2-40B4-BE49-F238E27FC236}">
              <a16:creationId xmlns:a16="http://schemas.microsoft.com/office/drawing/2014/main" id="{F953DC1F-A254-4971-8407-0E67BC1DAA63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8D03E3E-18EF-4596-BBCE-E7A2276A5DF1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369" name="AutoShape 2">
          <a:extLst>
            <a:ext uri="{FF2B5EF4-FFF2-40B4-BE49-F238E27FC236}">
              <a16:creationId xmlns:a16="http://schemas.microsoft.com/office/drawing/2014/main" id="{87DB8A04-B377-42B8-9C81-667773D95916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A2D434B1-2CFA-46AA-9C29-430002E691BC}"/>
            </a:ext>
            <a:ext uri="{147F2762-F138-4A5C-976F-8EAC2B608ADB}">
              <a16:predDERef xmlns:a16="http://schemas.microsoft.com/office/drawing/2014/main" pred="{2E697E64-6178-4F04-B3C3-80B61FBBDB3A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1" name="AutoShape 2">
          <a:extLst>
            <a:ext uri="{FF2B5EF4-FFF2-40B4-BE49-F238E27FC236}">
              <a16:creationId xmlns:a16="http://schemas.microsoft.com/office/drawing/2014/main" id="{13F39ED9-F9F6-4B59-A4C2-C54F56996ECC}"/>
            </a:ext>
            <a:ext uri="{147F2762-F138-4A5C-976F-8EAC2B608ADB}">
              <a16:predDERef xmlns:a16="http://schemas.microsoft.com/office/drawing/2014/main" pred="{250AD75B-AF00-4559-8A8A-78688C56C27C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118AC3B3-1CCB-4A2F-8C94-A4BE169962E6}"/>
            </a:ext>
            <a:ext uri="{147F2762-F138-4A5C-976F-8EAC2B608ADB}">
              <a16:predDERef xmlns:a16="http://schemas.microsoft.com/office/drawing/2014/main" pred="{46A5ED6E-3CED-4980-8C1D-E215CF0CE12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3" name="AutoShape 2">
          <a:extLst>
            <a:ext uri="{FF2B5EF4-FFF2-40B4-BE49-F238E27FC236}">
              <a16:creationId xmlns:a16="http://schemas.microsoft.com/office/drawing/2014/main" id="{9A753DA5-B295-44CE-A885-87DCDF20A5BC}"/>
            </a:ext>
            <a:ext uri="{147F2762-F138-4A5C-976F-8EAC2B608ADB}">
              <a16:predDERef xmlns:a16="http://schemas.microsoft.com/office/drawing/2014/main" pred="{5F470C14-CEF8-40B7-AA05-E4B118F23EB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5CBD3FA5-DC37-4354-9B23-2180912E9B85}"/>
            </a:ext>
            <a:ext uri="{147F2762-F138-4A5C-976F-8EAC2B608ADB}">
              <a16:predDERef xmlns:a16="http://schemas.microsoft.com/office/drawing/2014/main" pred="{70469D08-BBA0-484A-8987-594C3271BA19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5" name="AutoShape 2">
          <a:extLst>
            <a:ext uri="{FF2B5EF4-FFF2-40B4-BE49-F238E27FC236}">
              <a16:creationId xmlns:a16="http://schemas.microsoft.com/office/drawing/2014/main" id="{0E2AC027-EAF0-4F33-B80F-25BCA1468332}"/>
            </a:ext>
            <a:ext uri="{147F2762-F138-4A5C-976F-8EAC2B608ADB}">
              <a16:predDERef xmlns:a16="http://schemas.microsoft.com/office/drawing/2014/main" pred="{A90F0CE7-B3A1-4297-A322-B260C9FBA79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5D56DC95-DE5D-4DD9-A794-69C5BCC56060}"/>
            </a:ext>
            <a:ext uri="{147F2762-F138-4A5C-976F-8EAC2B608ADB}">
              <a16:predDERef xmlns:a16="http://schemas.microsoft.com/office/drawing/2014/main" pred="{012C603C-B90C-46AC-9046-4059B5FE5D8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0</xdr:rowOff>
    </xdr:from>
    <xdr:ext cx="304800" cy="312420"/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9C9B1E46-5652-49DD-84E7-0DA769AF5DD4}"/>
            </a:ext>
            <a:ext uri="{147F2762-F138-4A5C-976F-8EAC2B608ADB}">
              <a16:predDERef xmlns:a16="http://schemas.microsoft.com/office/drawing/2014/main" pred="{E4838BFF-1F34-4E35-804D-137B8E97E13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322326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E259F0F-AAB3-44BB-86BE-E94A2F830F01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79" name="AutoShape 2">
          <a:extLst>
            <a:ext uri="{FF2B5EF4-FFF2-40B4-BE49-F238E27FC236}">
              <a16:creationId xmlns:a16="http://schemas.microsoft.com/office/drawing/2014/main" id="{6DB20FF7-BDB8-4CCB-B9EC-9119A1A9AA4A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A678DECB-4B33-4493-A0F1-497810D33D63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1" name="AutoShape 2">
          <a:extLst>
            <a:ext uri="{FF2B5EF4-FFF2-40B4-BE49-F238E27FC236}">
              <a16:creationId xmlns:a16="http://schemas.microsoft.com/office/drawing/2014/main" id="{F000C4E6-726A-422C-B128-F0E21CDFFCB8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CCFC0726-1B29-49EC-96B0-DA3252EE68BD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3" name="AutoShape 2">
          <a:extLst>
            <a:ext uri="{FF2B5EF4-FFF2-40B4-BE49-F238E27FC236}">
              <a16:creationId xmlns:a16="http://schemas.microsoft.com/office/drawing/2014/main" id="{FFC39F41-3784-4534-8AA1-78F3D3EBB260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9F327C28-B246-43DF-B959-14545960701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385" name="AutoShape 2">
          <a:extLst>
            <a:ext uri="{FF2B5EF4-FFF2-40B4-BE49-F238E27FC236}">
              <a16:creationId xmlns:a16="http://schemas.microsoft.com/office/drawing/2014/main" id="{F5D9EB0B-39E4-4A4D-8F44-37171892CD94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C7C3294-A671-4009-B574-65F8A0771486}"/>
            </a:ext>
            <a:ext uri="{147F2762-F138-4A5C-976F-8EAC2B608ADB}">
              <a16:predDERef xmlns:a16="http://schemas.microsoft.com/office/drawing/2014/main" pred="{8DA3E51C-DD48-49EA-9BE2-F4D82391D8F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7" name="AutoShape 2">
          <a:extLst>
            <a:ext uri="{FF2B5EF4-FFF2-40B4-BE49-F238E27FC236}">
              <a16:creationId xmlns:a16="http://schemas.microsoft.com/office/drawing/2014/main" id="{2197F071-56D6-4ECF-A09B-ED7443B7C025}"/>
            </a:ext>
            <a:ext uri="{147F2762-F138-4A5C-976F-8EAC2B608ADB}">
              <a16:predDERef xmlns:a16="http://schemas.microsoft.com/office/drawing/2014/main" pred="{72918847-5BEB-4328-AB58-836352AAA28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8F20600B-4298-4A41-87BD-F90DD8A918BF}"/>
            </a:ext>
            <a:ext uri="{147F2762-F138-4A5C-976F-8EAC2B608ADB}">
              <a16:predDERef xmlns:a16="http://schemas.microsoft.com/office/drawing/2014/main" pred="{6DB6FCFE-6E6A-409E-AD94-AF6D006AA8D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2CA6E1DD-9558-404C-A270-1E9D97CF5202}"/>
            </a:ext>
            <a:ext uri="{147F2762-F138-4A5C-976F-8EAC2B608ADB}">
              <a16:predDERef xmlns:a16="http://schemas.microsoft.com/office/drawing/2014/main" pred="{5CD35901-CB96-4412-BD1E-EEBB4A5E7D7C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74AF825D-EE9D-4521-BC03-EACC0591222D}"/>
            </a:ext>
            <a:ext uri="{147F2762-F138-4A5C-976F-8EAC2B608ADB}">
              <a16:predDERef xmlns:a16="http://schemas.microsoft.com/office/drawing/2014/main" pred="{4EC454E7-0377-4E1C-A1A2-E40758DA878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1" name="AutoShape 2">
          <a:extLst>
            <a:ext uri="{FF2B5EF4-FFF2-40B4-BE49-F238E27FC236}">
              <a16:creationId xmlns:a16="http://schemas.microsoft.com/office/drawing/2014/main" id="{1771D711-FE66-47FF-90B9-62C6DDFB74A7}"/>
            </a:ext>
            <a:ext uri="{147F2762-F138-4A5C-976F-8EAC2B608ADB}">
              <a16:predDERef xmlns:a16="http://schemas.microsoft.com/office/drawing/2014/main" pred="{23B947C1-F918-4F79-9315-15DC139C0F5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12420"/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5A8EF58F-26A6-4E14-94C3-0E659684CAE9}"/>
            </a:ext>
            <a:ext uri="{147F2762-F138-4A5C-976F-8EAC2B608ADB}">
              <a16:predDERef xmlns:a16="http://schemas.microsoft.com/office/drawing/2014/main" pred="{890FEA04-CB72-4146-A679-E0E7B76EEE9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304038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114300</xdr:rowOff>
    </xdr:from>
    <xdr:ext cx="304800" cy="312420"/>
    <xdr:sp macro="" textlink="">
      <xdr:nvSpPr>
        <xdr:cNvPr id="393" name="AutoShape 2">
          <a:extLst>
            <a:ext uri="{FF2B5EF4-FFF2-40B4-BE49-F238E27FC236}">
              <a16:creationId xmlns:a16="http://schemas.microsoft.com/office/drawing/2014/main" id="{427D7FA9-293C-44F8-AAFC-B6A1F6DFCAB6}"/>
            </a:ext>
            <a:ext uri="{147F2762-F138-4A5C-976F-8EAC2B608ADB}">
              <a16:predDERef xmlns:a16="http://schemas.microsoft.com/office/drawing/2014/main" pred="{35D5FAEE-E026-47CC-B54C-B2B61EE75CB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2971800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8C626F8F-AD28-4EB9-AA99-212FA05FAD6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5" name="AutoShape 2">
          <a:extLst>
            <a:ext uri="{FF2B5EF4-FFF2-40B4-BE49-F238E27FC236}">
              <a16:creationId xmlns:a16="http://schemas.microsoft.com/office/drawing/2014/main" id="{7CAA7014-D1C4-46BF-985E-62448FD891EF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63DA9F90-E967-4C62-B922-F43139C7894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7" name="AutoShape 2">
          <a:extLst>
            <a:ext uri="{FF2B5EF4-FFF2-40B4-BE49-F238E27FC236}">
              <a16:creationId xmlns:a16="http://schemas.microsoft.com/office/drawing/2014/main" id="{1CD8DFE0-0C96-4E09-9C56-3231C0DE8989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26A985A5-4E5C-4AB9-80D4-7D1F77FEF9AF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399" name="AutoShape 2">
          <a:extLst>
            <a:ext uri="{FF2B5EF4-FFF2-40B4-BE49-F238E27FC236}">
              <a16:creationId xmlns:a16="http://schemas.microsoft.com/office/drawing/2014/main" id="{D6AB4F14-6E12-4300-BBB7-B614B15651E5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D473941-2087-4B58-93AC-B23E5F821DB4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B9A049E7-6CFD-4755-8E7D-FEA37233A609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19EE4497-0318-4E53-A89F-CD3DB2119F99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3" name="AutoShape 2">
          <a:extLst>
            <a:ext uri="{FF2B5EF4-FFF2-40B4-BE49-F238E27FC236}">
              <a16:creationId xmlns:a16="http://schemas.microsoft.com/office/drawing/2014/main" id="{79D269D9-009D-4B8B-960A-B069A71B9F47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7CB046C1-6056-4E44-AE9B-4B7B71605FCF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5" name="AutoShape 2">
          <a:extLst>
            <a:ext uri="{FF2B5EF4-FFF2-40B4-BE49-F238E27FC236}">
              <a16:creationId xmlns:a16="http://schemas.microsoft.com/office/drawing/2014/main" id="{86D2A4E8-7083-4C91-9E07-CB430C47A777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EE44A242-FACF-46C7-94A0-6D8AA6B92BC7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07" name="AutoShape 2">
          <a:extLst>
            <a:ext uri="{FF2B5EF4-FFF2-40B4-BE49-F238E27FC236}">
              <a16:creationId xmlns:a16="http://schemas.microsoft.com/office/drawing/2014/main" id="{A465C75A-3EAF-4C4A-A81C-0C9ED7576E76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C821BD0E-2ACD-46CE-AE23-49C9FD773B16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09" name="AutoShape 2">
          <a:extLst>
            <a:ext uri="{FF2B5EF4-FFF2-40B4-BE49-F238E27FC236}">
              <a16:creationId xmlns:a16="http://schemas.microsoft.com/office/drawing/2014/main" id="{E6E204E9-1A14-470F-B901-5EB4E95E4CC6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F5ECA638-4212-4E00-B557-D4930B6D40A8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1" name="AutoShape 2">
          <a:extLst>
            <a:ext uri="{FF2B5EF4-FFF2-40B4-BE49-F238E27FC236}">
              <a16:creationId xmlns:a16="http://schemas.microsoft.com/office/drawing/2014/main" id="{5F0AC65C-9B0E-4BAC-9986-3B7F4DB9608F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B8A9926-BA42-4ECF-A6FD-38C59C06152B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id="{967D5C6B-7E1D-4BF0-8156-DCC2BC812DF8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FD238C26-4CC6-4C9F-A501-666D80BEB03D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15" name="AutoShape 2">
          <a:extLst>
            <a:ext uri="{FF2B5EF4-FFF2-40B4-BE49-F238E27FC236}">
              <a16:creationId xmlns:a16="http://schemas.microsoft.com/office/drawing/2014/main" id="{AC49D35A-3157-4C65-8FFC-9B6E1A3630A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37447C85-632D-4E78-9660-01F78EDDE02B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17" name="AutoShape 2">
          <a:extLst>
            <a:ext uri="{FF2B5EF4-FFF2-40B4-BE49-F238E27FC236}">
              <a16:creationId xmlns:a16="http://schemas.microsoft.com/office/drawing/2014/main" id="{F8D15901-1CED-4A0B-81D1-2EA1B05114FF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434E13C2-D107-4348-8C49-B8D06724D2DC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19" name="AutoShape 2">
          <a:extLst>
            <a:ext uri="{FF2B5EF4-FFF2-40B4-BE49-F238E27FC236}">
              <a16:creationId xmlns:a16="http://schemas.microsoft.com/office/drawing/2014/main" id="{4F31A27E-C9FA-4B80-8D6A-03842181372A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4E320BD8-11A8-4CEB-B146-60446F01D553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21" name="AutoShape 2">
          <a:extLst>
            <a:ext uri="{FF2B5EF4-FFF2-40B4-BE49-F238E27FC236}">
              <a16:creationId xmlns:a16="http://schemas.microsoft.com/office/drawing/2014/main" id="{3973583E-04EF-475B-B9DA-975FDA345DFB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FCBA60E0-6AEC-481F-BFBE-646AEC0DFDD7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23" name="AutoShape 2">
          <a:extLst>
            <a:ext uri="{FF2B5EF4-FFF2-40B4-BE49-F238E27FC236}">
              <a16:creationId xmlns:a16="http://schemas.microsoft.com/office/drawing/2014/main" id="{6B5ACC1E-7D40-407A-AA78-8B2F3077C520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D4DEC9EE-BC26-48A2-96FD-2E43592B61E2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5" name="AutoShape 2">
          <a:extLst>
            <a:ext uri="{FF2B5EF4-FFF2-40B4-BE49-F238E27FC236}">
              <a16:creationId xmlns:a16="http://schemas.microsoft.com/office/drawing/2014/main" id="{B3F26CFF-94C3-4F60-868B-B20E77B31100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FCA062BB-CB07-4CA1-A87E-F6E33F37FBCC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7" name="AutoShape 2">
          <a:extLst>
            <a:ext uri="{FF2B5EF4-FFF2-40B4-BE49-F238E27FC236}">
              <a16:creationId xmlns:a16="http://schemas.microsoft.com/office/drawing/2014/main" id="{827595CA-9EDB-4FCB-89F1-63D1DE48DD7A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7B724DD2-E4B2-49FD-98BB-F00FE8F90F2C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29" name="AutoShape 2">
          <a:extLst>
            <a:ext uri="{FF2B5EF4-FFF2-40B4-BE49-F238E27FC236}">
              <a16:creationId xmlns:a16="http://schemas.microsoft.com/office/drawing/2014/main" id="{B7AC1347-958C-4BAB-B095-3F97811D5F74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33B98F7-28DA-4F0A-A8A5-064B386AC704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1" name="AutoShape 2">
          <a:extLst>
            <a:ext uri="{FF2B5EF4-FFF2-40B4-BE49-F238E27FC236}">
              <a16:creationId xmlns:a16="http://schemas.microsoft.com/office/drawing/2014/main" id="{8B1E611E-35B2-4A5E-B566-41E0DEEBB2A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895B63B-0DED-4522-9999-65746D623E2E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3" name="AutoShape 2">
          <a:extLst>
            <a:ext uri="{FF2B5EF4-FFF2-40B4-BE49-F238E27FC236}">
              <a16:creationId xmlns:a16="http://schemas.microsoft.com/office/drawing/2014/main" id="{4F187713-70AA-4005-B674-8A02BD98440F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9F399B7-3C5D-4F23-AD77-B87A8A2288A8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5" name="AutoShape 2">
          <a:extLst>
            <a:ext uri="{FF2B5EF4-FFF2-40B4-BE49-F238E27FC236}">
              <a16:creationId xmlns:a16="http://schemas.microsoft.com/office/drawing/2014/main" id="{D81DE4B7-13DC-44F9-B441-528C38044C88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8CDEA82F-6E1D-405B-9E41-BE9A6D0E6FF6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37" name="AutoShape 2">
          <a:extLst>
            <a:ext uri="{FF2B5EF4-FFF2-40B4-BE49-F238E27FC236}">
              <a16:creationId xmlns:a16="http://schemas.microsoft.com/office/drawing/2014/main" id="{B38E6919-A63F-42E2-B291-659B045FA23A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AABA7A8-EE75-453C-9F3F-0BF3880E733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39" name="AutoShape 2">
          <a:extLst>
            <a:ext uri="{FF2B5EF4-FFF2-40B4-BE49-F238E27FC236}">
              <a16:creationId xmlns:a16="http://schemas.microsoft.com/office/drawing/2014/main" id="{A495D7E5-DF16-4C75-BBDC-EF613D138706}"/>
            </a:ext>
            <a:ext uri="{147F2762-F138-4A5C-976F-8EAC2B608ADB}">
              <a16:predDERef xmlns:a16="http://schemas.microsoft.com/office/drawing/2014/main" pred="{83AC68F7-A6D9-4E23-8D65-C41A4A89DEB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3FCC3351-5B34-4BAF-9573-AC5EA7C61E4C}"/>
            </a:ext>
            <a:ext uri="{147F2762-F138-4A5C-976F-8EAC2B608ADB}">
              <a16:predDERef xmlns:a16="http://schemas.microsoft.com/office/drawing/2014/main" pred="{ED31DCC5-48F6-444F-B033-C0D372FF2A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1" name="AutoShape 2">
          <a:extLst>
            <a:ext uri="{FF2B5EF4-FFF2-40B4-BE49-F238E27FC236}">
              <a16:creationId xmlns:a16="http://schemas.microsoft.com/office/drawing/2014/main" id="{BDB45347-D784-414C-AB55-D0D3AA5D6E6D}"/>
            </a:ext>
            <a:ext uri="{147F2762-F138-4A5C-976F-8EAC2B608ADB}">
              <a16:predDERef xmlns:a16="http://schemas.microsoft.com/office/drawing/2014/main" pred="{3557DA38-4BBF-41EF-A28D-E7D9C38685E1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C4282D3-59ED-4612-9198-73BCD65823D7}"/>
            </a:ext>
            <a:ext uri="{147F2762-F138-4A5C-976F-8EAC2B608ADB}">
              <a16:predDERef xmlns:a16="http://schemas.microsoft.com/office/drawing/2014/main" pred="{4C355FF1-B7BC-4378-8173-43F100CEDF6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3" name="AutoShape 2">
          <a:extLst>
            <a:ext uri="{FF2B5EF4-FFF2-40B4-BE49-F238E27FC236}">
              <a16:creationId xmlns:a16="http://schemas.microsoft.com/office/drawing/2014/main" id="{21128B94-CD8C-4732-AC30-C1C554DDE6FD}"/>
            </a:ext>
            <a:ext uri="{147F2762-F138-4A5C-976F-8EAC2B608ADB}">
              <a16:predDERef xmlns:a16="http://schemas.microsoft.com/office/drawing/2014/main" pred="{4449FD92-2FCD-4D1C-9317-BB9B0956D39D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C1389915-C37C-40D5-8DB1-42D7E3B299ED}"/>
            </a:ext>
            <a:ext uri="{147F2762-F138-4A5C-976F-8EAC2B608ADB}">
              <a16:predDERef xmlns:a16="http://schemas.microsoft.com/office/drawing/2014/main" pred="{2B17535F-FCAB-4FF0-AED4-6DDDC90AC22F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45" name="AutoShape 2">
          <a:extLst>
            <a:ext uri="{FF2B5EF4-FFF2-40B4-BE49-F238E27FC236}">
              <a16:creationId xmlns:a16="http://schemas.microsoft.com/office/drawing/2014/main" id="{9EC0C194-10B1-494D-A430-8BD779F93263}"/>
            </a:ext>
            <a:ext uri="{147F2762-F138-4A5C-976F-8EAC2B608ADB}">
              <a16:predDERef xmlns:a16="http://schemas.microsoft.com/office/drawing/2014/main" pred="{B0FB0FF9-B895-4792-B02B-06DFFDE3A1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3308D13C-2946-4883-8F91-0003B1E99275}"/>
            </a:ext>
            <a:ext uri="{147F2762-F138-4A5C-976F-8EAC2B608ADB}">
              <a16:predDERef xmlns:a16="http://schemas.microsoft.com/office/drawing/2014/main" pred="{BE207117-1D99-4E05-8B49-2BE20EA07FB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ED4F2311-1B67-46F6-8E61-7A113D2F7803}"/>
            </a:ext>
            <a:ext uri="{147F2762-F138-4A5C-976F-8EAC2B608ADB}">
              <a16:predDERef xmlns:a16="http://schemas.microsoft.com/office/drawing/2014/main" pred="{FFF9F985-7C47-43F5-9A6C-F278609EAC66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50A472E8-7863-4293-97E1-7351880D27D6}"/>
            </a:ext>
            <a:ext uri="{147F2762-F138-4A5C-976F-8EAC2B608ADB}">
              <a16:predDERef xmlns:a16="http://schemas.microsoft.com/office/drawing/2014/main" pred="{30BF9D33-F717-49F2-A75A-CB6B2B9DE9C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49" name="AutoShape 2">
          <a:extLst>
            <a:ext uri="{FF2B5EF4-FFF2-40B4-BE49-F238E27FC236}">
              <a16:creationId xmlns:a16="http://schemas.microsoft.com/office/drawing/2014/main" id="{FA85483B-F260-4DFA-93C3-1494EE79BB19}"/>
            </a:ext>
            <a:ext uri="{147F2762-F138-4A5C-976F-8EAC2B608ADB}">
              <a16:predDERef xmlns:a16="http://schemas.microsoft.com/office/drawing/2014/main" pred="{652CC2B4-8E91-4009-B34C-A1832F0B4BBF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109310D7-6D2B-462C-8139-61613F4A4DB4}"/>
            </a:ext>
            <a:ext uri="{147F2762-F138-4A5C-976F-8EAC2B608ADB}">
              <a16:predDERef xmlns:a16="http://schemas.microsoft.com/office/drawing/2014/main" pred="{56C44C82-586C-476E-881F-9102F54D7287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51" name="AutoShape 2">
          <a:extLst>
            <a:ext uri="{FF2B5EF4-FFF2-40B4-BE49-F238E27FC236}">
              <a16:creationId xmlns:a16="http://schemas.microsoft.com/office/drawing/2014/main" id="{3B32CF8B-4E3A-4F7A-9BD4-3DD706F67CFB}"/>
            </a:ext>
            <a:ext uri="{147F2762-F138-4A5C-976F-8EAC2B608ADB}">
              <a16:predDERef xmlns:a16="http://schemas.microsoft.com/office/drawing/2014/main" pred="{70558210-0446-4286-87CD-F3A7B8876802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5D0C1A40-B630-461B-8B90-04AA51141087}"/>
            </a:ext>
            <a:ext uri="{147F2762-F138-4A5C-976F-8EAC2B608ADB}">
              <a16:predDERef xmlns:a16="http://schemas.microsoft.com/office/drawing/2014/main" pred="{0EBC2B39-F188-4CE8-B3AD-039F1EC80034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3" name="AutoShape 2">
          <a:extLst>
            <a:ext uri="{FF2B5EF4-FFF2-40B4-BE49-F238E27FC236}">
              <a16:creationId xmlns:a16="http://schemas.microsoft.com/office/drawing/2014/main" id="{26F48D50-2E6D-4926-999D-70ED7793C940}"/>
            </a:ext>
            <a:ext uri="{147F2762-F138-4A5C-976F-8EAC2B608ADB}">
              <a16:predDERef xmlns:a16="http://schemas.microsoft.com/office/drawing/2014/main" pred="{D320A808-AA98-41B3-9F29-C015D99D990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99A7F4BB-4914-4B08-A916-BB21C92BDBB2}"/>
            </a:ext>
            <a:ext uri="{147F2762-F138-4A5C-976F-8EAC2B608ADB}">
              <a16:predDERef xmlns:a16="http://schemas.microsoft.com/office/drawing/2014/main" pred="{D798E4D9-D12B-421C-B632-195E3F0CB0E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88BF7D1C-2D74-4343-872A-A1E613A1F21E}"/>
            </a:ext>
            <a:ext uri="{147F2762-F138-4A5C-976F-8EAC2B608ADB}">
              <a16:predDERef xmlns:a16="http://schemas.microsoft.com/office/drawing/2014/main" pred="{E056DC68-1475-42DD-A19A-6701E9351BF6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C9734256-971D-423C-8E54-0FBCEEDDD4AA}"/>
            </a:ext>
            <a:ext uri="{147F2762-F138-4A5C-976F-8EAC2B608ADB}">
              <a16:predDERef xmlns:a16="http://schemas.microsoft.com/office/drawing/2014/main" pred="{7C63EF21-991A-48F1-A6B2-97948B9AB66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7" name="AutoShape 2">
          <a:extLst>
            <a:ext uri="{FF2B5EF4-FFF2-40B4-BE49-F238E27FC236}">
              <a16:creationId xmlns:a16="http://schemas.microsoft.com/office/drawing/2014/main" id="{AD7D5E92-4C46-445A-AB7C-3D0D75F04D22}"/>
            </a:ext>
            <a:ext uri="{147F2762-F138-4A5C-976F-8EAC2B608ADB}">
              <a16:predDERef xmlns:a16="http://schemas.microsoft.com/office/drawing/2014/main" pred="{46380BDC-18DB-4840-B6B6-F2ED00993CC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C13AFFBB-0BD0-4FB4-A0E2-41B790986551}"/>
            </a:ext>
            <a:ext uri="{147F2762-F138-4A5C-976F-8EAC2B608ADB}">
              <a16:predDERef xmlns:a16="http://schemas.microsoft.com/office/drawing/2014/main" pred="{D3005EBE-6D44-4164-A8D3-AB7A25283B23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59" name="AutoShape 2">
          <a:extLst>
            <a:ext uri="{FF2B5EF4-FFF2-40B4-BE49-F238E27FC236}">
              <a16:creationId xmlns:a16="http://schemas.microsoft.com/office/drawing/2014/main" id="{42CC1114-86C9-4279-BC8A-27A103239650}"/>
            </a:ext>
            <a:ext uri="{147F2762-F138-4A5C-976F-8EAC2B608ADB}">
              <a16:predDERef xmlns:a16="http://schemas.microsoft.com/office/drawing/2014/main" pred="{B1561F7F-58C1-4B68-BA19-83B7E83DA29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A2FC05C1-69E7-4493-BADF-8A7E661F3E9E}"/>
            </a:ext>
            <a:ext uri="{147F2762-F138-4A5C-976F-8EAC2B608ADB}">
              <a16:predDERef xmlns:a16="http://schemas.microsoft.com/office/drawing/2014/main" pred="{5C0B60AE-627B-49D1-87D0-4EBCD873F778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1" name="AutoShape 2">
          <a:extLst>
            <a:ext uri="{FF2B5EF4-FFF2-40B4-BE49-F238E27FC236}">
              <a16:creationId xmlns:a16="http://schemas.microsoft.com/office/drawing/2014/main" id="{7DD0A09A-7AED-44C1-B49D-B8095E131C95}"/>
            </a:ext>
            <a:ext uri="{147F2762-F138-4A5C-976F-8EAC2B608ADB}">
              <a16:predDERef xmlns:a16="http://schemas.microsoft.com/office/drawing/2014/main" pred="{C3C1A209-980D-44C4-A558-BA02FEE38EEB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CEAA18F1-6A3C-4CB7-ACA1-1C1576075B9E}"/>
            </a:ext>
            <a:ext uri="{147F2762-F138-4A5C-976F-8EAC2B608ADB}">
              <a16:predDERef xmlns:a16="http://schemas.microsoft.com/office/drawing/2014/main" pred="{72C65797-369A-40D0-8373-22E08EC094D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3" name="AutoShape 2">
          <a:extLst>
            <a:ext uri="{FF2B5EF4-FFF2-40B4-BE49-F238E27FC236}">
              <a16:creationId xmlns:a16="http://schemas.microsoft.com/office/drawing/2014/main" id="{3756E5EA-D9F7-4D0A-B3CF-CF1E40C73B3F}"/>
            </a:ext>
            <a:ext uri="{147F2762-F138-4A5C-976F-8EAC2B608ADB}">
              <a16:predDERef xmlns:a16="http://schemas.microsoft.com/office/drawing/2014/main" pred="{C7072E53-0300-4C56-8203-70F7E8174E8E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02735347-0B8D-4009-A34F-D795408EFCE7}"/>
            </a:ext>
            <a:ext uri="{147F2762-F138-4A5C-976F-8EAC2B608ADB}">
              <a16:predDERef xmlns:a16="http://schemas.microsoft.com/office/drawing/2014/main" pred="{A2B9AA04-444F-4EE3-B1E7-8A0468749AF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5" name="AutoShape 2">
          <a:extLst>
            <a:ext uri="{FF2B5EF4-FFF2-40B4-BE49-F238E27FC236}">
              <a16:creationId xmlns:a16="http://schemas.microsoft.com/office/drawing/2014/main" id="{C763172D-A692-4D46-A218-9735CB04FDEE}"/>
            </a:ext>
            <a:ext uri="{147F2762-F138-4A5C-976F-8EAC2B608ADB}">
              <a16:predDERef xmlns:a16="http://schemas.microsoft.com/office/drawing/2014/main" pred="{A4DC9F36-18B5-4F81-98AE-C72EEEFE813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8F0E8822-B8F5-4AF4-8E64-E7A9A038C60F}"/>
            </a:ext>
            <a:ext uri="{147F2762-F138-4A5C-976F-8EAC2B608ADB}">
              <a16:predDERef xmlns:a16="http://schemas.microsoft.com/office/drawing/2014/main" pred="{ED6633CE-096C-4645-A12D-6EA06A13330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295275"/>
    <xdr:sp macro="" textlink="">
      <xdr:nvSpPr>
        <xdr:cNvPr id="467" name="AutoShape 2">
          <a:extLst>
            <a:ext uri="{FF2B5EF4-FFF2-40B4-BE49-F238E27FC236}">
              <a16:creationId xmlns:a16="http://schemas.microsoft.com/office/drawing/2014/main" id="{13FA3B2F-42FC-43FF-A85E-B2F718CA6013}"/>
            </a:ext>
            <a:ext uri="{147F2762-F138-4A5C-976F-8EAC2B608ADB}">
              <a16:predDERef xmlns:a16="http://schemas.microsoft.com/office/drawing/2014/main" pred="{01F83D41-800D-407D-AB4D-09285861FDE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7C0AB12F-01F6-4012-957E-3EC19E3D5B58}"/>
            </a:ext>
            <a:ext uri="{147F2762-F138-4A5C-976F-8EAC2B608ADB}">
              <a16:predDERef xmlns:a16="http://schemas.microsoft.com/office/drawing/2014/main" pred="{31442723-EC40-486C-809E-DA2DE0C6ECE0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AC231B03-A96C-4886-A8B8-1B207CD99A53}"/>
            </a:ext>
            <a:ext uri="{147F2762-F138-4A5C-976F-8EAC2B608ADB}">
              <a16:predDERef xmlns:a16="http://schemas.microsoft.com/office/drawing/2014/main" pred="{143C3764-156A-44D9-8336-5B8E06C7DFEB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7BDED23F-2AEF-41A6-A5CE-63221544432D}"/>
            </a:ext>
            <a:ext uri="{147F2762-F138-4A5C-976F-8EAC2B608ADB}">
              <a16:predDERef xmlns:a16="http://schemas.microsoft.com/office/drawing/2014/main" pred="{B758E69A-1F0C-45DB-964C-FCEE6D9787B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71" name="AutoShape 2">
          <a:extLst>
            <a:ext uri="{FF2B5EF4-FFF2-40B4-BE49-F238E27FC236}">
              <a16:creationId xmlns:a16="http://schemas.microsoft.com/office/drawing/2014/main" id="{72BE704D-1C92-4D40-A16D-76DBFCF5BD3C}"/>
            </a:ext>
            <a:ext uri="{147F2762-F138-4A5C-976F-8EAC2B608ADB}">
              <a16:predDERef xmlns:a16="http://schemas.microsoft.com/office/drawing/2014/main" pred="{C1C18499-A17A-4A2A-8C46-9E8B55870048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1ABC95F9-C698-40A2-BCA3-30F45AA2A0AB}"/>
            </a:ext>
            <a:ext uri="{147F2762-F138-4A5C-976F-8EAC2B608ADB}">
              <a16:predDERef xmlns:a16="http://schemas.microsoft.com/office/drawing/2014/main" pred="{767DB15F-8928-4FA7-BCE6-AAE7140CFCFD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275"/>
    <xdr:sp macro="" textlink="">
      <xdr:nvSpPr>
        <xdr:cNvPr id="473" name="AutoShape 2">
          <a:extLst>
            <a:ext uri="{FF2B5EF4-FFF2-40B4-BE49-F238E27FC236}">
              <a16:creationId xmlns:a16="http://schemas.microsoft.com/office/drawing/2014/main" id="{7226243A-7D89-4DC5-990B-B742D41EC8B1}"/>
            </a:ext>
            <a:ext uri="{147F2762-F138-4A5C-976F-8EAC2B608ADB}">
              <a16:predDERef xmlns:a16="http://schemas.microsoft.com/office/drawing/2014/main" pred="{EC478869-6BE3-4F05-9F26-FEAE1DACDCD4}"/>
            </a:ext>
          </a:extLst>
        </xdr:cNvPr>
        <xdr:cNvSpPr>
          <a:spLocks noChangeAspect="1" noChangeArrowheads="1"/>
        </xdr:cNvSpPr>
      </xdr:nvSpPr>
      <xdr:spPr bwMode="auto">
        <a:xfrm>
          <a:off x="6118860" y="12115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2E9EC0F3-6A72-4C92-BCE9-CFCC94923339}"/>
            </a:ext>
            <a:ext uri="{147F2762-F138-4A5C-976F-8EAC2B608ADB}">
              <a16:predDERef xmlns:a16="http://schemas.microsoft.com/office/drawing/2014/main" pred="{47233D3D-863D-4601-863B-72FFA45B11C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5" name="AutoShape 2">
          <a:extLst>
            <a:ext uri="{FF2B5EF4-FFF2-40B4-BE49-F238E27FC236}">
              <a16:creationId xmlns:a16="http://schemas.microsoft.com/office/drawing/2014/main" id="{C7CC7009-406F-44B0-BAC8-48057CC52109}"/>
            </a:ext>
            <a:ext uri="{147F2762-F138-4A5C-976F-8EAC2B608ADB}">
              <a16:predDERef xmlns:a16="http://schemas.microsoft.com/office/drawing/2014/main" pred="{2F03107E-5A34-4D32-BBC7-22A9385CB240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8BDC3133-2081-4A07-A7EB-BFC3FF01D8BB}"/>
            </a:ext>
            <a:ext uri="{147F2762-F138-4A5C-976F-8EAC2B608ADB}">
              <a16:predDERef xmlns:a16="http://schemas.microsoft.com/office/drawing/2014/main" pred="{B42DA1F2-BA06-4BF2-929F-B8F3803EC87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620B377C-F6EE-4332-8F9D-60EBC68C93BA}"/>
            </a:ext>
            <a:ext uri="{147F2762-F138-4A5C-976F-8EAC2B608ADB}">
              <a16:predDERef xmlns:a16="http://schemas.microsoft.com/office/drawing/2014/main" pred="{99A07E7B-D030-4381-9726-87A76812B43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2E9448F3-7BC7-4777-967B-3C48A0BEEE55}"/>
            </a:ext>
            <a:ext uri="{147F2762-F138-4A5C-976F-8EAC2B608ADB}">
              <a16:predDERef xmlns:a16="http://schemas.microsoft.com/office/drawing/2014/main" pred="{9D4ED2D1-ABA5-4895-B4F9-7054B84FDCE5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79" name="AutoShape 2">
          <a:extLst>
            <a:ext uri="{FF2B5EF4-FFF2-40B4-BE49-F238E27FC236}">
              <a16:creationId xmlns:a16="http://schemas.microsoft.com/office/drawing/2014/main" id="{CBA8A96D-DAD7-4AB4-AA2A-63AB1B7D73A5}"/>
            </a:ext>
            <a:ext uri="{147F2762-F138-4A5C-976F-8EAC2B608ADB}">
              <a16:predDERef xmlns:a16="http://schemas.microsoft.com/office/drawing/2014/main" pred="{29D3812E-5FA9-4874-BBAD-F3AECBA164C2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DFD14B3-09B5-4E17-AEBF-B03B98C9F127}"/>
            </a:ext>
            <a:ext uri="{147F2762-F138-4A5C-976F-8EAC2B608ADB}">
              <a16:predDERef xmlns:a16="http://schemas.microsoft.com/office/drawing/2014/main" pred="{6230AE89-69D7-49DE-AD60-3DA252E6FB97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295275"/>
    <xdr:sp macro="" textlink="">
      <xdr:nvSpPr>
        <xdr:cNvPr id="481" name="AutoShape 2">
          <a:extLst>
            <a:ext uri="{FF2B5EF4-FFF2-40B4-BE49-F238E27FC236}">
              <a16:creationId xmlns:a16="http://schemas.microsoft.com/office/drawing/2014/main" id="{FC6F178B-4FA1-4BEA-83C4-5E87EE266B7F}"/>
            </a:ext>
            <a:ext uri="{147F2762-F138-4A5C-976F-8EAC2B608ADB}">
              <a16:predDERef xmlns:a16="http://schemas.microsoft.com/office/drawing/2014/main" pred="{73FCD6DD-09BB-44E4-817F-C1238C38DCFA}"/>
            </a:ext>
          </a:extLst>
        </xdr:cNvPr>
        <xdr:cNvSpPr>
          <a:spLocks noChangeAspect="1" noChangeArrowheads="1"/>
        </xdr:cNvSpPr>
      </xdr:nvSpPr>
      <xdr:spPr bwMode="auto">
        <a:xfrm>
          <a:off x="4907280" y="10287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ança Motos Motos" id="{A33AD489-FFA1-4A3C-8F8A-1A03B6B33528}" userId="S::AliancaBus@aliancamotosbus.onmicrosoft.com::392e7c02-e3c8-4d43-aa60-243294d00155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39" dT="2025-10-08T14:58:40.12" personId="{A33AD489-FFA1-4A3C-8F8A-1A03B6B33528}" id="{C73AB15C-D2BB-4982-B57E-ABC1813F3819}">
    <text>PAG SEGURO A VISTA CNH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5-10-08T11:34:01.54" personId="{A33AD489-FFA1-4A3C-8F8A-1A03B6B33528}" id="{F3954004-C5EB-44E4-9059-00207FD251A9}">
    <text xml:space="preserve">UMA PARCELA DO SEG PAGO PELA LOJA </text>
  </threadedComment>
  <threadedComment ref="D21" dT="2025-10-08T11:35:15.87" personId="{A33AD489-FFA1-4A3C-8F8A-1A03B6B33528}" id="{8F36CAFB-4D32-47A6-9BF7-AC2B47CD3B93}">
    <text>A LOJA VAI PAGAR 2 PARCELAS DO SEGURO</text>
  </threadedComment>
  <threadedComment ref="E36" dT="2025-10-10T13:31:58.58" personId="{A33AD489-FFA1-4A3C-8F8A-1A03B6B33528}" id="{CC59C04F-0ACF-4323-8BF5-492B7EE4AD22}">
    <text xml:space="preserve">A LOJA PAGARA 1 PARCELA DO CNH </text>
  </threadedComment>
  <threadedComment ref="E37" dT="2025-10-10T13:33:35.69" personId="{A33AD489-FFA1-4A3C-8F8A-1A03B6B33528}" id="{0B24CC99-8ACE-499C-9B8B-952CF1B0B2FE}">
    <text>A LOJA PAGARA 2 PARCELAS DO CNH</text>
  </threadedComment>
  <threadedComment ref="E38" dT="2025-10-10T19:30:46.57" personId="{A33AD489-FFA1-4A3C-8F8A-1A03B6B33528}" id="{99ED8B04-C3C0-4F06-A2CA-16E28244D035}">
    <text>A LOJA PAGA 1 PARCELA DO SEGURO CNH</text>
  </threadedComment>
  <threadedComment ref="E47" dT="2025-10-13T10:41:51.23" personId="{A33AD489-FFA1-4A3C-8F8A-1A03B6B33528}" id="{0B9CA0FD-62FE-44D7-868E-2242336A046D}">
    <text xml:space="preserve">A LOJA PAGA UM BOLETO ÚNICO CNH </text>
  </threadedComment>
  <threadedComment ref="E59" dT="2025-10-15T12:17:46.57" personId="{A33AD489-FFA1-4A3C-8F8A-1A03B6B33528}" id="{880A089B-845E-46A0-BA73-9207155E6EA8}">
    <text xml:space="preserve">A LOJA PAGA APENAS 2 BOLETOS CNH </text>
  </threadedComment>
  <threadedComment ref="E60" dT="2025-10-15T12:52:26.16" personId="{A33AD489-FFA1-4A3C-8F8A-1A03B6B33528}" id="{8982F921-1DF5-4E8B-8CE7-59B6716CD982}">
    <text>A LOJA PAGA 1 PARCELA CNH A</text>
  </threadedComment>
  <threadedComment ref="E67" dT="2025-10-17T10:39:01.89" personId="{A33AD489-FFA1-4A3C-8F8A-1A03B6B33528}" id="{D27A1CCE-574E-4B3C-8D40-5834D1BC43AC}">
    <text>A LOJA PAGA 2 PARCELAS CNH</text>
  </threadedComment>
  <threadedComment ref="E76" dT="2025-10-21T10:38:35.94" personId="{A33AD489-FFA1-4A3C-8F8A-1A03B6B33528}" id="{14FAF778-B591-4BC7-8241-0A40839ABF03}">
    <text>A LOJA PAGA 2 PARCELAS DO CNH</text>
  </threadedComment>
  <threadedComment ref="E78" dT="2025-10-21T10:41:15.58" personId="{A33AD489-FFA1-4A3C-8F8A-1A03B6B33528}" id="{B6B5C9B9-B3F1-463B-B65F-0B1975CB3CC2}">
    <text>A LOJA PAGA 1 PARCELA DO CNH</text>
  </threadedComment>
  <threadedComment ref="E79" dT="2025-10-21T10:47:12.44" personId="{A33AD489-FFA1-4A3C-8F8A-1A03B6B33528}" id="{B76DA7D6-0714-408A-B164-9B4EBC44E1B3}">
    <text>A LOJA PAGA 1 PARCELA  CNH</text>
  </threadedComment>
  <threadedComment ref="E80" dT="2025-10-21T10:48:39.18" personId="{A33AD489-FFA1-4A3C-8F8A-1A03B6B33528}" id="{A6EA0FAA-54A6-4034-9DF1-F78524CC9F4D}">
    <text xml:space="preserve">A LOJA PAGA 2 PARCELAS DO CNH </text>
  </threadedComment>
  <threadedComment ref="E97" dT="2025-10-23T19:21:30.94" personId="{A33AD489-FFA1-4A3C-8F8A-1A03B6B33528}" id="{63DBB648-F4C6-4752-B3A3-70C125859061}">
    <text>A LOJA PAGA 2 PARCELAS CNH</text>
  </threadedComment>
  <threadedComment ref="E98" dT="2025-10-23T19:23:12.18" personId="{A33AD489-FFA1-4A3C-8F8A-1A03B6B33528}" id="{25B13049-258A-44E1-B733-F3CD04C180A1}">
    <text>A LOJA PAGA TOTAL 1 SÓ PARCELA CNH</text>
  </threadedComment>
  <threadedComment ref="E99" dT="2025-10-23T19:24:27.40" personId="{A33AD489-FFA1-4A3C-8F8A-1A03B6B33528}" id="{185CF822-0438-4F3E-9891-74E002862269}">
    <text>A LOJA PAGA TOTAL 1 SÓ PARCELA  CNH</text>
  </threadedComment>
  <threadedComment ref="E100" dT="2025-10-23T19:26:07.28" personId="{A33AD489-FFA1-4A3C-8F8A-1A03B6B33528}" id="{D5D8E249-E9BD-43DE-9B7D-1ACC4E66E8C1}">
    <text>A LOJA PAGA 2 PARCELAS DO SEGO CNH</text>
  </threadedComment>
  <threadedComment ref="E101" dT="2025-10-23T19:27:35.80" personId="{A33AD489-FFA1-4A3C-8F8A-1A03B6B33528}" id="{A7561667-5CBE-4338-B3A5-A4182A7CD796}">
    <text>A LOJA PAGA SÓ 1 PARCELA DO CNH</text>
  </threadedComment>
  <threadedComment ref="E115" dT="2025-10-28T10:55:07.63" personId="{A33AD489-FFA1-4A3C-8F8A-1A03B6B33528}" id="{9DD58A7E-03AC-418F-8197-ABC0A6EB63C0}">
    <text>A LOJA PAGA TOTAL SEGURO CNH</text>
  </threadedComment>
  <threadedComment ref="E117" dT="2025-10-28T10:57:23.82" personId="{A33AD489-FFA1-4A3C-8F8A-1A03B6B33528}" id="{1BA226E0-1F8F-4C6D-B35C-D8BDACF16D11}">
    <text>A LOJA PAGA TOTAL SEG CNH</text>
  </threadedComment>
  <threadedComment ref="E118" dT="2025-10-28T10:58:50.54" personId="{A33AD489-FFA1-4A3C-8F8A-1A03B6B33528}" id="{0CDB2418-8966-45E2-8D4C-6699C4BBB665}">
    <text>A LOJA PAGA 2 PARCELAS SEG CNH</text>
  </threadedComment>
  <threadedComment ref="E119" dT="2025-10-28T11:00:04.55" personId="{A33AD489-FFA1-4A3C-8F8A-1A03B6B33528}" id="{606E2834-C2AC-449E-9831-20AB363FF3BB}">
    <text>A LOJA PAGA 2 PARCELAS SEG CNH</text>
  </threadedComment>
  <threadedComment ref="E120" dT="2025-10-29T10:43:55.69" personId="{A33AD489-FFA1-4A3C-8F8A-1A03B6B33528}" id="{3BA2995E-D44C-420D-B02A-9DA3A5E695E1}">
    <text>A LOJA PAGA TOTAL 1 PARCELA SEG CNH</text>
  </threadedComment>
  <threadedComment ref="E130" dT="2025-10-31T17:42:27.18" personId="{A33AD489-FFA1-4A3C-8F8A-1A03B6B33528}" id="{EEB5E097-C274-421E-B1F7-FA00518404CA}">
    <text>A LOJA VAI PAGAR 2 PARCELAS DO SEG CNH</text>
  </threadedComment>
  <threadedComment ref="E131" dT="2025-10-31T17:43:40.77" personId="{A33AD489-FFA1-4A3C-8F8A-1A03B6B33528}" id="{25AC2387-A4CA-4135-A3EB-8E85691A5736}">
    <text>A LOJA PAGA 1 PARCELA DO SEG CNG</text>
  </threadedComment>
  <threadedComment ref="E132" dT="2025-10-31T17:45:21.64" personId="{A33AD489-FFA1-4A3C-8F8A-1A03B6B33528}" id="{FEF279F5-5971-467B-800D-685F2C4D47B3}">
    <text>A LOJA PAGA 1 PARCELA DO SEG CNH</text>
  </threadedComment>
  <threadedComment ref="E133" dT="2025-10-31T17:46:57.82" personId="{A33AD489-FFA1-4A3C-8F8A-1A03B6B33528}" id="{C56DDA3A-CC26-42D6-AE51-44AF57CE0D71}">
    <text>A LOJA PAGA 2 PARCELAS DO SEG CNH</text>
  </threadedComment>
  <threadedComment ref="E134" dT="2025-10-31T17:48:27.76" personId="{A33AD489-FFA1-4A3C-8F8A-1A03B6B33528}" id="{8117299D-5B0D-40FB-BEF3-FC6924FB6868}">
    <text>A LOJA PAGA TOTAL O SEG CNH</text>
  </threadedComment>
  <threadedComment ref="E135" dT="2025-10-31T17:49:37.57" personId="{A33AD489-FFA1-4A3C-8F8A-1A03B6B33528}" id="{9BC11D7E-B6BC-4265-981C-EB463C922271}">
    <text>A LOJA PAGA 1 PARCELA DO SER CNH</text>
  </threadedComment>
  <threadedComment ref="D148" dT="2025-10-08T11:34:39.01" personId="{A33AD489-FFA1-4A3C-8F8A-1A03B6B33528}" id="{603CEFA2-23A2-416E-8CF2-6897BBAB3EDF}">
    <text xml:space="preserve">O SEGURO PAGO PELA LOJA A VISTA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5-11-04T10:46:43.47" personId="{A33AD489-FFA1-4A3C-8F8A-1A03B6B33528}" id="{9836C7EC-B832-4B1E-8562-78C467EACEF4}">
    <text>A LOJA PAGA TOTAL SEG CNH</text>
  </threadedComment>
  <threadedComment ref="E12" dT="2025-11-05T10:40:32.04" personId="{A33AD489-FFA1-4A3C-8F8A-1A03B6B33528}" id="{516AD52A-8753-42D0-A104-EBBE1926A7A4}">
    <text>A LOJA PAGA TOTAL SEG CNH</text>
  </threadedComment>
  <threadedComment ref="E23" dT="2025-11-07T10:41:41.88" personId="{A33AD489-FFA1-4A3C-8F8A-1A03B6B33528}" id="{8A333966-4FB4-41C5-8388-FA2C4573146C}">
    <text>A LOJA PAGA 1 PARCELA DO SEG CNH</text>
  </threadedComment>
  <threadedComment ref="E32" dT="2025-11-08T11:02:52.94" personId="{A33AD489-FFA1-4A3C-8F8A-1A03B6B33528}" id="{9B1EF57D-F0CC-4044-945D-13FB6BB2B322}">
    <text>A LOJA NPAGA 1 PARCELA SEG CNH</text>
  </threadedComment>
  <threadedComment ref="E33" dT="2025-11-08T11:04:18.67" personId="{A33AD489-FFA1-4A3C-8F8A-1A03B6B33528}" id="{0C6EFDB4-ED70-45BC-9588-36D196A11409}">
    <text>A LOJA PAGA TOTAL SEG CNH</text>
  </threadedComment>
  <threadedComment ref="E34" dT="2025-11-08T11:07:33.11" personId="{A33AD489-FFA1-4A3C-8F8A-1A03B6B33528}" id="{1DD19DC0-BE6A-493E-9244-DB45948A4FFC}">
    <text>A LOJA PAGA TOTAL SEG CNH</text>
  </threadedComment>
  <threadedComment ref="E44" dT="2025-11-11T10:28:06.86" personId="{A33AD489-FFA1-4A3C-8F8A-1A03B6B33528}" id="{F2C629F3-1893-41FD-A2CB-9AB48499AA7C}">
    <text>A LOJA PAGA 2 PARCELAS SEG CNH</text>
  </threadedComment>
  <threadedComment ref="E46" dT="2025-11-11T10:32:05.06" personId="{A33AD489-FFA1-4A3C-8F8A-1A03B6B33528}" id="{12118582-7E11-46F0-8C9C-D5C0A0672B55}">
    <text xml:space="preserve">A LOJA PAGA TOTAL </text>
  </threadedComment>
  <threadedComment ref="E47" dT="2025-11-11T10:33:05.29" personId="{A33AD489-FFA1-4A3C-8F8A-1A03B6B33528}" id="{49BDD01C-9875-4363-831F-86C4C4C2F4C5}">
    <text>A LOJA PAGA 2 PARC SEG CNH</text>
  </threadedComment>
  <threadedComment ref="E48" dT="2025-11-25T18:27:24.99" personId="{A33AD489-FFA1-4A3C-8F8A-1A03B6B33528}" id="{7E4C48C5-A945-4362-A811-DE764520667B}">
    <text>A LOJA PAGA 2 PARCELAS SEG CNH</text>
  </threadedComment>
  <threadedComment ref="E65" dT="2025-11-17T10:47:45.62" personId="{A33AD489-FFA1-4A3C-8F8A-1A03B6B33528}" id="{F31F29FA-0981-4C63-96D4-131B866AB725}">
    <text>A LOJA PAGA TOTAL SEG CNH</text>
  </threadedComment>
  <threadedComment ref="E66" dT="2025-11-17T10:49:05.51" personId="{A33AD489-FFA1-4A3C-8F8A-1A03B6B33528}" id="{ACD310BB-895F-4245-972E-DD9F3528ED23}">
    <text>A LOJA PAGA TOTAL SEG CNH</text>
  </threadedComment>
  <threadedComment ref="E86" dT="2025-11-21T10:50:00.11" personId="{A33AD489-FFA1-4A3C-8F8A-1A03B6B33528}" id="{51C991A7-0C13-42CC-B6FD-31EFDE2E5281}">
    <text>A LOJA NPAGA 1 PARCELA SEG CNH</text>
  </threadedComment>
  <threadedComment ref="E97" dT="2025-11-25T10:36:40.12" personId="{A33AD489-FFA1-4A3C-8F8A-1A03B6B33528}" id="{772B7312-BFA3-4398-AA54-4484C1C06684}">
    <text>A LOJA PAGA TOTAL SEG CNH</text>
  </threadedComment>
  <threadedComment ref="E98" dT="2025-11-25T10:38:10.39" personId="{A33AD489-FFA1-4A3C-8F8A-1A03B6B33528}" id="{87AD20BB-7EBF-4264-AFE1-6C2536FF0155}">
    <text>A LOJA PAGA 2 PARCELAS SEG CNH</text>
  </threadedComment>
  <threadedComment ref="E99" dT="2025-11-25T10:39:55.14" personId="{A33AD489-FFA1-4A3C-8F8A-1A03B6B33528}" id="{8DEF3CFC-E315-46FB-975C-5F40AB315A15}">
    <text>A LOJA PAGA 1 PARCELA SEG CNH</text>
  </threadedComment>
  <threadedComment ref="E100" dT="2025-11-25T10:41:16.42" personId="{A33AD489-FFA1-4A3C-8F8A-1A03B6B33528}" id="{D91DFCDB-46E1-4F07-B1C1-F9115F1C7FE8}">
    <text xml:space="preserve">A LOJA PAGA 2 PARCELAS SEG CNH </text>
  </threadedComment>
  <threadedComment ref="E108" dT="2025-11-28T10:39:55.73" personId="{A33AD489-FFA1-4A3C-8F8A-1A03B6B33528}" id="{0E40755A-363A-427A-9B8F-1EC3C48A6B16}">
    <text>A LOJA PAGA1 PARCELA SEG CNH</text>
  </threadedComment>
  <threadedComment ref="E118" dT="2025-11-29T17:22:22.36" personId="{A33AD489-FFA1-4A3C-8F8A-1A03B6B33528}" id="{6CFBDF19-FF25-4FF0-848D-B65778C56A9E}">
    <text>A LOJA PAGA 2 PARCELAS  SEG CNH</text>
  </threadedComment>
  <threadedComment ref="E119" dT="2025-11-29T17:23:41.76" personId="{A33AD489-FFA1-4A3C-8F8A-1A03B6B33528}" id="{92C66130-BFFA-4FE7-826F-ACA33AC1CE47}">
    <text>A LOJA PAGA 2 PARCELAS SEG CNH</text>
  </threadedComment>
  <threadedComment ref="E120" dT="2025-11-29T17:24:48.34" personId="{A33AD489-FFA1-4A3C-8F8A-1A03B6B33528}" id="{C3600374-927E-49FD-8FD5-AE5D186B844E}">
    <text>A LOJA PAGA 2 PARCELAS SEG CNH</text>
  </threadedComment>
  <threadedComment ref="E121" dT="2025-11-29T17:26:14.97" personId="{A33AD489-FFA1-4A3C-8F8A-1A03B6B33528}" id="{1ECBE287-9A1A-4256-AA53-96CA56EDCA57}">
    <text>A LOJA PAGA 3 PAQRCELA SEG CNH</text>
  </threadedComment>
  <threadedComment ref="E122" dT="2025-11-29T17:27:48.22" personId="{A33AD489-FFA1-4A3C-8F8A-1A03B6B33528}" id="{DF401961-20E9-45F3-A5B9-2F925AB3A57D}">
    <text xml:space="preserve">A LOJA PAGA 2 PARCELAS SEG CNH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5-12-04T14:11:58.46" personId="{A33AD489-FFA1-4A3C-8F8A-1A03B6B33528}" id="{582CA0C7-3E1B-49F7-B109-0996883BF503}">
    <text>A LOJA PAGA DUAS PARCELAS SEG CNH</text>
  </threadedComment>
  <threadedComment ref="E15" dT="2025-12-04T11:53:33.18" personId="{A33AD489-FFA1-4A3C-8F8A-1A03B6B33528}" id="{ABC9FD8B-00F8-4AC5-8BF3-EDC31A42C472}">
    <text>A LOJA PAGA2 PARCELAS SEG CNH</text>
  </threadedComment>
  <threadedComment ref="E16" dT="2025-12-04T11:55:22.83" personId="{A33AD489-FFA1-4A3C-8F8A-1A03B6B33528}" id="{007EDDE9-9C33-4025-B4C2-3EAC569D2407}">
    <text>A LOJA PAGA TOTAL 1 X SEG CNH</text>
  </threadedComment>
  <threadedComment ref="E17" dT="2025-12-04T11:56:36.21" personId="{A33AD489-FFA1-4A3C-8F8A-1A03B6B33528}" id="{C1B1C016-E798-44D9-BB01-9AB81FA12D6C}">
    <text>A LOJA PAGA 1 PARCELA SEG CNH</text>
  </threadedComment>
  <threadedComment ref="E18" dT="2025-12-04T11:58:05.89" personId="{A33AD489-FFA1-4A3C-8F8A-1A03B6B33528}" id="{013A8F64-C352-42A2-A7A5-9082BAE4FAB0}">
    <text xml:space="preserve">A LOJA PAGA TOTAL SEG CNH </text>
  </threadedComment>
  <threadedComment ref="E47" dT="2025-12-10T10:47:28.97" personId="{A33AD489-FFA1-4A3C-8F8A-1A03B6B33528}" id="{B2064D28-8E54-4BC7-9173-3AB85C7A6EC1}">
    <text>A LOJA PAGA 1 PARCELA SEG CNH</text>
  </threadedComment>
  <threadedComment ref="E55" dT="2025-12-12T10:38:38.33" personId="{A33AD489-FFA1-4A3C-8F8A-1A03B6B33528}" id="{0974FE39-284C-4AE8-AB32-C5FC5A618977}">
    <text>A LOJA PAGA TOTAL SEG CNH</text>
  </threadedComment>
  <threadedComment ref="E64" dT="2025-12-16T10:52:50.12" personId="{A33AD489-FFA1-4A3C-8F8A-1A03B6B33528}" id="{3F139226-999D-4893-8F3D-40C58A249290}">
    <text>A LOJA PAGA TOTAL SEG CNH</text>
  </threadedComment>
  <threadedComment ref="E72" dT="2025-12-18T20:09:50.57" personId="{A33AD489-FFA1-4A3C-8F8A-1A03B6B33528}" id="{2F725D49-B52B-4687-85DE-E2D03D6D6D13}">
    <text>A LOJA PAGA 2 PARCELAS SEG CNH</text>
  </threadedComment>
  <threadedComment ref="E73" dT="2025-12-18T20:11:17.67" personId="{A33AD489-FFA1-4A3C-8F8A-1A03B6B33528}" id="{70AE089B-077B-4FAC-87C0-ADDBC9290E01}">
    <text>A LOJA PAGA PARCELA ÚNICA SEG CNH</text>
  </threadedComment>
  <threadedComment ref="E74" dT="2025-12-18T20:12:29.47" personId="{A33AD489-FFA1-4A3C-8F8A-1A03B6B33528}" id="{9AE7B1FB-239E-4B26-8EBF-4C01439644A1}">
    <text xml:space="preserve">A LOJA PAGA 2 PARCELAS SEG CNH </text>
  </threadedComment>
  <threadedComment ref="E75" dT="2025-12-18T20:13:49.36" personId="{A33AD489-FFA1-4A3C-8F8A-1A03B6B33528}" id="{550F8267-97B1-487B-B7AA-E5A95555CB1C}">
    <text>A LOJA PAGA 1 PARCELA SEG CNH</text>
  </threadedComment>
  <threadedComment ref="E76" dT="2025-12-18T20:19:25.28" personId="{A33AD489-FFA1-4A3C-8F8A-1A03B6B33528}" id="{5BF4006C-80F0-4A0C-9ECC-D2067431E59F}">
    <text>A LOJA PAGA 1 PARCELA SEG CNH</text>
  </threadedComment>
  <threadedComment ref="E77" dT="2025-12-18T20:20:45.45" personId="{A33AD489-FFA1-4A3C-8F8A-1A03B6B33528}" id="{F56C0B5D-C258-4EF8-A62D-4D184825C100}">
    <text>A LOJA PAGA 3 PARCELAS SEG CNH</text>
  </threadedComment>
  <threadedComment ref="E87" dT="2025-12-20T10:46:06.52" personId="{A33AD489-FFA1-4A3C-8F8A-1A03B6B33528}" id="{B5B10DB6-2857-4160-866A-CCCCFC46252C}">
    <text>A LOJA PAGA SEG TOTAL CNH</text>
  </threadedComment>
  <threadedComment ref="E88" dT="2025-12-20T10:47:28.70" personId="{A33AD489-FFA1-4A3C-8F8A-1A03B6B33528}" id="{537775A2-98E3-4AB4-B583-C12E2F6B7394}">
    <text>A LOJA PAGA SEG TOTAL CNH</text>
  </threadedComment>
  <threadedComment ref="E89" dT="2025-12-20T10:48:58.83" personId="{A33AD489-FFA1-4A3C-8F8A-1A03B6B33528}" id="{2774CD30-5C91-43D5-A470-D36BD40334BC}">
    <text>A LOJA PAGA 1 PARCELA SEG CNH</text>
  </threadedComment>
  <threadedComment ref="F90" dT="2025-12-22T10:39:18.59" personId="{A33AD489-FFA1-4A3C-8F8A-1A03B6B33528}" id="{40A8E3EC-E0CD-490A-A702-CA9B92ECD88D}">
    <text>A LOJA PAGATOTAL SEG CNH</text>
  </threadedComment>
  <threadedComment ref="E91" dT="2025-12-22T10:40:41.85" personId="{A33AD489-FFA1-4A3C-8F8A-1A03B6B33528}" id="{451EA271-FF12-4491-AC29-A2FFA3E3F0C5}">
    <text>A LOJAPAGA TOTAL SEG CNH</text>
  </threadedComment>
  <threadedComment ref="E107" dT="2025-12-26T10:38:34.90" personId="{A33AD489-FFA1-4A3C-8F8A-1A03B6B33528}" id="{126B45C5-4E9B-441A-BCFD-CB7BAFC31160}">
    <text>A LOJA PAGA TOTALSEG CNH</text>
  </threadedComment>
  <threadedComment ref="E108" dT="2025-12-26T11:33:44.63" personId="{A33AD489-FFA1-4A3C-8F8A-1A03B6B33528}" id="{4080781E-80AF-4C0D-BECA-4F42CC2B41CA}">
    <text>A LOJA PAGA 2 PARCELAS SEG CNH</text>
  </threadedComment>
  <threadedComment ref="E109" dT="2025-12-26T11:35:20.44" personId="{A33AD489-FFA1-4A3C-8F8A-1A03B6B33528}" id="{61975C39-A713-43F6-B783-64ED161377E5}">
    <text xml:space="preserve">A LOJA PAGA TOTAL SEG CNH </text>
  </threadedComment>
  <threadedComment ref="E126" dT="2025-12-30T10:45:16.98" personId="{A33AD489-FFA1-4A3C-8F8A-1A03B6B33528}" id="{CC8C025D-8F61-4462-8AAA-6B6E2E91ECB7}">
    <text>A LOJA PAGA TOTAL SEG CNH</text>
  </threadedComment>
  <threadedComment ref="E127" dT="2025-12-30T10:46:43.12" personId="{A33AD489-FFA1-4A3C-8F8A-1A03B6B33528}" id="{72DB7A28-6055-4C9A-A55D-CA0F019C87FA}">
    <text>A LOJA PAGA 1 PARCELA SEG CNH</text>
  </threadedComment>
  <threadedComment ref="E128" dT="2025-12-30T10:47:59.23" personId="{A33AD489-FFA1-4A3C-8F8A-1A03B6B33528}" id="{2A926E13-6A06-4BBA-B5E3-2F84400339D7}">
    <text>A LOJA PAGA 1 PARCELA SEG CNH</text>
  </threadedComment>
  <threadedComment ref="E129" dT="2025-12-30T10:49:14.90" personId="{A33AD489-FFA1-4A3C-8F8A-1A03B6B33528}" id="{3FDAFBB5-8EDC-4CD3-AC10-8E492610570E}">
    <text>A LOJA PAGA 2 PARCELAS SEG CNH</text>
  </threadedComment>
  <threadedComment ref="E130" dT="2025-12-30T10:50:27.09" personId="{A33AD489-FFA1-4A3C-8F8A-1A03B6B33528}" id="{2C889713-0843-4BAD-8472-58947C5958AA}">
    <text>A LOJA PAGA TOTAL SEG CNH</text>
  </threadedComment>
  <threadedComment ref="E131" dT="2025-12-30T10:51:42.93" personId="{A33AD489-FFA1-4A3C-8F8A-1A03B6B33528}" id="{229540AD-0B0E-40BF-AC07-AE8EFAD0E985}">
    <text>A LOJA PAGA 1 PARCELA SEG CNH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4B94-15F5-48C0-9587-E87E530F3A03}">
  <dimension ref="A1:Q88"/>
  <sheetViews>
    <sheetView zoomScaleNormal="100" workbookViewId="0">
      <selection activeCell="B4" sqref="B4"/>
    </sheetView>
  </sheetViews>
  <sheetFormatPr defaultRowHeight="14.4"/>
  <cols>
    <col min="1" max="1" width="5.88671875" customWidth="1"/>
    <col min="2" max="2" width="38.5546875" customWidth="1"/>
    <col min="3" max="3" width="20.6640625" customWidth="1"/>
    <col min="4" max="4" width="17.21875" customWidth="1"/>
    <col min="5" max="5" width="16.77734375" customWidth="1"/>
    <col min="6" max="6" width="13.21875" customWidth="1"/>
    <col min="7" max="7" width="12.44140625" customWidth="1"/>
    <col min="8" max="8" width="12.77734375" customWidth="1"/>
    <col min="9" max="9" width="14.109375" customWidth="1"/>
    <col min="10" max="10" width="12.5546875" customWidth="1"/>
    <col min="11" max="11" width="15" customWidth="1"/>
    <col min="12" max="12" width="18.6640625" customWidth="1"/>
    <col min="13" max="13" width="15.44140625" customWidth="1"/>
    <col min="14" max="14" width="17.6640625" customWidth="1"/>
    <col min="15" max="15" width="13.5546875" customWidth="1"/>
    <col min="16" max="16" width="15.21875" customWidth="1"/>
    <col min="17" max="17" width="16.5546875" customWidth="1"/>
  </cols>
  <sheetData>
    <row r="1" spans="1:17" ht="23.4">
      <c r="B1" s="742" t="s">
        <v>149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19.8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27">
        <v>1</v>
      </c>
      <c r="B3" s="297" t="s">
        <v>55</v>
      </c>
      <c r="C3" s="292" t="s">
        <v>56</v>
      </c>
      <c r="D3" s="340">
        <v>1003109991886</v>
      </c>
      <c r="E3" s="341" t="s">
        <v>57</v>
      </c>
      <c r="F3" s="342">
        <v>844.57</v>
      </c>
      <c r="G3" s="294">
        <f>F3*7.38%</f>
        <v>62.329266000000004</v>
      </c>
      <c r="H3" s="293">
        <v>70.38</v>
      </c>
      <c r="I3" s="294">
        <f>F3-G3-H3</f>
        <v>711.86073400000009</v>
      </c>
      <c r="J3" s="295" t="s">
        <v>13</v>
      </c>
      <c r="K3" s="293" t="s">
        <v>14</v>
      </c>
      <c r="L3" s="293">
        <f>I3*15%</f>
        <v>106.77911010000001</v>
      </c>
      <c r="M3" s="293">
        <f t="shared" ref="M3:M66" si="0">I3*4%</f>
        <v>28.474429360000006</v>
      </c>
      <c r="N3" s="296">
        <f t="shared" ref="N3:N66" si="1">I3*2%</f>
        <v>14.237214680000003</v>
      </c>
      <c r="O3" s="296">
        <f t="shared" ref="O3:O66" si="2">I3*2%</f>
        <v>14.237214680000003</v>
      </c>
      <c r="P3" s="294">
        <f t="shared" ref="P3:P66" si="3">L3-M3-N3-O3</f>
        <v>49.83025138</v>
      </c>
    </row>
    <row r="4" spans="1:17">
      <c r="A4" s="27">
        <v>2</v>
      </c>
      <c r="B4" s="326" t="s">
        <v>58</v>
      </c>
      <c r="C4" s="500" t="s">
        <v>59</v>
      </c>
      <c r="D4" s="649">
        <v>1003109988641</v>
      </c>
      <c r="E4" s="341">
        <v>7680299</v>
      </c>
      <c r="F4" s="342">
        <v>651.12</v>
      </c>
      <c r="G4" s="294">
        <f>F4*7.38%</f>
        <v>48.052656000000006</v>
      </c>
      <c r="H4" s="294">
        <v>54.26</v>
      </c>
      <c r="I4" s="294">
        <f>F4-G4-H4</f>
        <v>548.80734400000006</v>
      </c>
      <c r="J4" s="327" t="s">
        <v>13</v>
      </c>
      <c r="K4" s="294" t="s">
        <v>26</v>
      </c>
      <c r="L4" s="293">
        <f t="shared" ref="L4:L67" si="4">I4*15%</f>
        <v>82.321101600000006</v>
      </c>
      <c r="M4" s="293">
        <f t="shared" si="0"/>
        <v>21.952293760000003</v>
      </c>
      <c r="N4" s="296">
        <f t="shared" si="1"/>
        <v>10.976146880000002</v>
      </c>
      <c r="O4" s="296">
        <f t="shared" si="2"/>
        <v>10.976146880000002</v>
      </c>
      <c r="P4" s="294">
        <f t="shared" si="3"/>
        <v>38.416514079999999</v>
      </c>
    </row>
    <row r="5" spans="1:17">
      <c r="A5" s="27">
        <v>3</v>
      </c>
      <c r="B5" s="36" t="s">
        <v>60</v>
      </c>
      <c r="C5" s="37" t="s">
        <v>59</v>
      </c>
      <c r="D5" s="19">
        <v>51772025423100</v>
      </c>
      <c r="E5" s="17">
        <v>130816536</v>
      </c>
      <c r="F5" s="38">
        <v>485.3</v>
      </c>
      <c r="G5" s="29">
        <f t="shared" ref="G5:G68" si="5">F5*7.38%</f>
        <v>35.81514</v>
      </c>
      <c r="H5" s="39">
        <v>48.53</v>
      </c>
      <c r="I5" s="29">
        <f t="shared" ref="I5:I68" si="6">F5-G5-H5</f>
        <v>400.95486000000005</v>
      </c>
      <c r="J5" s="27" t="s">
        <v>61</v>
      </c>
      <c r="K5" s="30" t="s">
        <v>14</v>
      </c>
      <c r="L5" s="31">
        <f t="shared" si="4"/>
        <v>60.143229000000005</v>
      </c>
      <c r="M5" s="31">
        <f t="shared" si="0"/>
        <v>16.038194400000002</v>
      </c>
      <c r="N5" s="32">
        <f t="shared" si="1"/>
        <v>8.0190972000000009</v>
      </c>
      <c r="O5" s="32">
        <f t="shared" si="2"/>
        <v>8.0190972000000009</v>
      </c>
      <c r="P5" s="29">
        <f t="shared" si="3"/>
        <v>28.066840200000005</v>
      </c>
    </row>
    <row r="6" spans="1:17">
      <c r="A6" s="27">
        <v>4</v>
      </c>
      <c r="B6" s="326" t="s">
        <v>62</v>
      </c>
      <c r="C6" s="500" t="s">
        <v>63</v>
      </c>
      <c r="D6" s="291">
        <v>1003109997384</v>
      </c>
      <c r="E6" s="292">
        <v>7694574</v>
      </c>
      <c r="F6" s="342">
        <v>736.87</v>
      </c>
      <c r="G6" s="294">
        <f t="shared" si="5"/>
        <v>54.381006000000006</v>
      </c>
      <c r="H6" s="294">
        <v>90.88</v>
      </c>
      <c r="I6" s="294">
        <f t="shared" si="6"/>
        <v>591.60899400000005</v>
      </c>
      <c r="J6" s="327" t="s">
        <v>13</v>
      </c>
      <c r="K6" s="294" t="s">
        <v>150</v>
      </c>
      <c r="L6" s="293">
        <f t="shared" si="4"/>
        <v>88.741349100000008</v>
      </c>
      <c r="M6" s="293">
        <f t="shared" si="0"/>
        <v>23.664359760000004</v>
      </c>
      <c r="N6" s="296">
        <f t="shared" si="1"/>
        <v>11.832179880000002</v>
      </c>
      <c r="O6" s="296">
        <f t="shared" si="2"/>
        <v>11.832179880000002</v>
      </c>
      <c r="P6" s="294">
        <f t="shared" si="3"/>
        <v>41.412629580000015</v>
      </c>
    </row>
    <row r="7" spans="1:17">
      <c r="A7" s="27">
        <v>5</v>
      </c>
      <c r="B7" s="289" t="s">
        <v>64</v>
      </c>
      <c r="C7" s="290" t="s">
        <v>65</v>
      </c>
      <c r="D7" s="291">
        <v>1003109997312</v>
      </c>
      <c r="E7" s="292">
        <v>7694474</v>
      </c>
      <c r="F7" s="293">
        <v>896.09</v>
      </c>
      <c r="G7" s="294">
        <f t="shared" si="5"/>
        <v>66.131442000000007</v>
      </c>
      <c r="H7" s="293">
        <v>96.29</v>
      </c>
      <c r="I7" s="294">
        <f t="shared" si="6"/>
        <v>733.66855800000008</v>
      </c>
      <c r="J7" s="295" t="s">
        <v>13</v>
      </c>
      <c r="K7" s="293" t="s">
        <v>150</v>
      </c>
      <c r="L7" s="293">
        <f t="shared" si="4"/>
        <v>110.05028370000001</v>
      </c>
      <c r="M7" s="293">
        <f t="shared" si="0"/>
        <v>29.346742320000004</v>
      </c>
      <c r="N7" s="296">
        <f t="shared" si="1"/>
        <v>14.673371160000002</v>
      </c>
      <c r="O7" s="296">
        <f t="shared" si="2"/>
        <v>14.673371160000002</v>
      </c>
      <c r="P7" s="294">
        <f t="shared" si="3"/>
        <v>51.35679906</v>
      </c>
    </row>
    <row r="8" spans="1:17">
      <c r="A8" s="27">
        <v>6</v>
      </c>
      <c r="B8" s="126" t="s">
        <v>66</v>
      </c>
      <c r="C8" s="127" t="s">
        <v>31</v>
      </c>
      <c r="D8" s="134">
        <v>2446051</v>
      </c>
      <c r="E8" s="135">
        <v>2023636769</v>
      </c>
      <c r="F8" s="128">
        <v>678.41</v>
      </c>
      <c r="G8" s="128">
        <f t="shared" si="5"/>
        <v>50.066658000000004</v>
      </c>
      <c r="H8" s="128">
        <v>0</v>
      </c>
      <c r="I8" s="128">
        <f>F8-G8-H8</f>
        <v>628.34334200000001</v>
      </c>
      <c r="J8" s="129" t="s">
        <v>13</v>
      </c>
      <c r="K8" s="130" t="s">
        <v>151</v>
      </c>
      <c r="L8" s="31">
        <f t="shared" si="4"/>
        <v>94.251501300000001</v>
      </c>
      <c r="M8" s="31">
        <f t="shared" si="0"/>
        <v>25.133733680000002</v>
      </c>
      <c r="N8" s="32">
        <f t="shared" si="1"/>
        <v>12.566866840000001</v>
      </c>
      <c r="O8" s="32">
        <f t="shared" si="2"/>
        <v>12.566866840000001</v>
      </c>
      <c r="P8" s="29">
        <f t="shared" si="3"/>
        <v>43.984033939999989</v>
      </c>
    </row>
    <row r="9" spans="1:17">
      <c r="A9" s="27">
        <v>7</v>
      </c>
      <c r="B9" s="36" t="s">
        <v>67</v>
      </c>
      <c r="C9" s="37" t="s">
        <v>59</v>
      </c>
      <c r="D9" s="41">
        <v>1003110005908</v>
      </c>
      <c r="E9" s="20">
        <v>7709739</v>
      </c>
      <c r="F9" s="42">
        <v>672.96</v>
      </c>
      <c r="G9" s="29">
        <f t="shared" si="5"/>
        <v>49.664448000000007</v>
      </c>
      <c r="H9" s="30">
        <v>56.08</v>
      </c>
      <c r="I9" s="29">
        <f>F9-G9-H9</f>
        <v>567.215552</v>
      </c>
      <c r="J9" s="27" t="s">
        <v>68</v>
      </c>
      <c r="K9" s="30" t="s">
        <v>48</v>
      </c>
      <c r="L9" s="31">
        <f t="shared" si="4"/>
        <v>85.082332800000003</v>
      </c>
      <c r="M9" s="31">
        <f t="shared" si="0"/>
        <v>22.688622080000002</v>
      </c>
      <c r="N9" s="32">
        <f>I9*2%</f>
        <v>11.344311040000001</v>
      </c>
      <c r="O9" s="32">
        <f t="shared" si="2"/>
        <v>11.344311040000001</v>
      </c>
      <c r="P9" s="29">
        <f t="shared" si="3"/>
        <v>39.70508864</v>
      </c>
    </row>
    <row r="10" spans="1:17">
      <c r="A10" s="27">
        <v>8</v>
      </c>
      <c r="B10" s="43" t="s">
        <v>69</v>
      </c>
      <c r="C10" s="33" t="s">
        <v>70</v>
      </c>
      <c r="D10" s="44">
        <v>51772025423100</v>
      </c>
      <c r="E10" s="21">
        <v>202035117</v>
      </c>
      <c r="F10" s="45">
        <v>572.71</v>
      </c>
      <c r="G10" s="29">
        <f t="shared" si="5"/>
        <v>42.265998000000003</v>
      </c>
      <c r="H10" s="34">
        <v>57.27</v>
      </c>
      <c r="I10" s="29">
        <f t="shared" si="6"/>
        <v>473.17400200000009</v>
      </c>
      <c r="J10" s="46" t="s">
        <v>61</v>
      </c>
      <c r="K10" s="34" t="s">
        <v>26</v>
      </c>
      <c r="L10" s="31">
        <f t="shared" si="4"/>
        <v>70.976100300000013</v>
      </c>
      <c r="M10" s="31">
        <f t="shared" si="0"/>
        <v>18.926960080000004</v>
      </c>
      <c r="N10" s="32">
        <f t="shared" si="1"/>
        <v>9.4634800400000021</v>
      </c>
      <c r="O10" s="32">
        <f t="shared" si="2"/>
        <v>9.4634800400000021</v>
      </c>
      <c r="P10" s="29">
        <f t="shared" si="3"/>
        <v>33.122180140000012</v>
      </c>
    </row>
    <row r="11" spans="1:17" ht="15" thickBot="1">
      <c r="A11" s="27">
        <v>9</v>
      </c>
      <c r="B11" s="43" t="s">
        <v>71</v>
      </c>
      <c r="C11" s="37" t="s">
        <v>30</v>
      </c>
      <c r="D11" s="41">
        <v>1003109997243</v>
      </c>
      <c r="E11" s="20">
        <v>7694364</v>
      </c>
      <c r="F11" s="47">
        <v>620.24</v>
      </c>
      <c r="G11" s="29">
        <f t="shared" si="5"/>
        <v>45.773712000000003</v>
      </c>
      <c r="H11" s="30">
        <v>155.06</v>
      </c>
      <c r="I11" s="31">
        <f t="shared" si="6"/>
        <v>419.40628799999996</v>
      </c>
      <c r="J11" s="48" t="s">
        <v>13</v>
      </c>
      <c r="K11" s="30" t="s">
        <v>14</v>
      </c>
      <c r="L11" s="31">
        <f t="shared" si="4"/>
        <v>62.910943199999991</v>
      </c>
      <c r="M11" s="31">
        <f t="shared" si="0"/>
        <v>16.776251519999999</v>
      </c>
      <c r="N11" s="32">
        <f t="shared" si="1"/>
        <v>8.3881257599999994</v>
      </c>
      <c r="O11" s="49">
        <f t="shared" si="2"/>
        <v>8.3881257599999994</v>
      </c>
      <c r="P11" s="31">
        <f t="shared" si="3"/>
        <v>29.358440159999986</v>
      </c>
    </row>
    <row r="12" spans="1:17">
      <c r="A12" s="27">
        <v>10</v>
      </c>
      <c r="B12" s="50" t="s">
        <v>72</v>
      </c>
      <c r="C12" s="22" t="s">
        <v>35</v>
      </c>
      <c r="D12" s="44">
        <v>2444989</v>
      </c>
      <c r="E12" s="23">
        <v>2023650640</v>
      </c>
      <c r="F12" s="51">
        <v>657.52</v>
      </c>
      <c r="G12" s="29">
        <f t="shared" si="5"/>
        <v>48.524976000000002</v>
      </c>
      <c r="H12" s="34">
        <v>58.84</v>
      </c>
      <c r="I12" s="29">
        <f t="shared" si="6"/>
        <v>550.15502399999991</v>
      </c>
      <c r="J12" s="48" t="s">
        <v>61</v>
      </c>
      <c r="K12" s="34" t="s">
        <v>14</v>
      </c>
      <c r="L12" s="31">
        <f t="shared" si="4"/>
        <v>82.52325359999999</v>
      </c>
      <c r="M12" s="31">
        <f t="shared" si="0"/>
        <v>22.006200959999997</v>
      </c>
      <c r="N12" s="32">
        <f t="shared" si="1"/>
        <v>11.003100479999999</v>
      </c>
      <c r="O12" s="32">
        <f t="shared" si="2"/>
        <v>11.003100479999999</v>
      </c>
      <c r="P12" s="29">
        <f t="shared" si="3"/>
        <v>38.510851679999988</v>
      </c>
    </row>
    <row r="13" spans="1:17">
      <c r="A13" s="27">
        <v>11</v>
      </c>
      <c r="B13" s="136" t="s">
        <v>107</v>
      </c>
      <c r="C13" s="131" t="s">
        <v>59</v>
      </c>
      <c r="D13" s="137">
        <v>51772025423100</v>
      </c>
      <c r="E13" s="138">
        <v>202035117</v>
      </c>
      <c r="F13" s="136">
        <v>680.91</v>
      </c>
      <c r="G13" s="132">
        <f t="shared" si="5"/>
        <v>50.251158000000004</v>
      </c>
      <c r="H13" s="132">
        <v>0</v>
      </c>
      <c r="I13" s="132">
        <f t="shared" si="6"/>
        <v>630.65884199999994</v>
      </c>
      <c r="J13" s="139" t="s">
        <v>13</v>
      </c>
      <c r="K13" s="133" t="s">
        <v>151</v>
      </c>
      <c r="L13" s="31">
        <f t="shared" si="4"/>
        <v>94.598826299999985</v>
      </c>
      <c r="M13" s="31">
        <f t="shared" si="0"/>
        <v>25.226353679999999</v>
      </c>
      <c r="N13" s="32">
        <f t="shared" si="1"/>
        <v>12.61317684</v>
      </c>
      <c r="O13" s="49">
        <f t="shared" si="2"/>
        <v>12.61317684</v>
      </c>
      <c r="P13" s="31">
        <f t="shared" si="3"/>
        <v>44.14611893999998</v>
      </c>
    </row>
    <row r="14" spans="1:17">
      <c r="A14" s="27">
        <v>12</v>
      </c>
      <c r="B14" s="146" t="s">
        <v>73</v>
      </c>
      <c r="C14" s="147" t="s">
        <v>63</v>
      </c>
      <c r="D14" s="148" t="s">
        <v>32</v>
      </c>
      <c r="E14" s="149" t="s">
        <v>74</v>
      </c>
      <c r="F14" s="150">
        <v>1232.44</v>
      </c>
      <c r="G14" s="151">
        <f t="shared" si="5"/>
        <v>90.954072000000011</v>
      </c>
      <c r="H14" s="151"/>
      <c r="I14" s="151">
        <f t="shared" si="6"/>
        <v>1141.4859280000001</v>
      </c>
      <c r="J14" s="152" t="s">
        <v>13</v>
      </c>
      <c r="K14" s="151" t="s">
        <v>49</v>
      </c>
      <c r="L14" s="31">
        <f t="shared" si="4"/>
        <v>171.2228892</v>
      </c>
      <c r="M14" s="31">
        <f t="shared" si="0"/>
        <v>45.65943712</v>
      </c>
      <c r="N14" s="32">
        <f t="shared" si="1"/>
        <v>22.82971856</v>
      </c>
      <c r="O14" s="32">
        <f t="shared" si="2"/>
        <v>22.82971856</v>
      </c>
      <c r="P14" s="29">
        <f t="shared" si="3"/>
        <v>79.904014959999984</v>
      </c>
    </row>
    <row r="15" spans="1:17">
      <c r="A15" s="27">
        <v>13</v>
      </c>
      <c r="B15" s="52" t="s">
        <v>75</v>
      </c>
      <c r="C15" s="37" t="s">
        <v>59</v>
      </c>
      <c r="D15" s="16">
        <v>100311007213</v>
      </c>
      <c r="E15" s="24">
        <v>7728610</v>
      </c>
      <c r="F15" s="53">
        <v>657.31</v>
      </c>
      <c r="G15" s="31">
        <f t="shared" si="5"/>
        <v>48.509478000000001</v>
      </c>
      <c r="H15" s="34">
        <v>65.73</v>
      </c>
      <c r="I15" s="31">
        <f t="shared" si="6"/>
        <v>543.07052199999998</v>
      </c>
      <c r="J15" s="48" t="s">
        <v>13</v>
      </c>
      <c r="K15" s="30" t="s">
        <v>14</v>
      </c>
      <c r="L15" s="31">
        <f t="shared" si="4"/>
        <v>81.460578299999995</v>
      </c>
      <c r="M15" s="31">
        <f t="shared" si="0"/>
        <v>21.72282088</v>
      </c>
      <c r="N15" s="32">
        <f t="shared" si="1"/>
        <v>10.86141044</v>
      </c>
      <c r="O15" s="49">
        <f t="shared" si="2"/>
        <v>10.86141044</v>
      </c>
      <c r="P15" s="31">
        <f t="shared" si="3"/>
        <v>38.014936539999994</v>
      </c>
    </row>
    <row r="16" spans="1:17">
      <c r="A16" s="27">
        <v>14</v>
      </c>
      <c r="B16" s="50" t="s">
        <v>76</v>
      </c>
      <c r="C16" s="33" t="s">
        <v>54</v>
      </c>
      <c r="D16" s="54">
        <v>1003110016997</v>
      </c>
      <c r="E16" s="46">
        <v>7727432</v>
      </c>
      <c r="F16" s="51">
        <v>696.24</v>
      </c>
      <c r="G16" s="29">
        <f t="shared" si="5"/>
        <v>51.382512000000006</v>
      </c>
      <c r="H16" s="34">
        <v>340.69</v>
      </c>
      <c r="I16" s="29">
        <f t="shared" si="6"/>
        <v>304.16748799999999</v>
      </c>
      <c r="J16" s="46" t="s">
        <v>13</v>
      </c>
      <c r="K16" s="34" t="s">
        <v>14</v>
      </c>
      <c r="L16" s="31">
        <f t="shared" si="4"/>
        <v>45.625123199999997</v>
      </c>
      <c r="M16" s="31">
        <f t="shared" si="0"/>
        <v>12.16669952</v>
      </c>
      <c r="N16" s="32">
        <f t="shared" si="1"/>
        <v>6.0833497599999999</v>
      </c>
      <c r="O16" s="32">
        <f t="shared" si="2"/>
        <v>6.0833497599999999</v>
      </c>
      <c r="P16" s="29">
        <f t="shared" si="3"/>
        <v>21.291724159999994</v>
      </c>
    </row>
    <row r="17" spans="1:16">
      <c r="A17" s="27">
        <v>15</v>
      </c>
      <c r="B17" s="153" t="s">
        <v>77</v>
      </c>
      <c r="C17" s="154" t="s">
        <v>78</v>
      </c>
      <c r="D17" s="155">
        <v>2023700447</v>
      </c>
      <c r="E17" s="156">
        <v>2023700447</v>
      </c>
      <c r="F17" s="157">
        <v>1203.8399999999999</v>
      </c>
      <c r="G17" s="157">
        <f t="shared" si="5"/>
        <v>88.843391999999994</v>
      </c>
      <c r="H17" s="151">
        <v>340.69</v>
      </c>
      <c r="I17" s="157">
        <f t="shared" si="6"/>
        <v>774.30660799999987</v>
      </c>
      <c r="J17" s="158" t="s">
        <v>13</v>
      </c>
      <c r="K17" s="157" t="s">
        <v>79</v>
      </c>
      <c r="L17" s="31">
        <f t="shared" si="4"/>
        <v>116.14599119999997</v>
      </c>
      <c r="M17" s="31">
        <f t="shared" si="0"/>
        <v>30.972264319999997</v>
      </c>
      <c r="N17" s="32">
        <f t="shared" si="1"/>
        <v>15.486132159999999</v>
      </c>
      <c r="O17" s="49">
        <f t="shared" si="2"/>
        <v>15.486132159999999</v>
      </c>
      <c r="P17" s="31">
        <f t="shared" si="3"/>
        <v>54.201462559999982</v>
      </c>
    </row>
    <row r="18" spans="1:16">
      <c r="A18" s="27">
        <v>16</v>
      </c>
      <c r="B18" s="499" t="s">
        <v>80</v>
      </c>
      <c r="C18" s="500" t="s">
        <v>30</v>
      </c>
      <c r="D18" s="501">
        <v>1003110021994</v>
      </c>
      <c r="E18" s="508">
        <v>7736639</v>
      </c>
      <c r="F18" s="294">
        <v>551.20000000000005</v>
      </c>
      <c r="G18" s="294">
        <f t="shared" si="5"/>
        <v>40.678560000000004</v>
      </c>
      <c r="H18" s="294">
        <v>63.6</v>
      </c>
      <c r="I18" s="294">
        <f t="shared" si="6"/>
        <v>446.92144000000002</v>
      </c>
      <c r="J18" s="329" t="s">
        <v>13</v>
      </c>
      <c r="K18" s="294" t="s">
        <v>14</v>
      </c>
      <c r="L18" s="293">
        <f t="shared" si="4"/>
        <v>67.038216000000006</v>
      </c>
      <c r="M18" s="293">
        <f t="shared" si="0"/>
        <v>17.876857600000001</v>
      </c>
      <c r="N18" s="296">
        <f t="shared" si="1"/>
        <v>8.9384288000000005</v>
      </c>
      <c r="O18" s="296">
        <f t="shared" si="2"/>
        <v>8.9384288000000005</v>
      </c>
      <c r="P18" s="294">
        <f t="shared" si="3"/>
        <v>31.2845008</v>
      </c>
    </row>
    <row r="19" spans="1:16">
      <c r="A19" s="27">
        <v>17</v>
      </c>
      <c r="B19" s="52" t="s">
        <v>81</v>
      </c>
      <c r="C19" s="37" t="s">
        <v>56</v>
      </c>
      <c r="D19" s="41">
        <v>517720255423100</v>
      </c>
      <c r="E19" s="55">
        <v>130921560</v>
      </c>
      <c r="F19" s="30">
        <v>930.86</v>
      </c>
      <c r="G19" s="31">
        <f t="shared" si="5"/>
        <v>68.697468000000001</v>
      </c>
      <c r="H19" s="30">
        <v>114.81</v>
      </c>
      <c r="I19" s="31">
        <f t="shared" si="6"/>
        <v>747.35253200000011</v>
      </c>
      <c r="J19" s="48" t="s">
        <v>13</v>
      </c>
      <c r="K19" s="30" t="s">
        <v>17</v>
      </c>
      <c r="L19" s="31">
        <f t="shared" si="4"/>
        <v>112.10287980000001</v>
      </c>
      <c r="M19" s="31">
        <f t="shared" si="0"/>
        <v>29.894101280000005</v>
      </c>
      <c r="N19" s="49">
        <f t="shared" si="1"/>
        <v>14.947050640000002</v>
      </c>
      <c r="O19" s="49">
        <f t="shared" si="2"/>
        <v>14.947050640000002</v>
      </c>
      <c r="P19" s="31">
        <f t="shared" si="3"/>
        <v>52.314677240000009</v>
      </c>
    </row>
    <row r="20" spans="1:16">
      <c r="A20" s="27">
        <v>18</v>
      </c>
      <c r="B20" s="50" t="s">
        <v>82</v>
      </c>
      <c r="C20" s="37" t="s">
        <v>56</v>
      </c>
      <c r="D20" s="44">
        <v>1003110021709</v>
      </c>
      <c r="E20" s="46">
        <v>7736030</v>
      </c>
      <c r="F20" s="34">
        <v>577.27</v>
      </c>
      <c r="G20" s="29">
        <f t="shared" si="5"/>
        <v>42.602526000000005</v>
      </c>
      <c r="H20" s="34">
        <v>152.49</v>
      </c>
      <c r="I20" s="29">
        <f t="shared" si="6"/>
        <v>382.17747399999996</v>
      </c>
      <c r="J20" s="46" t="s">
        <v>13</v>
      </c>
      <c r="K20" s="34" t="s">
        <v>17</v>
      </c>
      <c r="L20" s="31">
        <f t="shared" si="4"/>
        <v>57.32662109999999</v>
      </c>
      <c r="M20" s="31">
        <f t="shared" si="0"/>
        <v>15.287098959999998</v>
      </c>
      <c r="N20" s="32">
        <f t="shared" si="1"/>
        <v>7.643549479999999</v>
      </c>
      <c r="O20" s="32">
        <f t="shared" si="2"/>
        <v>7.643549479999999</v>
      </c>
      <c r="P20" s="29">
        <f t="shared" si="3"/>
        <v>26.752423179999994</v>
      </c>
    </row>
    <row r="21" spans="1:16">
      <c r="A21" s="27">
        <v>19</v>
      </c>
      <c r="B21" s="56" t="s">
        <v>15</v>
      </c>
      <c r="C21" s="27" t="s">
        <v>59</v>
      </c>
      <c r="D21" s="41">
        <v>2448100</v>
      </c>
      <c r="E21" s="25">
        <v>2023675312</v>
      </c>
      <c r="F21" s="30">
        <v>514.49</v>
      </c>
      <c r="G21" s="31">
        <f>F21*7.38%</f>
        <v>37.969362000000004</v>
      </c>
      <c r="H21" s="30">
        <v>135.4</v>
      </c>
      <c r="I21" s="31">
        <f t="shared" si="6"/>
        <v>341.12063799999999</v>
      </c>
      <c r="J21" s="48" t="s">
        <v>61</v>
      </c>
      <c r="K21" s="30" t="s">
        <v>17</v>
      </c>
      <c r="L21" s="31">
        <f t="shared" si="4"/>
        <v>51.168095699999995</v>
      </c>
      <c r="M21" s="31">
        <f t="shared" si="0"/>
        <v>13.644825519999999</v>
      </c>
      <c r="N21" s="49">
        <f t="shared" si="1"/>
        <v>6.8224127599999997</v>
      </c>
      <c r="O21" s="49">
        <f t="shared" si="2"/>
        <v>6.8224127599999997</v>
      </c>
      <c r="P21" s="31">
        <f t="shared" si="3"/>
        <v>23.87844466</v>
      </c>
    </row>
    <row r="22" spans="1:16">
      <c r="A22" s="27">
        <v>20</v>
      </c>
      <c r="B22" s="57" t="s">
        <v>83</v>
      </c>
      <c r="C22" s="35" t="s">
        <v>59</v>
      </c>
      <c r="D22" s="44">
        <v>51772025423100</v>
      </c>
      <c r="E22" s="46">
        <v>52754787</v>
      </c>
      <c r="F22" s="34">
        <v>406</v>
      </c>
      <c r="G22" s="29">
        <f t="shared" si="5"/>
        <v>29.962800000000001</v>
      </c>
      <c r="H22" s="34">
        <v>101.5</v>
      </c>
      <c r="I22" s="29">
        <f t="shared" si="6"/>
        <v>274.53719999999998</v>
      </c>
      <c r="J22" s="46" t="s">
        <v>13</v>
      </c>
      <c r="K22" s="34" t="s">
        <v>17</v>
      </c>
      <c r="L22" s="31">
        <f t="shared" si="4"/>
        <v>41.180579999999999</v>
      </c>
      <c r="M22" s="31">
        <f t="shared" si="0"/>
        <v>10.981487999999999</v>
      </c>
      <c r="N22" s="32">
        <f t="shared" si="1"/>
        <v>5.4907439999999994</v>
      </c>
      <c r="O22" s="32">
        <f t="shared" si="2"/>
        <v>5.4907439999999994</v>
      </c>
      <c r="P22" s="29">
        <f t="shared" si="3"/>
        <v>19.217604000000001</v>
      </c>
    </row>
    <row r="23" spans="1:16">
      <c r="A23" s="27">
        <v>21</v>
      </c>
      <c r="B23" s="604" t="s">
        <v>39</v>
      </c>
      <c r="C23" s="295" t="s">
        <v>29</v>
      </c>
      <c r="D23" s="501">
        <v>10031010024462</v>
      </c>
      <c r="E23" s="405">
        <v>5272286</v>
      </c>
      <c r="F23" s="293">
        <v>658.02</v>
      </c>
      <c r="G23" s="293">
        <f t="shared" si="5"/>
        <v>48.561876000000005</v>
      </c>
      <c r="H23" s="293">
        <v>81.16</v>
      </c>
      <c r="I23" s="293">
        <f t="shared" si="6"/>
        <v>528.29812400000003</v>
      </c>
      <c r="J23" s="405" t="s">
        <v>13</v>
      </c>
      <c r="K23" s="293" t="s">
        <v>17</v>
      </c>
      <c r="L23" s="293">
        <f t="shared" si="4"/>
        <v>79.244718599999999</v>
      </c>
      <c r="M23" s="293">
        <f t="shared" si="0"/>
        <v>21.131924960000003</v>
      </c>
      <c r="N23" s="406">
        <f t="shared" si="1"/>
        <v>10.565962480000001</v>
      </c>
      <c r="O23" s="406">
        <f t="shared" si="2"/>
        <v>10.565962480000001</v>
      </c>
      <c r="P23" s="293">
        <f t="shared" si="3"/>
        <v>36.980868679999986</v>
      </c>
    </row>
    <row r="24" spans="1:16">
      <c r="A24" s="27">
        <v>22</v>
      </c>
      <c r="B24" s="58" t="s">
        <v>84</v>
      </c>
      <c r="C24" s="27" t="s">
        <v>63</v>
      </c>
      <c r="D24" s="41">
        <v>51772025423100</v>
      </c>
      <c r="E24" s="48">
        <v>5279960</v>
      </c>
      <c r="F24" s="30">
        <v>922.8</v>
      </c>
      <c r="G24" s="31">
        <f t="shared" si="5"/>
        <v>68.102639999999994</v>
      </c>
      <c r="H24" s="30">
        <v>92.28</v>
      </c>
      <c r="I24" s="31">
        <f t="shared" si="6"/>
        <v>762.41736000000003</v>
      </c>
      <c r="J24" s="48" t="s">
        <v>61</v>
      </c>
      <c r="K24" s="30" t="s">
        <v>17</v>
      </c>
      <c r="L24" s="31">
        <f t="shared" si="4"/>
        <v>114.362604</v>
      </c>
      <c r="M24" s="31">
        <f t="shared" si="0"/>
        <v>30.496694400000003</v>
      </c>
      <c r="N24" s="49">
        <f t="shared" si="1"/>
        <v>15.248347200000001</v>
      </c>
      <c r="O24" s="49">
        <f t="shared" si="2"/>
        <v>15.248347200000001</v>
      </c>
      <c r="P24" s="31">
        <f t="shared" si="3"/>
        <v>53.369215200000014</v>
      </c>
    </row>
    <row r="25" spans="1:16">
      <c r="A25" s="27">
        <v>23</v>
      </c>
      <c r="B25" s="164" t="s">
        <v>85</v>
      </c>
      <c r="C25" s="165" t="s">
        <v>59</v>
      </c>
      <c r="D25" s="166" t="s">
        <v>32</v>
      </c>
      <c r="E25" s="167">
        <v>5275875</v>
      </c>
      <c r="F25" s="168">
        <v>513.42999999999995</v>
      </c>
      <c r="G25" s="169">
        <f t="shared" si="5"/>
        <v>37.891134000000001</v>
      </c>
      <c r="H25" s="168">
        <v>63.33</v>
      </c>
      <c r="I25" s="170">
        <f t="shared" si="6"/>
        <v>412.20886599999994</v>
      </c>
      <c r="J25" s="167" t="s">
        <v>13</v>
      </c>
      <c r="K25" s="168" t="s">
        <v>26</v>
      </c>
      <c r="L25" s="170">
        <f t="shared" si="4"/>
        <v>61.831329899999986</v>
      </c>
      <c r="M25" s="170">
        <f t="shared" si="0"/>
        <v>16.488354639999997</v>
      </c>
      <c r="N25" s="171">
        <f t="shared" si="1"/>
        <v>8.2441773199999986</v>
      </c>
      <c r="O25" s="171">
        <f t="shared" si="2"/>
        <v>8.2441773199999986</v>
      </c>
      <c r="P25" s="169">
        <f t="shared" si="3"/>
        <v>28.854620619999992</v>
      </c>
    </row>
    <row r="26" spans="1:16">
      <c r="A26" s="27">
        <v>24</v>
      </c>
      <c r="B26" s="59" t="s">
        <v>86</v>
      </c>
      <c r="C26" s="60" t="s">
        <v>59</v>
      </c>
      <c r="D26" s="40">
        <v>21772025423100</v>
      </c>
      <c r="E26" s="61">
        <v>5283218</v>
      </c>
      <c r="F26" s="34">
        <v>485.31</v>
      </c>
      <c r="G26" s="29">
        <f t="shared" si="5"/>
        <v>35.815878000000005</v>
      </c>
      <c r="H26" s="34">
        <v>48.53</v>
      </c>
      <c r="I26" s="31">
        <f t="shared" si="6"/>
        <v>400.96412199999997</v>
      </c>
      <c r="J26" s="60" t="s">
        <v>61</v>
      </c>
      <c r="K26" s="60" t="s">
        <v>26</v>
      </c>
      <c r="L26" s="31">
        <f t="shared" si="4"/>
        <v>60.144618299999991</v>
      </c>
      <c r="M26" s="31">
        <f t="shared" si="0"/>
        <v>16.038564879999999</v>
      </c>
      <c r="N26" s="32">
        <f t="shared" si="1"/>
        <v>8.0192824399999996</v>
      </c>
      <c r="O26" s="32">
        <f t="shared" si="2"/>
        <v>8.0192824399999996</v>
      </c>
      <c r="P26" s="29">
        <f t="shared" si="3"/>
        <v>28.067488539999999</v>
      </c>
    </row>
    <row r="27" spans="1:16">
      <c r="A27" s="27">
        <v>25</v>
      </c>
      <c r="B27" s="28" t="s">
        <v>87</v>
      </c>
      <c r="C27" s="35" t="s">
        <v>56</v>
      </c>
      <c r="D27">
        <v>2453384</v>
      </c>
      <c r="E27" s="46">
        <v>5292177</v>
      </c>
      <c r="F27" s="34">
        <v>640.70000000000005</v>
      </c>
      <c r="G27" s="29">
        <f t="shared" si="5"/>
        <v>47.283660000000005</v>
      </c>
      <c r="H27" s="34">
        <v>67.45</v>
      </c>
      <c r="I27" s="31">
        <f t="shared" si="6"/>
        <v>525.96633999999995</v>
      </c>
      <c r="J27" s="46" t="s">
        <v>61</v>
      </c>
      <c r="K27" s="34" t="s">
        <v>14</v>
      </c>
      <c r="L27" s="31">
        <f t="shared" si="4"/>
        <v>78.894950999999992</v>
      </c>
      <c r="M27" s="31">
        <f t="shared" si="0"/>
        <v>21.0386536</v>
      </c>
      <c r="N27" s="32">
        <f t="shared" si="1"/>
        <v>10.5193268</v>
      </c>
      <c r="O27" s="32">
        <f t="shared" si="2"/>
        <v>10.5193268</v>
      </c>
      <c r="P27" s="29">
        <f t="shared" si="3"/>
        <v>36.817643799999985</v>
      </c>
    </row>
    <row r="28" spans="1:16">
      <c r="A28" s="27">
        <v>26</v>
      </c>
      <c r="B28" s="326" t="s">
        <v>88</v>
      </c>
      <c r="C28" s="327" t="s">
        <v>12</v>
      </c>
      <c r="D28" s="328">
        <v>1003110033750</v>
      </c>
      <c r="E28" s="329">
        <v>5292498</v>
      </c>
      <c r="F28" s="294">
        <v>657.53</v>
      </c>
      <c r="G28" s="294">
        <f t="shared" si="5"/>
        <v>48.525714000000001</v>
      </c>
      <c r="H28" s="294">
        <v>81.099999999999994</v>
      </c>
      <c r="I28" s="293">
        <f t="shared" si="6"/>
        <v>527.90428599999996</v>
      </c>
      <c r="J28" s="329" t="s">
        <v>13</v>
      </c>
      <c r="K28" s="294" t="s">
        <v>20</v>
      </c>
      <c r="L28" s="293">
        <f t="shared" si="4"/>
        <v>79.185642899999991</v>
      </c>
      <c r="M28" s="293">
        <f t="shared" si="0"/>
        <v>21.116171439999999</v>
      </c>
      <c r="N28" s="296">
        <f t="shared" si="1"/>
        <v>10.558085719999999</v>
      </c>
      <c r="O28" s="296">
        <f t="shared" si="2"/>
        <v>10.558085719999999</v>
      </c>
      <c r="P28" s="294">
        <f t="shared" si="3"/>
        <v>36.953300019999986</v>
      </c>
    </row>
    <row r="29" spans="1:16">
      <c r="A29" s="27">
        <v>27</v>
      </c>
      <c r="B29" s="28" t="s">
        <v>89</v>
      </c>
      <c r="C29" s="35" t="s">
        <v>59</v>
      </c>
      <c r="D29" s="44">
        <v>1003110033635</v>
      </c>
      <c r="E29" s="46">
        <v>5302878</v>
      </c>
      <c r="F29" s="34">
        <v>561.77</v>
      </c>
      <c r="G29" s="29">
        <f t="shared" si="5"/>
        <v>41.458626000000002</v>
      </c>
      <c r="H29" s="34">
        <v>60.36</v>
      </c>
      <c r="I29" s="31">
        <f t="shared" si="6"/>
        <v>459.95137399999999</v>
      </c>
      <c r="J29" s="46" t="s">
        <v>13</v>
      </c>
      <c r="K29" s="34" t="s">
        <v>49</v>
      </c>
      <c r="L29" s="31">
        <f t="shared" si="4"/>
        <v>68.992706099999992</v>
      </c>
      <c r="M29" s="31">
        <f t="shared" si="0"/>
        <v>18.39805496</v>
      </c>
      <c r="N29" s="32">
        <f t="shared" si="1"/>
        <v>9.1990274799999998</v>
      </c>
      <c r="O29" s="32">
        <f t="shared" si="2"/>
        <v>9.1990274799999998</v>
      </c>
      <c r="P29" s="29">
        <f t="shared" si="3"/>
        <v>32.19659618</v>
      </c>
    </row>
    <row r="30" spans="1:16">
      <c r="A30" s="27">
        <v>28</v>
      </c>
      <c r="B30" s="28" t="s">
        <v>90</v>
      </c>
      <c r="C30" s="35" t="s">
        <v>59</v>
      </c>
      <c r="D30" s="44">
        <v>1003110033282</v>
      </c>
      <c r="E30" s="46">
        <v>5297093</v>
      </c>
      <c r="F30" s="34">
        <v>514.66999999999996</v>
      </c>
      <c r="G30" s="29">
        <f t="shared" si="5"/>
        <v>37.982646000000003</v>
      </c>
      <c r="H30" s="34">
        <v>55.3</v>
      </c>
      <c r="I30" s="31">
        <f t="shared" si="6"/>
        <v>421.38735399999996</v>
      </c>
      <c r="J30" s="46" t="s">
        <v>13</v>
      </c>
      <c r="K30" s="34" t="s">
        <v>26</v>
      </c>
      <c r="L30" s="31">
        <f t="shared" si="4"/>
        <v>63.208103099999988</v>
      </c>
      <c r="M30" s="31">
        <f t="shared" si="0"/>
        <v>16.855494159999999</v>
      </c>
      <c r="N30" s="32">
        <f t="shared" si="1"/>
        <v>8.4277470799999996</v>
      </c>
      <c r="O30" s="32">
        <f t="shared" si="2"/>
        <v>8.4277470799999996</v>
      </c>
      <c r="P30" s="29">
        <f t="shared" si="3"/>
        <v>29.497114779999993</v>
      </c>
    </row>
    <row r="31" spans="1:16">
      <c r="A31" s="27">
        <v>29</v>
      </c>
      <c r="B31" s="297" t="s">
        <v>91</v>
      </c>
      <c r="C31" s="298" t="s">
        <v>12</v>
      </c>
      <c r="D31" s="299">
        <v>1003110031650</v>
      </c>
      <c r="E31" s="302">
        <v>5293007</v>
      </c>
      <c r="F31" s="300">
        <v>593.87</v>
      </c>
      <c r="G31" s="300">
        <f t="shared" si="5"/>
        <v>43.827606000000003</v>
      </c>
      <c r="H31" s="300">
        <v>63.09</v>
      </c>
      <c r="I31" s="301">
        <f t="shared" si="6"/>
        <v>486.95239400000003</v>
      </c>
      <c r="J31" s="302" t="s">
        <v>13</v>
      </c>
      <c r="K31" s="300" t="s">
        <v>20</v>
      </c>
      <c r="L31" s="301">
        <f t="shared" si="4"/>
        <v>73.042859100000001</v>
      </c>
      <c r="M31" s="301">
        <f t="shared" si="0"/>
        <v>19.478095760000002</v>
      </c>
      <c r="N31" s="303">
        <f t="shared" si="1"/>
        <v>9.7390478800000011</v>
      </c>
      <c r="O31" s="303">
        <f t="shared" si="2"/>
        <v>9.7390478800000011</v>
      </c>
      <c r="P31" s="300">
        <f t="shared" si="3"/>
        <v>34.086667579999997</v>
      </c>
    </row>
    <row r="32" spans="1:16">
      <c r="A32" s="27">
        <v>30</v>
      </c>
      <c r="B32" s="28" t="s">
        <v>92</v>
      </c>
      <c r="C32" s="35" t="s">
        <v>59</v>
      </c>
      <c r="D32" s="44">
        <v>1003110031433</v>
      </c>
      <c r="E32" s="35">
        <v>5290841</v>
      </c>
      <c r="F32" s="34">
        <v>495.01</v>
      </c>
      <c r="G32" s="29">
        <f t="shared" si="5"/>
        <v>36.531738000000004</v>
      </c>
      <c r="H32" s="34">
        <v>53.19</v>
      </c>
      <c r="I32" s="31">
        <f t="shared" si="6"/>
        <v>405.28826199999997</v>
      </c>
      <c r="J32" s="46" t="s">
        <v>13</v>
      </c>
      <c r="K32" s="34" t="s">
        <v>26</v>
      </c>
      <c r="L32" s="31">
        <f t="shared" si="4"/>
        <v>60.793239299999996</v>
      </c>
      <c r="M32" s="31">
        <f t="shared" si="0"/>
        <v>16.21153048</v>
      </c>
      <c r="N32" s="32">
        <f t="shared" si="1"/>
        <v>8.1057652400000002</v>
      </c>
      <c r="O32" s="32">
        <f t="shared" si="2"/>
        <v>8.1057652400000002</v>
      </c>
      <c r="P32" s="29">
        <f t="shared" si="3"/>
        <v>28.370178339999992</v>
      </c>
    </row>
    <row r="33" spans="1:16">
      <c r="A33" s="27">
        <v>31</v>
      </c>
      <c r="B33" s="326" t="s">
        <v>93</v>
      </c>
      <c r="C33" s="327" t="s">
        <v>59</v>
      </c>
      <c r="D33" s="328">
        <v>1003110030132</v>
      </c>
      <c r="E33" s="327">
        <v>5297954</v>
      </c>
      <c r="F33" s="294">
        <v>531.21</v>
      </c>
      <c r="G33" s="294">
        <f t="shared" si="5"/>
        <v>39.203298000000004</v>
      </c>
      <c r="H33" s="294">
        <v>57.08</v>
      </c>
      <c r="I33" s="293">
        <f t="shared" si="6"/>
        <v>434.92670200000003</v>
      </c>
      <c r="J33" s="329" t="s">
        <v>13</v>
      </c>
      <c r="K33" s="294" t="s">
        <v>17</v>
      </c>
      <c r="L33" s="293">
        <f t="shared" si="4"/>
        <v>65.239005300000002</v>
      </c>
      <c r="M33" s="293">
        <f t="shared" si="0"/>
        <v>17.39706808</v>
      </c>
      <c r="N33" s="296">
        <f t="shared" si="1"/>
        <v>8.6985340400000002</v>
      </c>
      <c r="O33" s="296">
        <f t="shared" si="2"/>
        <v>8.6985340400000002</v>
      </c>
      <c r="P33" s="294">
        <f t="shared" si="3"/>
        <v>30.444869140000009</v>
      </c>
    </row>
    <row r="34" spans="1:16">
      <c r="A34" s="27">
        <v>32</v>
      </c>
      <c r="B34" s="28" t="s">
        <v>94</v>
      </c>
      <c r="C34" s="35" t="s">
        <v>95</v>
      </c>
      <c r="D34" s="44">
        <v>1003110036903</v>
      </c>
      <c r="E34" s="35">
        <v>5303276</v>
      </c>
      <c r="F34" s="34">
        <v>511.54</v>
      </c>
      <c r="G34" s="29">
        <f t="shared" si="5"/>
        <v>37.751652000000007</v>
      </c>
      <c r="H34" s="34">
        <v>54.97</v>
      </c>
      <c r="I34" s="31">
        <f t="shared" si="6"/>
        <v>418.81834800000001</v>
      </c>
      <c r="J34" s="46" t="s">
        <v>13</v>
      </c>
      <c r="K34" s="34" t="s">
        <v>51</v>
      </c>
      <c r="L34" s="31">
        <f t="shared" si="4"/>
        <v>62.822752199999996</v>
      </c>
      <c r="M34" s="31">
        <f t="shared" si="0"/>
        <v>16.752733920000001</v>
      </c>
      <c r="N34" s="32">
        <f t="shared" si="1"/>
        <v>8.3763669600000004</v>
      </c>
      <c r="O34" s="32">
        <f t="shared" si="2"/>
        <v>8.3763669600000004</v>
      </c>
      <c r="P34" s="29">
        <f t="shared" si="3"/>
        <v>29.317284360000002</v>
      </c>
    </row>
    <row r="35" spans="1:16">
      <c r="A35" s="27">
        <v>33</v>
      </c>
      <c r="B35" s="28" t="s">
        <v>96</v>
      </c>
      <c r="C35" s="35" t="s">
        <v>59</v>
      </c>
      <c r="D35" s="44">
        <v>1003110037751</v>
      </c>
      <c r="E35" s="35">
        <v>5295683</v>
      </c>
      <c r="F35" s="34">
        <v>503.87</v>
      </c>
      <c r="G35" s="29">
        <f t="shared" si="5"/>
        <v>37.185606</v>
      </c>
      <c r="H35" s="34">
        <v>0</v>
      </c>
      <c r="I35" s="31">
        <f t="shared" si="6"/>
        <v>466.684394</v>
      </c>
      <c r="J35" s="46" t="s">
        <v>13</v>
      </c>
      <c r="K35" s="34" t="s">
        <v>25</v>
      </c>
      <c r="L35" s="31">
        <f t="shared" si="4"/>
        <v>70.002659100000002</v>
      </c>
      <c r="M35" s="31">
        <f t="shared" si="0"/>
        <v>18.667375759999999</v>
      </c>
      <c r="N35" s="32">
        <f t="shared" si="1"/>
        <v>9.3336878799999994</v>
      </c>
      <c r="O35" s="32">
        <f t="shared" si="2"/>
        <v>9.3336878799999994</v>
      </c>
      <c r="P35" s="29">
        <f t="shared" si="3"/>
        <v>32.667907580000005</v>
      </c>
    </row>
    <row r="36" spans="1:16">
      <c r="A36" s="27">
        <v>34</v>
      </c>
      <c r="B36" s="28" t="s">
        <v>97</v>
      </c>
      <c r="C36" s="35" t="s">
        <v>59</v>
      </c>
      <c r="D36" s="44">
        <v>1003110050632</v>
      </c>
      <c r="E36" s="35">
        <v>5305449</v>
      </c>
      <c r="F36" s="34">
        <v>465.5</v>
      </c>
      <c r="G36" s="29">
        <f t="shared" si="5"/>
        <v>34.353900000000003</v>
      </c>
      <c r="H36" s="34">
        <v>122.96</v>
      </c>
      <c r="I36" s="31">
        <f t="shared" si="6"/>
        <v>308.18610000000001</v>
      </c>
      <c r="J36" s="46" t="s">
        <v>13</v>
      </c>
      <c r="K36" s="34" t="s">
        <v>17</v>
      </c>
      <c r="L36" s="31">
        <f t="shared" si="4"/>
        <v>46.227915000000003</v>
      </c>
      <c r="M36" s="31">
        <f t="shared" si="0"/>
        <v>12.327444</v>
      </c>
      <c r="N36" s="32">
        <f t="shared" si="1"/>
        <v>6.1637219999999999</v>
      </c>
      <c r="O36" s="32">
        <f t="shared" si="2"/>
        <v>6.1637219999999999</v>
      </c>
      <c r="P36" s="29">
        <f t="shared" si="3"/>
        <v>21.573027000000003</v>
      </c>
    </row>
    <row r="37" spans="1:16">
      <c r="A37" s="27">
        <v>35</v>
      </c>
      <c r="B37" s="28" t="s">
        <v>98</v>
      </c>
      <c r="C37" s="35" t="s">
        <v>99</v>
      </c>
      <c r="D37" s="44">
        <v>2459625</v>
      </c>
      <c r="E37" s="35">
        <v>5306017</v>
      </c>
      <c r="F37" s="34">
        <v>1642.63</v>
      </c>
      <c r="G37" s="29">
        <f t="shared" si="5"/>
        <v>121.22609400000002</v>
      </c>
      <c r="H37" s="34">
        <v>203.19</v>
      </c>
      <c r="I37" s="31">
        <f t="shared" si="6"/>
        <v>1318.213906</v>
      </c>
      <c r="J37" s="46" t="s">
        <v>13</v>
      </c>
      <c r="K37" s="34" t="s">
        <v>49</v>
      </c>
      <c r="L37" s="31">
        <f t="shared" si="4"/>
        <v>197.73208589999999</v>
      </c>
      <c r="M37" s="31">
        <f t="shared" si="0"/>
        <v>52.728556239999996</v>
      </c>
      <c r="N37" s="32">
        <f t="shared" si="1"/>
        <v>26.364278119999998</v>
      </c>
      <c r="O37" s="32">
        <f t="shared" si="2"/>
        <v>26.364278119999998</v>
      </c>
      <c r="P37" s="29">
        <f t="shared" si="3"/>
        <v>92.274973420000009</v>
      </c>
    </row>
    <row r="38" spans="1:16">
      <c r="A38" s="27">
        <v>36</v>
      </c>
      <c r="B38" s="28" t="s">
        <v>100</v>
      </c>
      <c r="C38" s="35" t="s">
        <v>59</v>
      </c>
      <c r="D38" s="44">
        <v>1003110039170</v>
      </c>
      <c r="E38" s="35">
        <v>5305950</v>
      </c>
      <c r="F38" s="34">
        <v>516.66999999999996</v>
      </c>
      <c r="G38" s="29">
        <f t="shared" si="5"/>
        <v>38.130246</v>
      </c>
      <c r="H38" s="34">
        <v>55.52</v>
      </c>
      <c r="I38" s="31">
        <f t="shared" si="6"/>
        <v>423.01975399999998</v>
      </c>
      <c r="J38" s="46" t="s">
        <v>13</v>
      </c>
      <c r="K38" s="34" t="s">
        <v>49</v>
      </c>
      <c r="L38" s="31">
        <f t="shared" si="4"/>
        <v>63.452963099999991</v>
      </c>
      <c r="M38" s="31">
        <f t="shared" si="0"/>
        <v>16.920790159999999</v>
      </c>
      <c r="N38" s="32">
        <f t="shared" si="1"/>
        <v>8.4603950799999996</v>
      </c>
      <c r="O38" s="32">
        <f t="shared" si="2"/>
        <v>8.4603950799999996</v>
      </c>
      <c r="P38" s="29">
        <f t="shared" si="3"/>
        <v>29.61138278</v>
      </c>
    </row>
    <row r="39" spans="1:16">
      <c r="A39" s="27">
        <v>37</v>
      </c>
      <c r="B39" s="326" t="s">
        <v>101</v>
      </c>
      <c r="C39" s="327" t="s">
        <v>30</v>
      </c>
      <c r="D39" s="328">
        <v>1003110039155</v>
      </c>
      <c r="E39" s="327">
        <v>5305733</v>
      </c>
      <c r="F39" s="294">
        <v>650.39</v>
      </c>
      <c r="G39" s="294">
        <f t="shared" si="5"/>
        <v>47.998781999999999</v>
      </c>
      <c r="H39" s="294">
        <v>69.89</v>
      </c>
      <c r="I39" s="293">
        <f t="shared" si="6"/>
        <v>532.50121799999999</v>
      </c>
      <c r="J39" s="329" t="s">
        <v>13</v>
      </c>
      <c r="K39" s="294" t="s">
        <v>26</v>
      </c>
      <c r="L39" s="293">
        <f t="shared" si="4"/>
        <v>79.875182699999996</v>
      </c>
      <c r="M39" s="293">
        <f t="shared" si="0"/>
        <v>21.300048719999999</v>
      </c>
      <c r="N39" s="296">
        <f t="shared" si="1"/>
        <v>10.65002436</v>
      </c>
      <c r="O39" s="296">
        <f t="shared" si="2"/>
        <v>10.65002436</v>
      </c>
      <c r="P39" s="294">
        <f t="shared" si="3"/>
        <v>37.275085259999997</v>
      </c>
    </row>
    <row r="40" spans="1:16">
      <c r="A40" s="27">
        <v>38</v>
      </c>
      <c r="B40" s="28" t="s">
        <v>21</v>
      </c>
      <c r="C40" s="35" t="s">
        <v>102</v>
      </c>
      <c r="D40" s="44">
        <v>2454305</v>
      </c>
      <c r="E40" s="35" t="s">
        <v>103</v>
      </c>
      <c r="F40" s="34">
        <v>739.9</v>
      </c>
      <c r="G40" s="29">
        <f t="shared" si="5"/>
        <v>54.604620000000004</v>
      </c>
      <c r="H40" s="34">
        <v>73.989999999999995</v>
      </c>
      <c r="I40" s="31">
        <f t="shared" si="6"/>
        <v>611.30538000000001</v>
      </c>
      <c r="J40" s="46" t="s">
        <v>61</v>
      </c>
      <c r="K40" s="34" t="s">
        <v>17</v>
      </c>
      <c r="L40" s="31">
        <f t="shared" si="4"/>
        <v>91.695807000000002</v>
      </c>
      <c r="M40" s="31">
        <f t="shared" si="0"/>
        <v>24.452215200000001</v>
      </c>
      <c r="N40" s="32">
        <f t="shared" si="1"/>
        <v>12.226107600000001</v>
      </c>
      <c r="O40" s="32">
        <f t="shared" si="2"/>
        <v>12.226107600000001</v>
      </c>
      <c r="P40" s="29">
        <f t="shared" si="3"/>
        <v>42.791376600000007</v>
      </c>
    </row>
    <row r="41" spans="1:16">
      <c r="A41" s="27">
        <v>39</v>
      </c>
      <c r="B41" s="28" t="s">
        <v>104</v>
      </c>
      <c r="C41" s="35" t="s">
        <v>42</v>
      </c>
      <c r="D41" s="44">
        <v>1003110044086</v>
      </c>
      <c r="E41" s="35">
        <v>53081152</v>
      </c>
      <c r="F41" s="34">
        <v>1127.04</v>
      </c>
      <c r="G41" s="29">
        <f t="shared" si="5"/>
        <v>83.175551999999996</v>
      </c>
      <c r="H41" s="34">
        <v>0</v>
      </c>
      <c r="I41" s="31">
        <f t="shared" si="6"/>
        <v>1043.864448</v>
      </c>
      <c r="J41" s="46" t="s">
        <v>13</v>
      </c>
      <c r="K41" s="34" t="s">
        <v>49</v>
      </c>
      <c r="L41" s="31">
        <f t="shared" si="4"/>
        <v>156.57966719999999</v>
      </c>
      <c r="M41" s="31">
        <f t="shared" si="0"/>
        <v>41.754577920000003</v>
      </c>
      <c r="N41" s="32">
        <f t="shared" si="1"/>
        <v>20.877288960000001</v>
      </c>
      <c r="O41" s="32">
        <f t="shared" si="2"/>
        <v>20.877288960000001</v>
      </c>
      <c r="P41" s="29">
        <f t="shared" si="3"/>
        <v>73.070511359999983</v>
      </c>
    </row>
    <row r="42" spans="1:16">
      <c r="A42" s="27">
        <v>40</v>
      </c>
      <c r="B42" s="28" t="s">
        <v>105</v>
      </c>
      <c r="C42" s="35" t="s">
        <v>59</v>
      </c>
      <c r="D42" s="44">
        <v>2011489121</v>
      </c>
      <c r="E42" s="35">
        <v>5305292</v>
      </c>
      <c r="F42" s="34">
        <v>464.67</v>
      </c>
      <c r="G42" s="29">
        <f t="shared" si="5"/>
        <v>34.292646000000005</v>
      </c>
      <c r="H42" s="34">
        <v>0</v>
      </c>
      <c r="I42" s="31">
        <f t="shared" si="6"/>
        <v>430.37735400000003</v>
      </c>
      <c r="J42" s="46" t="s">
        <v>13</v>
      </c>
      <c r="K42" s="34" t="s">
        <v>17</v>
      </c>
      <c r="L42" s="31">
        <f t="shared" si="4"/>
        <v>64.556603100000004</v>
      </c>
      <c r="M42" s="31">
        <f t="shared" si="0"/>
        <v>17.215094160000003</v>
      </c>
      <c r="N42" s="32">
        <f t="shared" si="1"/>
        <v>8.6075470800000016</v>
      </c>
      <c r="O42" s="32">
        <f t="shared" si="2"/>
        <v>8.6075470800000016</v>
      </c>
      <c r="P42" s="29">
        <f t="shared" si="3"/>
        <v>30.12641477999999</v>
      </c>
    </row>
    <row r="43" spans="1:16">
      <c r="A43" s="27">
        <v>41</v>
      </c>
      <c r="B43" s="326" t="s">
        <v>106</v>
      </c>
      <c r="C43" s="327" t="s">
        <v>59</v>
      </c>
      <c r="D43" s="328">
        <v>1003110042908</v>
      </c>
      <c r="E43" s="327">
        <v>5307626</v>
      </c>
      <c r="F43" s="294">
        <v>532.02</v>
      </c>
      <c r="G43" s="294">
        <f t="shared" si="5"/>
        <v>39.263075999999998</v>
      </c>
      <c r="H43" s="294">
        <v>57.17</v>
      </c>
      <c r="I43" s="293">
        <f t="shared" si="6"/>
        <v>435.58692399999995</v>
      </c>
      <c r="J43" s="329" t="s">
        <v>68</v>
      </c>
      <c r="K43" s="294" t="s">
        <v>17</v>
      </c>
      <c r="L43" s="293">
        <f t="shared" si="4"/>
        <v>65.33803859999999</v>
      </c>
      <c r="M43" s="293">
        <f t="shared" si="0"/>
        <v>17.423476959999999</v>
      </c>
      <c r="N43" s="296">
        <f t="shared" si="1"/>
        <v>8.7117384799999993</v>
      </c>
      <c r="O43" s="296">
        <f t="shared" si="2"/>
        <v>8.7117384799999993</v>
      </c>
      <c r="P43" s="294">
        <f t="shared" si="3"/>
        <v>30.491084679999986</v>
      </c>
    </row>
    <row r="44" spans="1:16">
      <c r="A44" s="27">
        <v>42</v>
      </c>
      <c r="B44" s="73" t="s">
        <v>108</v>
      </c>
      <c r="C44" s="70" t="s">
        <v>59</v>
      </c>
      <c r="D44" s="44">
        <v>1003110046938</v>
      </c>
      <c r="E44" s="35">
        <v>5305345</v>
      </c>
      <c r="F44" s="34">
        <v>516.80999999999995</v>
      </c>
      <c r="G44" s="29">
        <f t="shared" si="5"/>
        <v>38.140577999999998</v>
      </c>
      <c r="H44" s="34">
        <v>55.53</v>
      </c>
      <c r="I44" s="31">
        <f t="shared" si="6"/>
        <v>423.13942199999997</v>
      </c>
      <c r="J44" s="71" t="s">
        <v>16</v>
      </c>
      <c r="K44" s="72" t="s">
        <v>14</v>
      </c>
      <c r="L44" s="31">
        <f t="shared" si="4"/>
        <v>63.470913299999992</v>
      </c>
      <c r="M44" s="31">
        <f t="shared" si="0"/>
        <v>16.925576879999998</v>
      </c>
      <c r="N44" s="32">
        <f t="shared" si="1"/>
        <v>8.4627884399999989</v>
      </c>
      <c r="O44" s="32">
        <f t="shared" si="2"/>
        <v>8.4627884399999989</v>
      </c>
      <c r="P44" s="29">
        <f t="shared" si="3"/>
        <v>29.619759540000004</v>
      </c>
    </row>
    <row r="45" spans="1:16">
      <c r="A45" s="27">
        <v>43</v>
      </c>
      <c r="B45" s="77" t="s">
        <v>109</v>
      </c>
      <c r="C45" s="74" t="s">
        <v>59</v>
      </c>
      <c r="D45" s="44">
        <v>1003110046716</v>
      </c>
      <c r="E45" s="35">
        <v>5307533</v>
      </c>
      <c r="F45" s="34">
        <v>576.78</v>
      </c>
      <c r="G45" s="29">
        <f t="shared" si="5"/>
        <v>42.566364</v>
      </c>
      <c r="H45" s="34">
        <v>192.26</v>
      </c>
      <c r="I45" s="31">
        <f t="shared" si="6"/>
        <v>341.95363599999996</v>
      </c>
      <c r="J45" s="75" t="s">
        <v>13</v>
      </c>
      <c r="K45" s="76" t="s">
        <v>50</v>
      </c>
      <c r="L45" s="31">
        <f t="shared" si="4"/>
        <v>51.29304539999999</v>
      </c>
      <c r="M45" s="31">
        <f t="shared" si="0"/>
        <v>13.678145439999998</v>
      </c>
      <c r="N45" s="32">
        <f t="shared" si="1"/>
        <v>6.839072719999999</v>
      </c>
      <c r="O45" s="32">
        <f t="shared" si="2"/>
        <v>6.839072719999999</v>
      </c>
      <c r="P45" s="29">
        <f t="shared" si="3"/>
        <v>23.936754519999994</v>
      </c>
    </row>
    <row r="46" spans="1:16">
      <c r="A46" s="27">
        <v>44</v>
      </c>
      <c r="B46" s="77" t="s">
        <v>110</v>
      </c>
      <c r="C46" s="74" t="s">
        <v>29</v>
      </c>
      <c r="D46" s="62">
        <v>2459153</v>
      </c>
      <c r="E46" s="35">
        <v>5310311</v>
      </c>
      <c r="F46" s="34">
        <v>608.28</v>
      </c>
      <c r="G46" s="29">
        <f t="shared" si="5"/>
        <v>44.891064</v>
      </c>
      <c r="H46" s="34">
        <v>53.36</v>
      </c>
      <c r="I46" s="31">
        <f t="shared" si="6"/>
        <v>510.02893599999993</v>
      </c>
      <c r="J46" s="75" t="s">
        <v>16</v>
      </c>
      <c r="K46" s="76" t="s">
        <v>111</v>
      </c>
      <c r="L46" s="31">
        <f t="shared" si="4"/>
        <v>76.50434039999999</v>
      </c>
      <c r="M46" s="31">
        <f t="shared" si="0"/>
        <v>20.401157439999999</v>
      </c>
      <c r="N46" s="32">
        <f t="shared" si="1"/>
        <v>10.200578719999999</v>
      </c>
      <c r="O46" s="32">
        <f t="shared" si="2"/>
        <v>10.200578719999999</v>
      </c>
      <c r="P46" s="29">
        <f t="shared" si="3"/>
        <v>35.702025519999992</v>
      </c>
    </row>
    <row r="47" spans="1:16">
      <c r="A47" s="27">
        <v>45</v>
      </c>
      <c r="B47" s="77" t="s">
        <v>112</v>
      </c>
      <c r="C47" s="74" t="s">
        <v>59</v>
      </c>
      <c r="D47" s="44">
        <v>1003110049216</v>
      </c>
      <c r="E47" s="35">
        <v>5310089</v>
      </c>
      <c r="F47" s="34">
        <v>508.2</v>
      </c>
      <c r="G47" s="29">
        <f t="shared" si="5"/>
        <v>37.505160000000004</v>
      </c>
      <c r="H47" s="34">
        <v>0</v>
      </c>
      <c r="I47" s="31">
        <f t="shared" si="6"/>
        <v>470.69484</v>
      </c>
      <c r="J47" s="75" t="s">
        <v>13</v>
      </c>
      <c r="K47" s="76" t="s">
        <v>14</v>
      </c>
      <c r="L47" s="31">
        <f t="shared" si="4"/>
        <v>70.604225999999997</v>
      </c>
      <c r="M47" s="31">
        <f t="shared" si="0"/>
        <v>18.8277936</v>
      </c>
      <c r="N47" s="32">
        <f t="shared" si="1"/>
        <v>9.4138967999999998</v>
      </c>
      <c r="O47" s="32">
        <f t="shared" si="2"/>
        <v>9.4138967999999998</v>
      </c>
      <c r="P47" s="29">
        <f t="shared" si="3"/>
        <v>32.948638799999998</v>
      </c>
    </row>
    <row r="48" spans="1:16">
      <c r="A48" s="27">
        <v>46</v>
      </c>
      <c r="B48" s="77" t="s">
        <v>113</v>
      </c>
      <c r="C48" s="74" t="s">
        <v>59</v>
      </c>
      <c r="D48" s="44">
        <v>1003110049279</v>
      </c>
      <c r="E48" s="35">
        <v>5310019</v>
      </c>
      <c r="F48" s="34">
        <v>532.92999999999995</v>
      </c>
      <c r="G48" s="29">
        <f t="shared" si="5"/>
        <v>39.330233999999997</v>
      </c>
      <c r="H48" s="34">
        <v>57.37</v>
      </c>
      <c r="I48" s="31">
        <f t="shared" si="6"/>
        <v>436.22976599999993</v>
      </c>
      <c r="J48" s="75" t="s">
        <v>13</v>
      </c>
      <c r="K48" s="76" t="s">
        <v>14</v>
      </c>
      <c r="L48" s="31">
        <f t="shared" si="4"/>
        <v>65.434464899999981</v>
      </c>
      <c r="M48" s="31">
        <f t="shared" si="0"/>
        <v>17.449190639999998</v>
      </c>
      <c r="N48" s="32">
        <f t="shared" si="1"/>
        <v>8.7245953199999988</v>
      </c>
      <c r="O48" s="32">
        <f t="shared" si="2"/>
        <v>8.7245953199999988</v>
      </c>
      <c r="P48" s="29">
        <f t="shared" si="3"/>
        <v>30.536083619999985</v>
      </c>
    </row>
    <row r="49" spans="1:16">
      <c r="A49" s="27">
        <v>47</v>
      </c>
      <c r="B49" s="79" t="s">
        <v>114</v>
      </c>
      <c r="C49" s="78" t="s">
        <v>59</v>
      </c>
      <c r="D49" s="44">
        <v>1003110050584</v>
      </c>
      <c r="E49" s="35">
        <v>5311466</v>
      </c>
      <c r="F49" s="34">
        <v>519</v>
      </c>
      <c r="G49" s="29">
        <f t="shared" si="5"/>
        <v>38.302199999999999</v>
      </c>
      <c r="H49" s="34">
        <v>55.77</v>
      </c>
      <c r="I49" s="31">
        <f t="shared" si="6"/>
        <v>424.92780000000005</v>
      </c>
      <c r="J49" s="80" t="s">
        <v>13</v>
      </c>
      <c r="K49" s="81" t="s">
        <v>36</v>
      </c>
      <c r="L49" s="31">
        <f t="shared" si="4"/>
        <v>63.739170000000001</v>
      </c>
      <c r="M49" s="31">
        <f t="shared" si="0"/>
        <v>16.997112000000001</v>
      </c>
      <c r="N49" s="32">
        <f t="shared" si="1"/>
        <v>8.4985560000000007</v>
      </c>
      <c r="O49" s="32">
        <f t="shared" si="2"/>
        <v>8.4985560000000007</v>
      </c>
      <c r="P49" s="29">
        <f t="shared" si="3"/>
        <v>29.744945999999999</v>
      </c>
    </row>
    <row r="50" spans="1:16">
      <c r="A50" s="27">
        <v>48</v>
      </c>
      <c r="B50" s="326" t="s">
        <v>115</v>
      </c>
      <c r="C50" s="327" t="s">
        <v>59</v>
      </c>
      <c r="D50" s="328">
        <v>51772025423101</v>
      </c>
      <c r="E50" s="327">
        <v>5310632</v>
      </c>
      <c r="F50" s="294">
        <v>489.33</v>
      </c>
      <c r="G50" s="294">
        <f t="shared" si="5"/>
        <v>36.112554000000003</v>
      </c>
      <c r="H50" s="294">
        <v>48.93</v>
      </c>
      <c r="I50" s="293">
        <f t="shared" si="6"/>
        <v>404.28744599999999</v>
      </c>
      <c r="J50" s="329" t="s">
        <v>16</v>
      </c>
      <c r="K50" s="294" t="s">
        <v>14</v>
      </c>
      <c r="L50" s="293">
        <f t="shared" si="4"/>
        <v>60.643116899999995</v>
      </c>
      <c r="M50" s="293">
        <f t="shared" si="0"/>
        <v>16.171497840000001</v>
      </c>
      <c r="N50" s="296">
        <f t="shared" si="1"/>
        <v>8.0857489200000003</v>
      </c>
      <c r="O50" s="296">
        <f t="shared" si="2"/>
        <v>8.0857489200000003</v>
      </c>
      <c r="P50" s="294">
        <f t="shared" si="3"/>
        <v>28.300121219999994</v>
      </c>
    </row>
    <row r="51" spans="1:16">
      <c r="A51" s="27">
        <v>49</v>
      </c>
      <c r="B51" s="79" t="s">
        <v>27</v>
      </c>
      <c r="C51" s="78" t="s">
        <v>29</v>
      </c>
      <c r="D51" s="44">
        <v>51772025423101</v>
      </c>
      <c r="E51" s="78" t="s">
        <v>116</v>
      </c>
      <c r="F51" s="34">
        <v>755.85</v>
      </c>
      <c r="G51" s="29">
        <f t="shared" si="5"/>
        <v>55.781730000000003</v>
      </c>
      <c r="H51" s="34">
        <v>188.96</v>
      </c>
      <c r="I51" s="31">
        <f t="shared" si="6"/>
        <v>511.10826999999995</v>
      </c>
      <c r="J51" s="80" t="s">
        <v>13</v>
      </c>
      <c r="K51" s="81" t="s">
        <v>41</v>
      </c>
      <c r="L51" s="31">
        <f t="shared" si="4"/>
        <v>76.666240499999986</v>
      </c>
      <c r="M51" s="31">
        <f t="shared" si="0"/>
        <v>20.444330799999999</v>
      </c>
      <c r="N51" s="32">
        <f t="shared" si="1"/>
        <v>10.2221654</v>
      </c>
      <c r="O51" s="32">
        <f t="shared" si="2"/>
        <v>10.2221654</v>
      </c>
      <c r="P51" s="29">
        <f t="shared" si="3"/>
        <v>35.77757889999998</v>
      </c>
    </row>
    <row r="52" spans="1:16">
      <c r="A52" s="27">
        <v>50</v>
      </c>
      <c r="B52" s="85" t="s">
        <v>117</v>
      </c>
      <c r="C52" s="82" t="s">
        <v>35</v>
      </c>
      <c r="D52" s="44">
        <v>2023765655</v>
      </c>
      <c r="E52" s="35">
        <v>5314360</v>
      </c>
      <c r="F52" s="34">
        <v>971.71</v>
      </c>
      <c r="G52" s="29">
        <f t="shared" si="5"/>
        <v>71.712198000000001</v>
      </c>
      <c r="H52" s="34">
        <v>120.2</v>
      </c>
      <c r="I52" s="31">
        <f t="shared" si="6"/>
        <v>779.79780200000005</v>
      </c>
      <c r="J52" s="83" t="s">
        <v>13</v>
      </c>
      <c r="K52" s="84" t="s">
        <v>25</v>
      </c>
      <c r="L52" s="31">
        <f t="shared" si="4"/>
        <v>116.9696703</v>
      </c>
      <c r="M52" s="31">
        <f t="shared" si="0"/>
        <v>31.191912080000002</v>
      </c>
      <c r="N52" s="32">
        <f t="shared" si="1"/>
        <v>15.595956040000001</v>
      </c>
      <c r="O52" s="32">
        <f t="shared" si="2"/>
        <v>15.595956040000001</v>
      </c>
      <c r="P52" s="29">
        <f t="shared" si="3"/>
        <v>54.585846140000001</v>
      </c>
    </row>
    <row r="53" spans="1:16">
      <c r="A53" s="27">
        <v>51</v>
      </c>
      <c r="B53" s="85" t="s">
        <v>28</v>
      </c>
      <c r="C53" s="82" t="s">
        <v>35</v>
      </c>
      <c r="D53" s="44">
        <v>1003110051976</v>
      </c>
      <c r="E53" s="82" t="s">
        <v>118</v>
      </c>
      <c r="F53" s="34">
        <v>636.6</v>
      </c>
      <c r="G53" s="29">
        <f t="shared" si="5"/>
        <v>46.981080000000006</v>
      </c>
      <c r="H53" s="34">
        <v>0</v>
      </c>
      <c r="I53" s="31">
        <f t="shared" si="6"/>
        <v>589.61892</v>
      </c>
      <c r="J53" s="83" t="s">
        <v>13</v>
      </c>
      <c r="K53" s="84" t="s">
        <v>17</v>
      </c>
      <c r="L53" s="31">
        <f t="shared" si="4"/>
        <v>88.442837999999995</v>
      </c>
      <c r="M53" s="31">
        <f t="shared" si="0"/>
        <v>23.584756800000001</v>
      </c>
      <c r="N53" s="32">
        <f t="shared" si="1"/>
        <v>11.7923784</v>
      </c>
      <c r="O53" s="32">
        <f t="shared" si="2"/>
        <v>11.7923784</v>
      </c>
      <c r="P53" s="29">
        <f t="shared" si="3"/>
        <v>41.273324399999979</v>
      </c>
    </row>
    <row r="54" spans="1:16">
      <c r="A54" s="27">
        <v>52</v>
      </c>
      <c r="B54" s="85" t="s">
        <v>73</v>
      </c>
      <c r="C54" s="82" t="s">
        <v>29</v>
      </c>
      <c r="D54" s="44">
        <v>34629458</v>
      </c>
      <c r="E54" s="82" t="s">
        <v>119</v>
      </c>
      <c r="F54" s="34">
        <v>1079.43</v>
      </c>
      <c r="G54" s="29">
        <f t="shared" si="5"/>
        <v>79.661934000000016</v>
      </c>
      <c r="H54" s="34">
        <v>269.82</v>
      </c>
      <c r="I54" s="31">
        <f t="shared" si="6"/>
        <v>729.94806600000015</v>
      </c>
      <c r="J54" s="83" t="s">
        <v>13</v>
      </c>
      <c r="K54" s="84" t="s">
        <v>41</v>
      </c>
      <c r="L54" s="31">
        <f t="shared" si="4"/>
        <v>109.49220990000002</v>
      </c>
      <c r="M54" s="31">
        <f t="shared" si="0"/>
        <v>29.197922640000005</v>
      </c>
      <c r="N54" s="32">
        <f t="shared" si="1"/>
        <v>14.598961320000003</v>
      </c>
      <c r="O54" s="32">
        <f t="shared" si="2"/>
        <v>14.598961320000003</v>
      </c>
      <c r="P54" s="29">
        <f t="shared" si="3"/>
        <v>51.096364620000017</v>
      </c>
    </row>
    <row r="55" spans="1:16">
      <c r="A55" s="27">
        <v>53</v>
      </c>
      <c r="B55" s="89" t="s">
        <v>120</v>
      </c>
      <c r="C55" s="86" t="s">
        <v>59</v>
      </c>
      <c r="D55" s="44">
        <v>2460542</v>
      </c>
      <c r="E55" s="35">
        <v>5313501</v>
      </c>
      <c r="F55" s="34">
        <v>459.69</v>
      </c>
      <c r="G55" s="29">
        <f t="shared" si="5"/>
        <v>33.925122000000002</v>
      </c>
      <c r="H55" s="34">
        <v>45.97</v>
      </c>
      <c r="I55" s="31">
        <f t="shared" si="6"/>
        <v>379.79487800000004</v>
      </c>
      <c r="J55" s="87" t="s">
        <v>16</v>
      </c>
      <c r="K55" s="88" t="s">
        <v>49</v>
      </c>
      <c r="L55" s="31">
        <f t="shared" si="4"/>
        <v>56.969231700000002</v>
      </c>
      <c r="M55" s="31">
        <f t="shared" si="0"/>
        <v>15.191795120000002</v>
      </c>
      <c r="N55" s="32">
        <f t="shared" si="1"/>
        <v>7.5958975600000009</v>
      </c>
      <c r="O55" s="32">
        <f t="shared" si="2"/>
        <v>7.5958975600000009</v>
      </c>
      <c r="P55" s="29">
        <f t="shared" si="3"/>
        <v>26.585641460000002</v>
      </c>
    </row>
    <row r="56" spans="1:16">
      <c r="A56" s="27">
        <v>54</v>
      </c>
      <c r="B56" s="89" t="s">
        <v>121</v>
      </c>
      <c r="C56" s="86" t="s">
        <v>59</v>
      </c>
      <c r="D56" s="44">
        <v>2461964</v>
      </c>
      <c r="E56" s="35">
        <v>5313462</v>
      </c>
      <c r="F56" s="34">
        <v>510.44</v>
      </c>
      <c r="G56" s="29">
        <f t="shared" si="5"/>
        <v>37.670472000000004</v>
      </c>
      <c r="H56" s="34">
        <v>53.73</v>
      </c>
      <c r="I56" s="31">
        <f t="shared" si="6"/>
        <v>419.03952799999996</v>
      </c>
      <c r="J56" s="87" t="s">
        <v>16</v>
      </c>
      <c r="K56" s="88" t="s">
        <v>40</v>
      </c>
      <c r="L56" s="31">
        <f t="shared" si="4"/>
        <v>62.855929199999991</v>
      </c>
      <c r="M56" s="31">
        <f t="shared" si="0"/>
        <v>16.761581119999999</v>
      </c>
      <c r="N56" s="32">
        <f t="shared" si="1"/>
        <v>8.3807905599999994</v>
      </c>
      <c r="O56" s="32">
        <f t="shared" si="2"/>
        <v>8.3807905599999994</v>
      </c>
      <c r="P56" s="29">
        <f t="shared" si="3"/>
        <v>29.332766959999987</v>
      </c>
    </row>
    <row r="57" spans="1:16">
      <c r="A57" s="27">
        <v>55</v>
      </c>
      <c r="B57" s="89" t="s">
        <v>122</v>
      </c>
      <c r="C57" s="86" t="s">
        <v>59</v>
      </c>
      <c r="D57" s="44">
        <v>51772025423101</v>
      </c>
      <c r="E57" s="35">
        <v>5314122</v>
      </c>
      <c r="F57" s="34">
        <v>653.04</v>
      </c>
      <c r="G57" s="29">
        <f t="shared" si="5"/>
        <v>48.194352000000002</v>
      </c>
      <c r="H57" s="34">
        <v>163.26</v>
      </c>
      <c r="I57" s="31">
        <f t="shared" si="6"/>
        <v>441.58564799999999</v>
      </c>
      <c r="J57" s="87" t="s">
        <v>13</v>
      </c>
      <c r="K57" s="88" t="s">
        <v>33</v>
      </c>
      <c r="L57" s="31">
        <f t="shared" si="4"/>
        <v>66.23784719999999</v>
      </c>
      <c r="M57" s="31">
        <f t="shared" si="0"/>
        <v>17.663425920000002</v>
      </c>
      <c r="N57" s="32">
        <f t="shared" si="1"/>
        <v>8.8317129600000008</v>
      </c>
      <c r="O57" s="32">
        <f t="shared" si="2"/>
        <v>8.8317129600000008</v>
      </c>
      <c r="P57" s="29">
        <f t="shared" si="3"/>
        <v>30.91099535999999</v>
      </c>
    </row>
    <row r="58" spans="1:16">
      <c r="A58" s="27">
        <v>56</v>
      </c>
      <c r="B58" s="89" t="s">
        <v>22</v>
      </c>
      <c r="C58" s="86" t="s">
        <v>56</v>
      </c>
      <c r="D58" s="163" t="s">
        <v>153</v>
      </c>
      <c r="E58" s="86" t="s">
        <v>123</v>
      </c>
      <c r="F58" s="34">
        <v>656.6</v>
      </c>
      <c r="G58" s="29">
        <f t="shared" si="5"/>
        <v>48.457080000000005</v>
      </c>
      <c r="H58" s="34">
        <v>164.15</v>
      </c>
      <c r="I58" s="31">
        <f t="shared" si="6"/>
        <v>443.99292000000003</v>
      </c>
      <c r="J58" s="87" t="s">
        <v>16</v>
      </c>
      <c r="K58" s="88" t="s">
        <v>23</v>
      </c>
      <c r="L58" s="31">
        <f t="shared" si="4"/>
        <v>66.598938000000004</v>
      </c>
      <c r="M58" s="31">
        <f t="shared" si="0"/>
        <v>17.759716800000003</v>
      </c>
      <c r="N58" s="32">
        <f t="shared" si="1"/>
        <v>8.8798584000000016</v>
      </c>
      <c r="O58" s="32">
        <f t="shared" si="2"/>
        <v>8.8798584000000016</v>
      </c>
      <c r="P58" s="29">
        <f t="shared" si="3"/>
        <v>31.07950439999999</v>
      </c>
    </row>
    <row r="59" spans="1:16">
      <c r="A59" s="27">
        <v>57</v>
      </c>
      <c r="B59" s="89" t="s">
        <v>124</v>
      </c>
      <c r="C59" s="86" t="s">
        <v>35</v>
      </c>
      <c r="D59" s="14">
        <v>1003110060032</v>
      </c>
      <c r="E59" s="35">
        <v>5302745</v>
      </c>
      <c r="F59" s="34">
        <v>645.22</v>
      </c>
      <c r="G59" s="29">
        <f t="shared" si="5"/>
        <v>47.617236000000005</v>
      </c>
      <c r="H59" s="34">
        <v>215.08</v>
      </c>
      <c r="I59" s="31">
        <f t="shared" si="6"/>
        <v>382.52276399999994</v>
      </c>
      <c r="J59" s="87" t="s">
        <v>13</v>
      </c>
      <c r="K59" s="88" t="s">
        <v>24</v>
      </c>
      <c r="L59" s="31">
        <f t="shared" si="4"/>
        <v>57.378414599999992</v>
      </c>
      <c r="M59" s="31">
        <f t="shared" si="0"/>
        <v>15.300910559999998</v>
      </c>
      <c r="N59" s="32">
        <f t="shared" si="1"/>
        <v>7.6504552799999992</v>
      </c>
      <c r="O59" s="32">
        <f t="shared" si="2"/>
        <v>7.6504552799999992</v>
      </c>
      <c r="P59" s="29">
        <f t="shared" si="3"/>
        <v>26.776593479999992</v>
      </c>
    </row>
    <row r="60" spans="1:16">
      <c r="A60" s="27">
        <v>58</v>
      </c>
      <c r="B60" s="89" t="s">
        <v>125</v>
      </c>
      <c r="C60" s="86" t="s">
        <v>59</v>
      </c>
      <c r="D60" s="15">
        <v>51772025423101</v>
      </c>
      <c r="E60" s="35">
        <v>5316433</v>
      </c>
      <c r="F60" s="34">
        <v>839.14</v>
      </c>
      <c r="G60" s="29">
        <f t="shared" si="5"/>
        <v>61.928532000000004</v>
      </c>
      <c r="H60" s="34">
        <v>209.78</v>
      </c>
      <c r="I60" s="31">
        <f t="shared" si="6"/>
        <v>567.431468</v>
      </c>
      <c r="J60" s="87" t="s">
        <v>13</v>
      </c>
      <c r="K60" s="88" t="s">
        <v>26</v>
      </c>
      <c r="L60" s="31">
        <f t="shared" si="4"/>
        <v>85.114720199999994</v>
      </c>
      <c r="M60" s="31">
        <f t="shared" si="0"/>
        <v>22.697258720000001</v>
      </c>
      <c r="N60" s="32">
        <f t="shared" si="1"/>
        <v>11.34862936</v>
      </c>
      <c r="O60" s="32">
        <f t="shared" si="2"/>
        <v>11.34862936</v>
      </c>
      <c r="P60" s="29">
        <f t="shared" si="3"/>
        <v>39.720202759999992</v>
      </c>
    </row>
    <row r="61" spans="1:16">
      <c r="A61" s="27">
        <v>59</v>
      </c>
      <c r="B61" s="93" t="s">
        <v>126</v>
      </c>
      <c r="C61" s="90" t="s">
        <v>29</v>
      </c>
      <c r="D61" s="44">
        <v>2464890</v>
      </c>
      <c r="E61" s="35">
        <v>5310112</v>
      </c>
      <c r="F61" s="34">
        <v>605.20000000000005</v>
      </c>
      <c r="G61" s="29">
        <f t="shared" si="5"/>
        <v>44.663760000000003</v>
      </c>
      <c r="H61" s="34">
        <v>53.09</v>
      </c>
      <c r="I61" s="31">
        <f t="shared" si="6"/>
        <v>507.44623999999999</v>
      </c>
      <c r="J61" s="91" t="s">
        <v>38</v>
      </c>
      <c r="K61" s="92" t="s">
        <v>14</v>
      </c>
      <c r="L61" s="31">
        <f t="shared" si="4"/>
        <v>76.116935999999995</v>
      </c>
      <c r="M61" s="31">
        <f t="shared" si="0"/>
        <v>20.297849599999999</v>
      </c>
      <c r="N61" s="32">
        <f t="shared" si="1"/>
        <v>10.1489248</v>
      </c>
      <c r="O61" s="32">
        <f t="shared" si="2"/>
        <v>10.1489248</v>
      </c>
      <c r="P61" s="29">
        <f t="shared" si="3"/>
        <v>35.521236799999997</v>
      </c>
    </row>
    <row r="62" spans="1:16">
      <c r="A62" s="27">
        <v>60</v>
      </c>
      <c r="B62" s="93" t="s">
        <v>127</v>
      </c>
      <c r="C62" s="90" t="s">
        <v>59</v>
      </c>
      <c r="D62" s="44">
        <v>1003110063798</v>
      </c>
      <c r="E62" s="35">
        <v>5317997</v>
      </c>
      <c r="F62" s="34">
        <v>545.25</v>
      </c>
      <c r="G62" s="29">
        <f t="shared" si="5"/>
        <v>40.239450000000005</v>
      </c>
      <c r="H62" s="34">
        <v>0</v>
      </c>
      <c r="I62" s="31">
        <f t="shared" si="6"/>
        <v>505.01054999999997</v>
      </c>
      <c r="J62" s="91" t="s">
        <v>13</v>
      </c>
      <c r="K62" s="92" t="s">
        <v>14</v>
      </c>
      <c r="L62" s="31">
        <f t="shared" si="4"/>
        <v>75.751582499999998</v>
      </c>
      <c r="M62" s="31">
        <f t="shared" si="0"/>
        <v>20.200422</v>
      </c>
      <c r="N62" s="32">
        <f t="shared" si="1"/>
        <v>10.100211</v>
      </c>
      <c r="O62" s="32">
        <f t="shared" si="2"/>
        <v>10.100211</v>
      </c>
      <c r="P62" s="29">
        <f t="shared" si="3"/>
        <v>35.350738499999991</v>
      </c>
    </row>
    <row r="63" spans="1:16">
      <c r="A63" s="27">
        <v>61</v>
      </c>
      <c r="B63" s="93" t="s">
        <v>128</v>
      </c>
      <c r="C63" s="90" t="s">
        <v>59</v>
      </c>
      <c r="D63" s="44">
        <v>1003110062645</v>
      </c>
      <c r="E63" s="35">
        <v>5317576</v>
      </c>
      <c r="F63" s="34">
        <v>458.89</v>
      </c>
      <c r="G63" s="29">
        <f t="shared" si="5"/>
        <v>33.866081999999999</v>
      </c>
      <c r="H63" s="34">
        <v>121.22</v>
      </c>
      <c r="I63" s="31">
        <f t="shared" si="6"/>
        <v>303.80391799999995</v>
      </c>
      <c r="J63" s="91" t="s">
        <v>13</v>
      </c>
      <c r="K63" s="92" t="s">
        <v>41</v>
      </c>
      <c r="L63" s="31">
        <f t="shared" si="4"/>
        <v>45.57058769999999</v>
      </c>
      <c r="M63" s="31">
        <f t="shared" si="0"/>
        <v>12.152156719999999</v>
      </c>
      <c r="N63" s="32">
        <f t="shared" si="1"/>
        <v>6.0760783599999995</v>
      </c>
      <c r="O63" s="32">
        <f t="shared" si="2"/>
        <v>6.0760783599999995</v>
      </c>
      <c r="P63" s="29">
        <f t="shared" si="3"/>
        <v>21.266274259999989</v>
      </c>
    </row>
    <row r="64" spans="1:16">
      <c r="A64" s="27">
        <v>62</v>
      </c>
      <c r="B64" s="97" t="s">
        <v>129</v>
      </c>
      <c r="C64" s="94" t="s">
        <v>59</v>
      </c>
      <c r="D64" s="44">
        <v>51772025423101</v>
      </c>
      <c r="E64" s="35">
        <v>5316291</v>
      </c>
      <c r="F64" s="34">
        <v>486.8</v>
      </c>
      <c r="G64" s="29">
        <f t="shared" si="5"/>
        <v>35.925840000000001</v>
      </c>
      <c r="H64" s="34">
        <v>48.68</v>
      </c>
      <c r="I64" s="31">
        <f t="shared" si="6"/>
        <v>402.19416000000001</v>
      </c>
      <c r="J64" s="95" t="s">
        <v>38</v>
      </c>
      <c r="K64" s="96" t="s">
        <v>26</v>
      </c>
      <c r="L64" s="31">
        <f t="shared" si="4"/>
        <v>60.329124</v>
      </c>
      <c r="M64" s="31">
        <f t="shared" si="0"/>
        <v>16.0877664</v>
      </c>
      <c r="N64" s="32">
        <f t="shared" si="1"/>
        <v>8.0438831999999998</v>
      </c>
      <c r="O64" s="32">
        <f t="shared" si="2"/>
        <v>8.0438831999999998</v>
      </c>
      <c r="P64" s="29">
        <f t="shared" si="3"/>
        <v>28.153591200000005</v>
      </c>
    </row>
    <row r="65" spans="1:16">
      <c r="A65" s="27">
        <v>63</v>
      </c>
      <c r="B65" s="101" t="s">
        <v>130</v>
      </c>
      <c r="C65" s="98" t="s">
        <v>56</v>
      </c>
      <c r="D65" s="44">
        <v>1003110076056</v>
      </c>
      <c r="E65" s="35">
        <v>5322541</v>
      </c>
      <c r="F65" s="34">
        <v>552.84</v>
      </c>
      <c r="G65" s="29">
        <f t="shared" si="5"/>
        <v>40.799592000000004</v>
      </c>
      <c r="H65" s="34">
        <v>68.19</v>
      </c>
      <c r="I65" s="31">
        <f t="shared" si="6"/>
        <v>443.85040800000007</v>
      </c>
      <c r="J65" s="99" t="s">
        <v>16</v>
      </c>
      <c r="K65" s="100" t="s">
        <v>40</v>
      </c>
      <c r="L65" s="31">
        <f t="shared" si="4"/>
        <v>66.577561200000005</v>
      </c>
      <c r="M65" s="31">
        <f t="shared" si="0"/>
        <v>17.754016320000002</v>
      </c>
      <c r="N65" s="32">
        <f t="shared" si="1"/>
        <v>8.8770081600000008</v>
      </c>
      <c r="O65" s="32">
        <f t="shared" si="2"/>
        <v>8.8770081600000008</v>
      </c>
      <c r="P65" s="29">
        <f t="shared" si="3"/>
        <v>31.069528559999995</v>
      </c>
    </row>
    <row r="66" spans="1:16">
      <c r="A66" s="27">
        <v>64</v>
      </c>
      <c r="B66" s="105" t="s">
        <v>131</v>
      </c>
      <c r="C66" s="102" t="s">
        <v>132</v>
      </c>
      <c r="D66" s="44">
        <v>2470742</v>
      </c>
      <c r="E66" s="35">
        <v>5327453</v>
      </c>
      <c r="F66" s="34">
        <v>1024.83</v>
      </c>
      <c r="G66" s="29">
        <f t="shared" si="5"/>
        <v>75.632453999999996</v>
      </c>
      <c r="H66" s="34">
        <v>89.9</v>
      </c>
      <c r="I66" s="31">
        <f t="shared" si="6"/>
        <v>859.2975459999999</v>
      </c>
      <c r="J66" s="103" t="s">
        <v>38</v>
      </c>
      <c r="K66" s="104" t="s">
        <v>17</v>
      </c>
      <c r="L66" s="31">
        <f t="shared" si="4"/>
        <v>128.89463189999998</v>
      </c>
      <c r="M66" s="31">
        <f t="shared" si="0"/>
        <v>34.37190184</v>
      </c>
      <c r="N66" s="32">
        <f t="shared" si="1"/>
        <v>17.18595092</v>
      </c>
      <c r="O66" s="32">
        <f t="shared" si="2"/>
        <v>17.18595092</v>
      </c>
      <c r="P66" s="29">
        <f t="shared" si="3"/>
        <v>60.150828219999994</v>
      </c>
    </row>
    <row r="67" spans="1:16">
      <c r="A67" s="27">
        <v>65</v>
      </c>
      <c r="B67" s="105" t="s">
        <v>133</v>
      </c>
      <c r="C67" s="102" t="s">
        <v>59</v>
      </c>
      <c r="D67" s="44">
        <v>51772025423101</v>
      </c>
      <c r="E67" s="35">
        <v>5293167</v>
      </c>
      <c r="F67" s="34">
        <v>406.05</v>
      </c>
      <c r="G67" s="29">
        <f t="shared" si="5"/>
        <v>29.966490000000004</v>
      </c>
      <c r="H67" s="34">
        <v>40.61</v>
      </c>
      <c r="I67" s="31">
        <f t="shared" si="6"/>
        <v>335.47350999999998</v>
      </c>
      <c r="J67" s="103" t="s">
        <v>38</v>
      </c>
      <c r="K67" s="104" t="s">
        <v>26</v>
      </c>
      <c r="L67" s="31">
        <f t="shared" si="4"/>
        <v>50.321026499999995</v>
      </c>
      <c r="M67" s="31">
        <f t="shared" ref="M67:M86" si="7">I67*4%</f>
        <v>13.418940399999999</v>
      </c>
      <c r="N67" s="32">
        <f t="shared" ref="N67:N86" si="8">I67*2%</f>
        <v>6.7094701999999993</v>
      </c>
      <c r="O67" s="32">
        <f t="shared" ref="O67:O86" si="9">I67*2%</f>
        <v>6.7094701999999993</v>
      </c>
      <c r="P67" s="29">
        <f t="shared" ref="P67:P86" si="10">L67-M67-N67-O67</f>
        <v>23.483145700000001</v>
      </c>
    </row>
    <row r="68" spans="1:16">
      <c r="A68" s="27">
        <v>66</v>
      </c>
      <c r="B68" s="105" t="s">
        <v>134</v>
      </c>
      <c r="C68" s="102" t="s">
        <v>135</v>
      </c>
      <c r="D68" s="44">
        <v>2470041</v>
      </c>
      <c r="E68" s="35">
        <v>5261936</v>
      </c>
      <c r="F68" s="34">
        <v>648.5</v>
      </c>
      <c r="G68" s="29">
        <f t="shared" si="5"/>
        <v>47.859300000000005</v>
      </c>
      <c r="H68" s="34">
        <v>170.66</v>
      </c>
      <c r="I68" s="31">
        <f t="shared" si="6"/>
        <v>429.98070000000007</v>
      </c>
      <c r="J68" s="103" t="s">
        <v>38</v>
      </c>
      <c r="K68" s="104" t="s">
        <v>17</v>
      </c>
      <c r="L68" s="31">
        <f t="shared" ref="L68:L73" si="11">I68*15%</f>
        <v>64.497105000000005</v>
      </c>
      <c r="M68" s="31">
        <f t="shared" si="7"/>
        <v>17.199228000000002</v>
      </c>
      <c r="N68" s="63">
        <f t="shared" si="8"/>
        <v>8.5996140000000008</v>
      </c>
      <c r="O68" s="63">
        <f t="shared" si="9"/>
        <v>8.5996140000000008</v>
      </c>
      <c r="P68" s="64">
        <f t="shared" si="10"/>
        <v>30.098648999999995</v>
      </c>
    </row>
    <row r="69" spans="1:16">
      <c r="A69" s="27">
        <v>67</v>
      </c>
      <c r="B69" s="109" t="s">
        <v>134</v>
      </c>
      <c r="C69" s="106" t="s">
        <v>59</v>
      </c>
      <c r="D69" s="162">
        <v>2476244</v>
      </c>
      <c r="E69" s="35">
        <v>5327050</v>
      </c>
      <c r="F69" s="34">
        <v>436.7</v>
      </c>
      <c r="G69" s="64">
        <f t="shared" ref="G69:G86" si="12">F69*7.38%</f>
        <v>32.228459999999998</v>
      </c>
      <c r="H69" s="34">
        <v>114.93</v>
      </c>
      <c r="I69" s="65">
        <f t="shared" ref="I69:I86" si="13">F69-G69-H69</f>
        <v>289.54154</v>
      </c>
      <c r="J69" s="107" t="s">
        <v>38</v>
      </c>
      <c r="K69" s="108" t="s">
        <v>17</v>
      </c>
      <c r="L69" s="31">
        <f t="shared" si="11"/>
        <v>43.431230999999997</v>
      </c>
      <c r="M69" s="31">
        <f t="shared" si="7"/>
        <v>11.5816616</v>
      </c>
      <c r="N69" s="63">
        <f t="shared" si="8"/>
        <v>5.7908308000000002</v>
      </c>
      <c r="O69" s="63">
        <f t="shared" si="9"/>
        <v>5.7908308000000002</v>
      </c>
      <c r="P69" s="64">
        <f t="shared" si="10"/>
        <v>20.267907799999996</v>
      </c>
    </row>
    <row r="70" spans="1:16">
      <c r="A70" s="27">
        <v>68</v>
      </c>
      <c r="B70" s="339" t="s">
        <v>136</v>
      </c>
      <c r="C70" s="327" t="s">
        <v>35</v>
      </c>
      <c r="D70" s="328">
        <v>1003110084896</v>
      </c>
      <c r="E70" s="327">
        <v>5264521</v>
      </c>
      <c r="F70" s="294">
        <v>683.61</v>
      </c>
      <c r="G70" s="294">
        <f t="shared" si="12"/>
        <v>50.450418000000006</v>
      </c>
      <c r="H70" s="294">
        <v>84.32</v>
      </c>
      <c r="I70" s="293">
        <f t="shared" si="13"/>
        <v>548.83958200000006</v>
      </c>
      <c r="J70" s="329" t="s">
        <v>13</v>
      </c>
      <c r="K70" s="294" t="s">
        <v>53</v>
      </c>
      <c r="L70" s="293">
        <f t="shared" si="11"/>
        <v>82.325937300000007</v>
      </c>
      <c r="M70" s="293">
        <f t="shared" si="7"/>
        <v>21.953583280000004</v>
      </c>
      <c r="N70" s="296">
        <f t="shared" si="8"/>
        <v>10.976791640000002</v>
      </c>
      <c r="O70" s="296">
        <f t="shared" si="9"/>
        <v>10.976791640000002</v>
      </c>
      <c r="P70" s="294">
        <f t="shared" si="10"/>
        <v>38.418770739999999</v>
      </c>
    </row>
    <row r="71" spans="1:16">
      <c r="A71" s="27">
        <v>69</v>
      </c>
      <c r="B71" s="110" t="s">
        <v>137</v>
      </c>
      <c r="C71" s="111" t="s">
        <v>59</v>
      </c>
      <c r="D71" s="44">
        <v>1003110088965</v>
      </c>
      <c r="E71" s="35">
        <v>5331387</v>
      </c>
      <c r="F71" s="34">
        <v>495.19</v>
      </c>
      <c r="G71" s="29">
        <f t="shared" si="12"/>
        <v>36.545022000000003</v>
      </c>
      <c r="H71" s="34">
        <v>53.21</v>
      </c>
      <c r="I71" s="31">
        <f t="shared" si="13"/>
        <v>405.434978</v>
      </c>
      <c r="J71" s="112" t="s">
        <v>13</v>
      </c>
      <c r="K71" s="113" t="s">
        <v>33</v>
      </c>
      <c r="L71" s="31">
        <f t="shared" si="11"/>
        <v>60.815246699999996</v>
      </c>
      <c r="M71" s="31">
        <f t="shared" si="7"/>
        <v>16.21739912</v>
      </c>
      <c r="N71" s="32">
        <f t="shared" si="8"/>
        <v>8.1086995599999998</v>
      </c>
      <c r="O71" s="32">
        <f t="shared" si="9"/>
        <v>8.1086995599999998</v>
      </c>
      <c r="P71" s="29">
        <f t="shared" si="10"/>
        <v>28.380448459999997</v>
      </c>
    </row>
    <row r="72" spans="1:16">
      <c r="A72" s="27">
        <v>70</v>
      </c>
      <c r="B72" s="110" t="s">
        <v>34</v>
      </c>
      <c r="C72" s="111" t="s">
        <v>59</v>
      </c>
      <c r="D72" s="162">
        <v>1003110089833</v>
      </c>
      <c r="E72" s="35">
        <v>5332110</v>
      </c>
      <c r="F72" s="34">
        <v>513.80999999999995</v>
      </c>
      <c r="G72" s="29">
        <f t="shared" si="12"/>
        <v>37.919177999999995</v>
      </c>
      <c r="H72" s="34">
        <v>51.38</v>
      </c>
      <c r="I72" s="31">
        <f t="shared" si="13"/>
        <v>424.51082199999996</v>
      </c>
      <c r="J72" s="112" t="s">
        <v>16</v>
      </c>
      <c r="K72" s="113" t="s">
        <v>17</v>
      </c>
      <c r="L72" s="31">
        <f t="shared" si="11"/>
        <v>63.676623299999989</v>
      </c>
      <c r="M72" s="31">
        <f t="shared" si="7"/>
        <v>16.980432879999999</v>
      </c>
      <c r="N72" s="32">
        <f t="shared" si="8"/>
        <v>8.4902164399999993</v>
      </c>
      <c r="O72" s="32">
        <f t="shared" si="9"/>
        <v>8.4902164399999993</v>
      </c>
      <c r="P72" s="29">
        <f t="shared" si="10"/>
        <v>29.715757539999998</v>
      </c>
    </row>
    <row r="73" spans="1:16">
      <c r="A73" s="27">
        <v>71</v>
      </c>
      <c r="B73" s="110" t="s">
        <v>138</v>
      </c>
      <c r="C73" s="111" t="s">
        <v>18</v>
      </c>
      <c r="D73" s="44">
        <v>1003110089833</v>
      </c>
      <c r="E73" s="35">
        <v>5328360</v>
      </c>
      <c r="F73" s="34">
        <v>557.26</v>
      </c>
      <c r="G73" s="29">
        <f t="shared" si="12"/>
        <v>41.125788</v>
      </c>
      <c r="H73" s="34">
        <v>185.76</v>
      </c>
      <c r="I73" s="31">
        <f t="shared" si="13"/>
        <v>330.37421199999994</v>
      </c>
      <c r="J73" s="112" t="s">
        <v>13</v>
      </c>
      <c r="K73" s="113" t="s">
        <v>25</v>
      </c>
      <c r="L73" s="31">
        <f t="shared" si="11"/>
        <v>49.556131799999989</v>
      </c>
      <c r="M73" s="31">
        <f t="shared" si="7"/>
        <v>13.214968479999998</v>
      </c>
      <c r="N73" s="32">
        <f t="shared" si="8"/>
        <v>6.6074842399999989</v>
      </c>
      <c r="O73" s="32">
        <f t="shared" si="9"/>
        <v>6.6074842399999989</v>
      </c>
      <c r="P73" s="29">
        <f t="shared" si="10"/>
        <v>23.126194839999997</v>
      </c>
    </row>
    <row r="74" spans="1:16">
      <c r="A74" s="27">
        <v>72</v>
      </c>
      <c r="B74" s="110" t="s">
        <v>139</v>
      </c>
      <c r="C74" s="111" t="s">
        <v>56</v>
      </c>
      <c r="D74" s="44">
        <v>274578</v>
      </c>
      <c r="E74" s="35">
        <v>5332486</v>
      </c>
      <c r="F74" s="34">
        <v>697.7</v>
      </c>
      <c r="G74" s="29">
        <f t="shared" ref="G74:G83" si="14">F74*7.38%</f>
        <v>51.490260000000006</v>
      </c>
      <c r="H74" s="34">
        <v>61.2</v>
      </c>
      <c r="I74" s="31">
        <f t="shared" ref="I74:I83" si="15">F74-G74-H74</f>
        <v>585.00973999999997</v>
      </c>
      <c r="J74" s="112" t="s">
        <v>16</v>
      </c>
      <c r="K74" s="113" t="s">
        <v>25</v>
      </c>
      <c r="L74" s="31">
        <f t="shared" ref="L74:L83" si="16">I74*15%</f>
        <v>87.751460999999992</v>
      </c>
      <c r="M74" s="31">
        <f t="shared" ref="M74:M83" si="17">I74*4%</f>
        <v>23.4003896</v>
      </c>
      <c r="N74" s="32">
        <f t="shared" ref="N74:N83" si="18">I74*2%</f>
        <v>11.7001948</v>
      </c>
      <c r="O74" s="32">
        <f t="shared" ref="O74:O83" si="19">I74*2%</f>
        <v>11.7001948</v>
      </c>
      <c r="P74" s="29">
        <f t="shared" ref="P74:P83" si="20">L74-M74-N74-O74</f>
        <v>40.950681799999998</v>
      </c>
    </row>
    <row r="75" spans="1:16">
      <c r="A75" s="27">
        <v>73</v>
      </c>
      <c r="B75" s="114" t="s">
        <v>140</v>
      </c>
      <c r="C75" s="115" t="s">
        <v>141</v>
      </c>
      <c r="D75" s="162">
        <v>2476309</v>
      </c>
      <c r="E75" s="35">
        <v>5328761</v>
      </c>
      <c r="F75" s="34">
        <v>520.35</v>
      </c>
      <c r="G75" s="29">
        <f t="shared" si="14"/>
        <v>38.401830000000004</v>
      </c>
      <c r="H75" s="34">
        <v>0</v>
      </c>
      <c r="I75" s="31">
        <f t="shared" si="15"/>
        <v>481.94817</v>
      </c>
      <c r="J75" s="116" t="s">
        <v>16</v>
      </c>
      <c r="K75" s="117" t="s">
        <v>14</v>
      </c>
      <c r="L75" s="31">
        <f t="shared" si="16"/>
        <v>72.292225500000001</v>
      </c>
      <c r="M75" s="31">
        <f t="shared" si="17"/>
        <v>19.277926799999999</v>
      </c>
      <c r="N75" s="32">
        <f t="shared" si="18"/>
        <v>9.6389633999999997</v>
      </c>
      <c r="O75" s="32">
        <f t="shared" si="19"/>
        <v>9.6389633999999997</v>
      </c>
      <c r="P75" s="29">
        <f t="shared" si="20"/>
        <v>33.736371899999995</v>
      </c>
    </row>
    <row r="76" spans="1:16">
      <c r="A76" s="27">
        <v>74</v>
      </c>
      <c r="B76" s="114" t="s">
        <v>142</v>
      </c>
      <c r="C76" s="115" t="s">
        <v>12</v>
      </c>
      <c r="D76" s="44">
        <v>1003110092940</v>
      </c>
      <c r="E76" s="35">
        <v>5316363</v>
      </c>
      <c r="F76" s="34">
        <v>553.6</v>
      </c>
      <c r="G76" s="29">
        <f t="shared" si="14"/>
        <v>40.855680000000007</v>
      </c>
      <c r="H76" s="34">
        <v>184.53</v>
      </c>
      <c r="I76" s="31">
        <f t="shared" si="15"/>
        <v>328.21432000000004</v>
      </c>
      <c r="J76" s="116" t="s">
        <v>13</v>
      </c>
      <c r="K76" s="117" t="s">
        <v>25</v>
      </c>
      <c r="L76" s="31">
        <f t="shared" si="16"/>
        <v>49.232148000000002</v>
      </c>
      <c r="M76" s="31">
        <f t="shared" si="17"/>
        <v>13.128572800000002</v>
      </c>
      <c r="N76" s="32">
        <f t="shared" si="18"/>
        <v>6.5642864000000012</v>
      </c>
      <c r="O76" s="32">
        <f t="shared" si="19"/>
        <v>6.5642864000000012</v>
      </c>
      <c r="P76" s="29">
        <f t="shared" si="20"/>
        <v>22.975002400000001</v>
      </c>
    </row>
    <row r="77" spans="1:16">
      <c r="A77" s="27">
        <v>75</v>
      </c>
      <c r="B77" s="118" t="s">
        <v>143</v>
      </c>
      <c r="C77" s="119" t="s">
        <v>29</v>
      </c>
      <c r="D77" s="162">
        <v>1003110102198</v>
      </c>
      <c r="E77" s="35">
        <v>5339584</v>
      </c>
      <c r="F77" s="34">
        <v>656.93</v>
      </c>
      <c r="G77" s="29">
        <f t="shared" si="14"/>
        <v>48.481434</v>
      </c>
      <c r="H77" s="34">
        <v>70.59</v>
      </c>
      <c r="I77" s="31">
        <f t="shared" si="15"/>
        <v>537.85856599999988</v>
      </c>
      <c r="J77" s="120" t="s">
        <v>13</v>
      </c>
      <c r="K77" s="121" t="s">
        <v>23</v>
      </c>
      <c r="L77" s="31">
        <f t="shared" si="16"/>
        <v>80.678784899999982</v>
      </c>
      <c r="M77" s="31">
        <f t="shared" si="17"/>
        <v>21.514342639999995</v>
      </c>
      <c r="N77" s="32">
        <f t="shared" si="18"/>
        <v>10.757171319999998</v>
      </c>
      <c r="O77" s="32">
        <f t="shared" si="19"/>
        <v>10.757171319999998</v>
      </c>
      <c r="P77" s="29">
        <f t="shared" si="20"/>
        <v>37.650099619999992</v>
      </c>
    </row>
    <row r="78" spans="1:16">
      <c r="A78" s="27">
        <v>76</v>
      </c>
      <c r="B78" s="118" t="s">
        <v>144</v>
      </c>
      <c r="C78" s="119" t="s">
        <v>19</v>
      </c>
      <c r="D78" s="162">
        <v>1003110102210</v>
      </c>
      <c r="E78" s="35">
        <v>5337587</v>
      </c>
      <c r="F78" s="34">
        <v>520.75</v>
      </c>
      <c r="G78" s="29">
        <f t="shared" si="14"/>
        <v>38.431350000000002</v>
      </c>
      <c r="H78" s="34">
        <v>137.56</v>
      </c>
      <c r="I78" s="31">
        <f t="shared" si="15"/>
        <v>344.75864999999999</v>
      </c>
      <c r="J78" s="120" t="s">
        <v>13</v>
      </c>
      <c r="K78" s="121" t="s">
        <v>41</v>
      </c>
      <c r="L78" s="31">
        <f t="shared" si="16"/>
        <v>51.713797499999998</v>
      </c>
      <c r="M78" s="31">
        <f t="shared" si="17"/>
        <v>13.790346</v>
      </c>
      <c r="N78" s="32">
        <f t="shared" si="18"/>
        <v>6.8951729999999998</v>
      </c>
      <c r="O78" s="32">
        <f t="shared" si="19"/>
        <v>6.8951729999999998</v>
      </c>
      <c r="P78" s="29">
        <f t="shared" si="20"/>
        <v>24.133105499999999</v>
      </c>
    </row>
    <row r="79" spans="1:16">
      <c r="A79" s="27">
        <v>77</v>
      </c>
      <c r="B79" s="304" t="s">
        <v>145</v>
      </c>
      <c r="C79" s="123" t="s">
        <v>52</v>
      </c>
      <c r="D79" s="161">
        <v>10031100102145</v>
      </c>
      <c r="E79" s="124">
        <v>5335919</v>
      </c>
      <c r="F79" s="125">
        <v>531.24</v>
      </c>
      <c r="G79" s="125">
        <f t="shared" si="14"/>
        <v>39.205512000000006</v>
      </c>
      <c r="H79" s="125">
        <v>57.08</v>
      </c>
      <c r="I79" s="172">
        <f t="shared" si="15"/>
        <v>434.95448800000003</v>
      </c>
      <c r="J79" s="173" t="s">
        <v>68</v>
      </c>
      <c r="K79" s="174" t="s">
        <v>154</v>
      </c>
      <c r="L79" s="172">
        <f t="shared" si="16"/>
        <v>65.243173200000001</v>
      </c>
      <c r="M79" s="172">
        <f t="shared" si="17"/>
        <v>17.398179520000003</v>
      </c>
      <c r="N79" s="175">
        <f t="shared" si="18"/>
        <v>8.6990897600000014</v>
      </c>
      <c r="O79" s="175">
        <f t="shared" si="19"/>
        <v>8.6990897600000014</v>
      </c>
      <c r="P79" s="125">
        <f t="shared" si="20"/>
        <v>30.446814160000002</v>
      </c>
    </row>
    <row r="80" spans="1:16">
      <c r="A80" s="27">
        <v>78</v>
      </c>
      <c r="B80" s="122" t="s">
        <v>37</v>
      </c>
      <c r="C80" s="123" t="s">
        <v>95</v>
      </c>
      <c r="D80" s="161">
        <v>10031100102094</v>
      </c>
      <c r="E80" s="124">
        <v>5338875</v>
      </c>
      <c r="F80" s="125">
        <v>550.22</v>
      </c>
      <c r="G80" s="125">
        <f t="shared" si="14"/>
        <v>40.606236000000003</v>
      </c>
      <c r="H80" s="125">
        <v>59.12</v>
      </c>
      <c r="I80" s="172">
        <f t="shared" si="15"/>
        <v>450.493764</v>
      </c>
      <c r="J80" s="173" t="s">
        <v>13</v>
      </c>
      <c r="K80" s="174" t="s">
        <v>154</v>
      </c>
      <c r="L80" s="172">
        <f t="shared" si="16"/>
        <v>67.5740646</v>
      </c>
      <c r="M80" s="172">
        <f t="shared" si="17"/>
        <v>18.019750560000002</v>
      </c>
      <c r="N80" s="175">
        <f t="shared" si="18"/>
        <v>9.009875280000001</v>
      </c>
      <c r="O80" s="175">
        <f t="shared" si="19"/>
        <v>9.009875280000001</v>
      </c>
      <c r="P80" s="125">
        <f t="shared" si="20"/>
        <v>31.534563479999989</v>
      </c>
    </row>
    <row r="81" spans="1:16">
      <c r="A81" s="27">
        <v>79</v>
      </c>
      <c r="B81" s="304" t="s">
        <v>146</v>
      </c>
      <c r="C81" s="123" t="s">
        <v>59</v>
      </c>
      <c r="D81" s="161">
        <v>1003110102067</v>
      </c>
      <c r="E81" s="124">
        <v>5315109</v>
      </c>
      <c r="F81" s="125">
        <v>536.42999999999995</v>
      </c>
      <c r="G81" s="125">
        <f t="shared" si="14"/>
        <v>39.588533999999996</v>
      </c>
      <c r="H81" s="125">
        <v>57.68</v>
      </c>
      <c r="I81" s="172">
        <f t="shared" si="15"/>
        <v>439.16146599999996</v>
      </c>
      <c r="J81" s="173" t="s">
        <v>13</v>
      </c>
      <c r="K81" s="174" t="s">
        <v>154</v>
      </c>
      <c r="L81" s="172">
        <f t="shared" si="16"/>
        <v>65.874219899999986</v>
      </c>
      <c r="M81" s="172">
        <f t="shared" si="17"/>
        <v>17.56645864</v>
      </c>
      <c r="N81" s="175">
        <f t="shared" si="18"/>
        <v>8.7832293200000002</v>
      </c>
      <c r="O81" s="175">
        <f t="shared" si="19"/>
        <v>8.7832293200000002</v>
      </c>
      <c r="P81" s="125">
        <f t="shared" si="20"/>
        <v>30.741302619999988</v>
      </c>
    </row>
    <row r="82" spans="1:16">
      <c r="A82" s="27">
        <v>80</v>
      </c>
      <c r="B82" s="304" t="s">
        <v>147</v>
      </c>
      <c r="C82" s="123" t="s">
        <v>59</v>
      </c>
      <c r="D82" s="161">
        <v>1003110102046</v>
      </c>
      <c r="E82" s="124">
        <v>5337845</v>
      </c>
      <c r="F82" s="125">
        <v>545.17999999999995</v>
      </c>
      <c r="G82" s="125">
        <f t="shared" si="14"/>
        <v>40.234283999999995</v>
      </c>
      <c r="H82" s="125">
        <v>58.58</v>
      </c>
      <c r="I82" s="172">
        <f t="shared" si="15"/>
        <v>446.36571599999996</v>
      </c>
      <c r="J82" s="173" t="s">
        <v>13</v>
      </c>
      <c r="K82" s="174" t="s">
        <v>154</v>
      </c>
      <c r="L82" s="172">
        <f t="shared" si="16"/>
        <v>66.954857399999995</v>
      </c>
      <c r="M82" s="172">
        <f t="shared" si="17"/>
        <v>17.854628639999998</v>
      </c>
      <c r="N82" s="175">
        <f t="shared" si="18"/>
        <v>8.9273143199999989</v>
      </c>
      <c r="O82" s="175">
        <f t="shared" si="19"/>
        <v>8.9273143199999989</v>
      </c>
      <c r="P82" s="125">
        <f t="shared" si="20"/>
        <v>31.245600119999992</v>
      </c>
    </row>
    <row r="83" spans="1:16">
      <c r="A83" s="27">
        <v>81</v>
      </c>
      <c r="B83" s="304" t="s">
        <v>148</v>
      </c>
      <c r="C83" s="123" t="s">
        <v>59</v>
      </c>
      <c r="D83" s="161">
        <v>1003110101617</v>
      </c>
      <c r="E83" s="124">
        <v>5336084</v>
      </c>
      <c r="F83" s="125">
        <v>494.82</v>
      </c>
      <c r="G83" s="125">
        <f t="shared" si="14"/>
        <v>36.517716</v>
      </c>
      <c r="H83" s="125">
        <v>53.17</v>
      </c>
      <c r="I83" s="172">
        <f t="shared" si="15"/>
        <v>405.13228399999997</v>
      </c>
      <c r="J83" s="173" t="s">
        <v>13</v>
      </c>
      <c r="K83" s="174" t="s">
        <v>154</v>
      </c>
      <c r="L83" s="172">
        <f t="shared" si="16"/>
        <v>60.76984259999999</v>
      </c>
      <c r="M83" s="172">
        <f t="shared" si="17"/>
        <v>16.20529136</v>
      </c>
      <c r="N83" s="175">
        <f t="shared" si="18"/>
        <v>8.1026456800000002</v>
      </c>
      <c r="O83" s="175">
        <f t="shared" si="19"/>
        <v>8.1026456800000002</v>
      </c>
      <c r="P83" s="125">
        <f t="shared" si="20"/>
        <v>28.359259879999982</v>
      </c>
    </row>
    <row r="84" spans="1:16">
      <c r="A84" s="27"/>
      <c r="B84" s="110"/>
      <c r="C84" s="111"/>
      <c r="D84" s="44"/>
      <c r="E84" s="35"/>
      <c r="F84" s="34"/>
      <c r="G84" s="29"/>
      <c r="H84" s="34"/>
      <c r="I84" s="31"/>
      <c r="J84" s="112"/>
      <c r="K84" s="113"/>
      <c r="L84" s="31"/>
      <c r="M84" s="31"/>
      <c r="N84" s="32"/>
      <c r="O84" s="32"/>
      <c r="P84" s="29"/>
    </row>
    <row r="85" spans="1:16">
      <c r="A85" s="27"/>
      <c r="B85" s="35"/>
      <c r="C85" s="35"/>
      <c r="D85" s="44"/>
      <c r="E85" s="35"/>
      <c r="F85" s="34"/>
      <c r="G85" s="29">
        <f t="shared" si="12"/>
        <v>0</v>
      </c>
      <c r="H85" s="34"/>
      <c r="I85" s="31">
        <f t="shared" si="13"/>
        <v>0</v>
      </c>
      <c r="J85" s="46"/>
      <c r="K85" s="34"/>
      <c r="L85" s="29"/>
      <c r="M85" s="31">
        <f t="shared" si="7"/>
        <v>0</v>
      </c>
      <c r="N85" s="32">
        <f t="shared" si="8"/>
        <v>0</v>
      </c>
      <c r="O85" s="32">
        <f t="shared" si="9"/>
        <v>0</v>
      </c>
      <c r="P85" s="29">
        <f t="shared" si="10"/>
        <v>0</v>
      </c>
    </row>
    <row r="86" spans="1:16">
      <c r="A86" s="27"/>
      <c r="B86" s="35"/>
      <c r="C86" s="35"/>
      <c r="D86" s="44"/>
      <c r="E86" s="35"/>
      <c r="F86" s="34"/>
      <c r="G86" s="29">
        <f t="shared" si="12"/>
        <v>0</v>
      </c>
      <c r="H86" s="34"/>
      <c r="I86" s="31">
        <f t="shared" si="13"/>
        <v>0</v>
      </c>
      <c r="J86" s="46"/>
      <c r="K86" s="34"/>
      <c r="L86" s="29">
        <f t="shared" ref="L86" si="21">I86*15%</f>
        <v>0</v>
      </c>
      <c r="M86" s="31">
        <f t="shared" si="7"/>
        <v>0</v>
      </c>
      <c r="N86" s="32">
        <f t="shared" si="8"/>
        <v>0</v>
      </c>
      <c r="O86" s="32">
        <f t="shared" si="9"/>
        <v>0</v>
      </c>
      <c r="P86" s="29">
        <f t="shared" si="10"/>
        <v>0</v>
      </c>
    </row>
    <row r="87" spans="1:16">
      <c r="A87" s="3"/>
      <c r="B87" s="66"/>
      <c r="C87" s="66"/>
      <c r="D87" s="67"/>
      <c r="E87" s="66"/>
      <c r="F87" s="68"/>
      <c r="G87" s="68"/>
      <c r="H87" s="68"/>
      <c r="I87" s="68"/>
      <c r="J87" s="66"/>
      <c r="K87" s="69"/>
      <c r="L87" s="69"/>
      <c r="M87" s="69"/>
      <c r="N87" s="7"/>
      <c r="O87" s="7"/>
      <c r="P87" s="8"/>
    </row>
    <row r="88" spans="1:16" ht="15.6">
      <c r="A88" s="3"/>
      <c r="B88" s="4"/>
      <c r="C88" s="4"/>
      <c r="D88" s="13"/>
      <c r="E88" s="5" t="s">
        <v>11</v>
      </c>
      <c r="F88" s="6">
        <f>SUM(F3:F86)</f>
        <v>51976.1</v>
      </c>
      <c r="G88" s="6">
        <f>SUM(G3:G86)</f>
        <v>3835.8361799999993</v>
      </c>
      <c r="H88" s="6">
        <f>SUM(H3:H86)</f>
        <v>7078.69</v>
      </c>
      <c r="I88" s="6">
        <f>SUM(I3:I86)</f>
        <v>41061.57382000002</v>
      </c>
      <c r="J88" s="4"/>
      <c r="K88" s="9"/>
      <c r="L88" s="6">
        <f>SUM(L3:L86)</f>
        <v>6159.2360729999991</v>
      </c>
      <c r="M88" s="6">
        <f>SUM(M3:M86)</f>
        <v>1642.4629527999998</v>
      </c>
      <c r="N88" s="6">
        <f>SUM(N3:N86)</f>
        <v>821.23147639999991</v>
      </c>
      <c r="O88" s="6">
        <f>SUM(O3:O86)</f>
        <v>821.23147639999991</v>
      </c>
      <c r="P88" s="6">
        <f>SUM(P3:P86)</f>
        <v>2874.3101674</v>
      </c>
    </row>
  </sheetData>
  <autoFilter ref="B2:P86" xr:uid="{4A2B4B94-15F5-48C0-9587-E87E530F3A03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124A-DCE0-4BF3-889F-5E1ECCC91966}">
  <dimension ref="A1:Q103"/>
  <sheetViews>
    <sheetView topLeftCell="D1" zoomScaleNormal="100" workbookViewId="0">
      <selection activeCell="C89" sqref="C89:P89"/>
    </sheetView>
  </sheetViews>
  <sheetFormatPr defaultRowHeight="14.4"/>
  <cols>
    <col min="1" max="1" width="5.21875" customWidth="1"/>
    <col min="2" max="2" width="36.21875" bestFit="1" customWidth="1"/>
    <col min="3" max="3" width="16.88671875" bestFit="1" customWidth="1"/>
    <col min="4" max="4" width="19.109375" customWidth="1"/>
    <col min="5" max="5" width="19.6640625" bestFit="1" customWidth="1"/>
    <col min="6" max="6" width="17.6640625" customWidth="1"/>
    <col min="7" max="7" width="15.109375" bestFit="1" customWidth="1"/>
    <col min="8" max="8" width="15.6640625" customWidth="1"/>
    <col min="9" max="9" width="15.88671875" bestFit="1" customWidth="1"/>
    <col min="10" max="10" width="15.6640625" bestFit="1" customWidth="1"/>
    <col min="11" max="11" width="13.109375" bestFit="1" customWidth="1"/>
    <col min="12" max="12" width="21.109375" bestFit="1" customWidth="1"/>
    <col min="13" max="13" width="16.109375" bestFit="1" customWidth="1"/>
    <col min="14" max="14" width="15.6640625" bestFit="1" customWidth="1"/>
    <col min="15" max="15" width="14.21875" bestFit="1" customWidth="1"/>
    <col min="16" max="16" width="17.6640625" bestFit="1" customWidth="1"/>
  </cols>
  <sheetData>
    <row r="1" spans="1:17" ht="23.4">
      <c r="B1" s="742" t="s">
        <v>152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7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27">
        <v>1</v>
      </c>
      <c r="B3" s="176" t="s">
        <v>156</v>
      </c>
      <c r="C3" s="177" t="s">
        <v>29</v>
      </c>
      <c r="D3" s="16">
        <v>1003110102802</v>
      </c>
      <c r="E3" s="17" t="s">
        <v>157</v>
      </c>
      <c r="F3" s="178">
        <v>526.51</v>
      </c>
      <c r="G3" s="179">
        <f>F3*7.38%</f>
        <v>38.856438000000004</v>
      </c>
      <c r="H3" s="180">
        <v>175.5</v>
      </c>
      <c r="I3" s="179">
        <f>F3-G3-H3</f>
        <v>312.15356199999997</v>
      </c>
      <c r="J3" s="181" t="s">
        <v>13</v>
      </c>
      <c r="K3" s="180" t="s">
        <v>158</v>
      </c>
      <c r="L3" s="182">
        <f>I3*15%</f>
        <v>46.823034299999996</v>
      </c>
      <c r="M3" s="182">
        <f t="shared" ref="M3:M66" si="0">I3*4%</f>
        <v>12.486142479999998</v>
      </c>
      <c r="N3" s="183">
        <f t="shared" ref="N3:N66" si="1">I3*2%</f>
        <v>6.243071239999999</v>
      </c>
      <c r="O3" s="183">
        <f t="shared" ref="O3:O66" si="2">I3*2%</f>
        <v>6.243071239999999</v>
      </c>
      <c r="P3" s="179">
        <f t="shared" ref="P3:P66" si="3">L3-M3-N3-O3</f>
        <v>21.85074934</v>
      </c>
    </row>
    <row r="4" spans="1:17">
      <c r="A4" s="27">
        <v>2</v>
      </c>
      <c r="B4" s="176" t="s">
        <v>159</v>
      </c>
      <c r="C4" s="184" t="s">
        <v>160</v>
      </c>
      <c r="D4" s="18">
        <v>51772025423102</v>
      </c>
      <c r="E4" s="17">
        <v>5317143</v>
      </c>
      <c r="F4" s="178">
        <v>377.32</v>
      </c>
      <c r="G4" s="179">
        <f>F4*7.38%</f>
        <v>27.846216000000002</v>
      </c>
      <c r="H4" s="185">
        <v>125.78</v>
      </c>
      <c r="I4" s="179">
        <f>F4-G4-H4</f>
        <v>223.69378399999997</v>
      </c>
      <c r="J4" s="186" t="s">
        <v>13</v>
      </c>
      <c r="K4" s="185" t="s">
        <v>17</v>
      </c>
      <c r="L4" s="182">
        <f t="shared" ref="L4:L67" si="4">I4*15%</f>
        <v>33.554067599999996</v>
      </c>
      <c r="M4" s="182">
        <f t="shared" si="0"/>
        <v>8.947751359999998</v>
      </c>
      <c r="N4" s="183">
        <f t="shared" si="1"/>
        <v>4.473875679999999</v>
      </c>
      <c r="O4" s="183">
        <f t="shared" si="2"/>
        <v>4.473875679999999</v>
      </c>
      <c r="P4" s="179">
        <f t="shared" si="3"/>
        <v>15.65856488</v>
      </c>
    </row>
    <row r="5" spans="1:17">
      <c r="A5" s="27">
        <v>3</v>
      </c>
      <c r="B5" s="187" t="s">
        <v>161</v>
      </c>
      <c r="C5" s="181" t="s">
        <v>29</v>
      </c>
      <c r="D5" s="19">
        <v>51772025423102</v>
      </c>
      <c r="E5" s="24">
        <v>5327796</v>
      </c>
      <c r="F5" s="188">
        <v>1035.8399999999999</v>
      </c>
      <c r="G5" s="179">
        <f t="shared" ref="G5:G68" si="5">F5*7.38%</f>
        <v>76.444991999999999</v>
      </c>
      <c r="H5" s="189">
        <v>127.76</v>
      </c>
      <c r="I5" s="179">
        <f t="shared" ref="I5:I68" si="6">F5-G5-H5</f>
        <v>831.63500799999997</v>
      </c>
      <c r="J5" s="181" t="s">
        <v>13</v>
      </c>
      <c r="K5" s="180" t="s">
        <v>158</v>
      </c>
      <c r="L5" s="182">
        <f t="shared" si="4"/>
        <v>124.74525119999998</v>
      </c>
      <c r="M5" s="182">
        <f t="shared" si="0"/>
        <v>33.265400319999998</v>
      </c>
      <c r="N5" s="183">
        <f t="shared" si="1"/>
        <v>16.632700159999999</v>
      </c>
      <c r="O5" s="183">
        <f t="shared" si="2"/>
        <v>16.632700159999999</v>
      </c>
      <c r="P5" s="179">
        <f t="shared" si="3"/>
        <v>58.214450559999989</v>
      </c>
    </row>
    <row r="6" spans="1:17">
      <c r="A6" s="27">
        <v>4</v>
      </c>
      <c r="B6" s="297" t="s">
        <v>162</v>
      </c>
      <c r="C6" s="327" t="s">
        <v>163</v>
      </c>
      <c r="D6" s="291">
        <v>1003110107878</v>
      </c>
      <c r="E6" s="498">
        <v>5343902</v>
      </c>
      <c r="F6" s="342">
        <v>525.51</v>
      </c>
      <c r="G6" s="294">
        <f t="shared" si="5"/>
        <v>38.782637999999999</v>
      </c>
      <c r="H6" s="294">
        <v>56.47</v>
      </c>
      <c r="I6" s="294">
        <f t="shared" si="6"/>
        <v>430.25736199999994</v>
      </c>
      <c r="J6" s="327" t="s">
        <v>13</v>
      </c>
      <c r="K6" s="294" t="s">
        <v>164</v>
      </c>
      <c r="L6" s="293">
        <f t="shared" si="4"/>
        <v>64.538604299999989</v>
      </c>
      <c r="M6" s="293">
        <f t="shared" si="0"/>
        <v>17.210294479999998</v>
      </c>
      <c r="N6" s="296">
        <f t="shared" si="1"/>
        <v>8.6051472399999991</v>
      </c>
      <c r="O6" s="296">
        <f t="shared" si="2"/>
        <v>8.6051472399999991</v>
      </c>
      <c r="P6" s="294">
        <f t="shared" si="3"/>
        <v>30.118015339999985</v>
      </c>
    </row>
    <row r="7" spans="1:17">
      <c r="A7" s="27">
        <v>5</v>
      </c>
      <c r="B7" s="187" t="s">
        <v>165</v>
      </c>
      <c r="C7" s="181" t="s">
        <v>12</v>
      </c>
      <c r="D7" s="214">
        <v>1003110112888</v>
      </c>
      <c r="E7" s="140">
        <v>5336328</v>
      </c>
      <c r="F7" s="180">
        <v>508.18</v>
      </c>
      <c r="G7" s="190">
        <f t="shared" si="5"/>
        <v>37.503684</v>
      </c>
      <c r="H7" s="180">
        <v>0</v>
      </c>
      <c r="I7" s="190">
        <f t="shared" si="6"/>
        <v>470.67631599999999</v>
      </c>
      <c r="J7" s="181" t="s">
        <v>13</v>
      </c>
      <c r="K7" s="180" t="s">
        <v>166</v>
      </c>
      <c r="L7" s="182">
        <f t="shared" si="4"/>
        <v>70.601447399999998</v>
      </c>
      <c r="M7" s="182">
        <f t="shared" si="0"/>
        <v>18.827052640000002</v>
      </c>
      <c r="N7" s="183">
        <f t="shared" si="1"/>
        <v>9.4135263200000008</v>
      </c>
      <c r="O7" s="183">
        <f t="shared" si="2"/>
        <v>9.4135263200000008</v>
      </c>
      <c r="P7" s="179">
        <f t="shared" si="3"/>
        <v>32.947342119999988</v>
      </c>
    </row>
    <row r="8" spans="1:17">
      <c r="A8" s="27">
        <v>6</v>
      </c>
      <c r="B8" s="326" t="s">
        <v>167</v>
      </c>
      <c r="C8" s="298" t="s">
        <v>168</v>
      </c>
      <c r="D8" s="448">
        <v>1003110112766</v>
      </c>
      <c r="E8" s="302">
        <v>5346261</v>
      </c>
      <c r="F8" s="300">
        <v>574.98</v>
      </c>
      <c r="G8" s="300">
        <f t="shared" si="5"/>
        <v>42.433524000000006</v>
      </c>
      <c r="H8" s="300">
        <v>61.78</v>
      </c>
      <c r="I8" s="300">
        <f>F8-G8-H8</f>
        <v>470.76647600000001</v>
      </c>
      <c r="J8" s="298" t="s">
        <v>13</v>
      </c>
      <c r="K8" s="300" t="s">
        <v>17</v>
      </c>
      <c r="L8" s="301">
        <f t="shared" si="4"/>
        <v>70.614971400000002</v>
      </c>
      <c r="M8" s="301">
        <f t="shared" si="0"/>
        <v>18.83065904</v>
      </c>
      <c r="N8" s="303">
        <f t="shared" si="1"/>
        <v>9.4153295200000002</v>
      </c>
      <c r="O8" s="303">
        <f t="shared" si="2"/>
        <v>9.4153295200000002</v>
      </c>
      <c r="P8" s="300">
        <f t="shared" si="3"/>
        <v>32.953653320000001</v>
      </c>
    </row>
    <row r="9" spans="1:17">
      <c r="A9" s="27">
        <v>7</v>
      </c>
      <c r="B9" s="187" t="s">
        <v>169</v>
      </c>
      <c r="C9" s="181" t="s">
        <v>170</v>
      </c>
      <c r="D9" s="215">
        <v>34665985</v>
      </c>
      <c r="E9" s="191" t="s">
        <v>171</v>
      </c>
      <c r="F9" s="192">
        <v>616.08000000000004</v>
      </c>
      <c r="G9" s="190">
        <f t="shared" si="5"/>
        <v>45.466704000000007</v>
      </c>
      <c r="H9" s="180">
        <v>51.34</v>
      </c>
      <c r="I9" s="190">
        <f>F9-G9-H9</f>
        <v>519.27329599999996</v>
      </c>
      <c r="J9" s="181" t="s">
        <v>16</v>
      </c>
      <c r="K9" s="180" t="s">
        <v>17</v>
      </c>
      <c r="L9" s="182">
        <f t="shared" si="4"/>
        <v>77.890994399999997</v>
      </c>
      <c r="M9" s="182">
        <f t="shared" si="0"/>
        <v>20.770931839999999</v>
      </c>
      <c r="N9" s="183">
        <f>I9*2%</f>
        <v>10.38546592</v>
      </c>
      <c r="O9" s="183">
        <f t="shared" si="2"/>
        <v>10.38546592</v>
      </c>
      <c r="P9" s="179">
        <f t="shared" si="3"/>
        <v>36.349130719999991</v>
      </c>
    </row>
    <row r="10" spans="1:17">
      <c r="A10" s="27">
        <v>8</v>
      </c>
      <c r="B10" s="503" t="s">
        <v>172</v>
      </c>
      <c r="C10" s="327" t="s">
        <v>173</v>
      </c>
      <c r="D10" s="328">
        <v>1003110116010</v>
      </c>
      <c r="E10" s="504">
        <v>5344985</v>
      </c>
      <c r="F10" s="505">
        <v>528.07000000000005</v>
      </c>
      <c r="G10" s="294">
        <f t="shared" si="5"/>
        <v>38.971566000000003</v>
      </c>
      <c r="H10" s="294">
        <v>56.74</v>
      </c>
      <c r="I10" s="294">
        <f t="shared" si="6"/>
        <v>432.35843400000005</v>
      </c>
      <c r="J10" s="329" t="s">
        <v>16</v>
      </c>
      <c r="K10" s="294" t="s">
        <v>174</v>
      </c>
      <c r="L10" s="293">
        <f t="shared" si="4"/>
        <v>64.853765100000004</v>
      </c>
      <c r="M10" s="293">
        <f t="shared" si="0"/>
        <v>17.294337360000004</v>
      </c>
      <c r="N10" s="296">
        <f t="shared" si="1"/>
        <v>8.6471686800000018</v>
      </c>
      <c r="O10" s="296">
        <f t="shared" si="2"/>
        <v>8.6471686800000018</v>
      </c>
      <c r="P10" s="294">
        <f t="shared" si="3"/>
        <v>30.265090380000004</v>
      </c>
    </row>
    <row r="11" spans="1:17">
      <c r="A11" s="27">
        <v>9</v>
      </c>
      <c r="B11" s="193" t="s">
        <v>175</v>
      </c>
      <c r="C11" s="181" t="s">
        <v>52</v>
      </c>
      <c r="D11" s="215">
        <v>1003110111190</v>
      </c>
      <c r="E11" s="140">
        <v>5344630</v>
      </c>
      <c r="F11" s="195">
        <v>544.11</v>
      </c>
      <c r="G11" s="190">
        <f t="shared" si="5"/>
        <v>40.155318000000001</v>
      </c>
      <c r="H11" s="180">
        <v>58.47</v>
      </c>
      <c r="I11" s="196">
        <f t="shared" si="6"/>
        <v>445.48468200000002</v>
      </c>
      <c r="J11" s="197" t="s">
        <v>13</v>
      </c>
      <c r="K11" s="180" t="s">
        <v>176</v>
      </c>
      <c r="L11" s="182">
        <f t="shared" si="4"/>
        <v>66.822702300000003</v>
      </c>
      <c r="M11" s="182">
        <f t="shared" si="0"/>
        <v>17.819387280000001</v>
      </c>
      <c r="N11" s="183">
        <f t="shared" si="1"/>
        <v>8.9096936400000004</v>
      </c>
      <c r="O11" s="198">
        <f t="shared" si="2"/>
        <v>8.9096936400000004</v>
      </c>
      <c r="P11" s="182">
        <f t="shared" si="3"/>
        <v>31.183927740000001</v>
      </c>
    </row>
    <row r="12" spans="1:17">
      <c r="A12" s="27">
        <v>10</v>
      </c>
      <c r="B12" s="199" t="s">
        <v>177</v>
      </c>
      <c r="C12" s="160" t="s">
        <v>163</v>
      </c>
      <c r="D12" s="216">
        <v>1003110113852</v>
      </c>
      <c r="E12" s="141" t="s">
        <v>178</v>
      </c>
      <c r="F12" s="200">
        <v>502.26</v>
      </c>
      <c r="G12" s="190">
        <f t="shared" si="5"/>
        <v>37.066788000000003</v>
      </c>
      <c r="H12" s="185">
        <v>0</v>
      </c>
      <c r="I12" s="190">
        <f t="shared" si="6"/>
        <v>465.19321200000002</v>
      </c>
      <c r="J12" s="197" t="s">
        <v>13</v>
      </c>
      <c r="K12" s="185" t="s">
        <v>158</v>
      </c>
      <c r="L12" s="182">
        <f t="shared" si="4"/>
        <v>69.778981799999997</v>
      </c>
      <c r="M12" s="182">
        <f t="shared" si="0"/>
        <v>18.607728480000002</v>
      </c>
      <c r="N12" s="183">
        <f t="shared" si="1"/>
        <v>9.3038642400000011</v>
      </c>
      <c r="O12" s="183">
        <f t="shared" si="2"/>
        <v>9.3038642400000011</v>
      </c>
      <c r="P12" s="179">
        <f t="shared" si="3"/>
        <v>32.563524839999985</v>
      </c>
    </row>
    <row r="13" spans="1:17">
      <c r="A13" s="27">
        <v>11</v>
      </c>
      <c r="B13" s="193" t="s">
        <v>179</v>
      </c>
      <c r="C13" s="181" t="s">
        <v>29</v>
      </c>
      <c r="D13" s="215">
        <v>2483712</v>
      </c>
      <c r="E13" s="140">
        <v>5347301</v>
      </c>
      <c r="F13" s="200">
        <v>724.22</v>
      </c>
      <c r="G13" s="196">
        <f t="shared" si="5"/>
        <v>53.447436000000003</v>
      </c>
      <c r="H13" s="180">
        <v>60.35</v>
      </c>
      <c r="I13" s="196">
        <f t="shared" si="6"/>
        <v>610.42256399999997</v>
      </c>
      <c r="J13" s="197" t="s">
        <v>13</v>
      </c>
      <c r="K13" s="180" t="s">
        <v>180</v>
      </c>
      <c r="L13" s="182">
        <f t="shared" si="4"/>
        <v>91.563384599999992</v>
      </c>
      <c r="M13" s="182">
        <f t="shared" si="0"/>
        <v>24.41690256</v>
      </c>
      <c r="N13" s="183">
        <f t="shared" si="1"/>
        <v>12.20845128</v>
      </c>
      <c r="O13" s="198">
        <f t="shared" si="2"/>
        <v>12.20845128</v>
      </c>
      <c r="P13" s="182">
        <f t="shared" si="3"/>
        <v>42.729579479999998</v>
      </c>
    </row>
    <row r="14" spans="1:17">
      <c r="A14" s="27">
        <v>12</v>
      </c>
      <c r="B14" s="159" t="s">
        <v>181</v>
      </c>
      <c r="C14" s="186" t="s">
        <v>168</v>
      </c>
      <c r="D14" s="201">
        <v>2483437</v>
      </c>
      <c r="E14" s="141">
        <v>5328306</v>
      </c>
      <c r="F14" s="200">
        <v>436.7</v>
      </c>
      <c r="G14" s="190">
        <f t="shared" si="5"/>
        <v>32.228459999999998</v>
      </c>
      <c r="H14" s="185">
        <v>0</v>
      </c>
      <c r="I14" s="190">
        <f t="shared" si="6"/>
        <v>404.47154</v>
      </c>
      <c r="J14" s="194" t="s">
        <v>16</v>
      </c>
      <c r="K14" s="185" t="s">
        <v>182</v>
      </c>
      <c r="L14" s="182">
        <f t="shared" si="4"/>
        <v>60.670730999999996</v>
      </c>
      <c r="M14" s="182">
        <f t="shared" si="0"/>
        <v>16.178861600000001</v>
      </c>
      <c r="N14" s="183">
        <f t="shared" si="1"/>
        <v>8.0894308000000006</v>
      </c>
      <c r="O14" s="183">
        <f t="shared" si="2"/>
        <v>8.0894308000000006</v>
      </c>
      <c r="P14" s="179">
        <f t="shared" si="3"/>
        <v>28.313007799999994</v>
      </c>
    </row>
    <row r="15" spans="1:17">
      <c r="A15" s="27">
        <v>13</v>
      </c>
      <c r="B15" s="202" t="s">
        <v>183</v>
      </c>
      <c r="C15" s="181" t="s">
        <v>184</v>
      </c>
      <c r="D15" s="142">
        <v>1003110115087</v>
      </c>
      <c r="E15" s="143">
        <v>5347849</v>
      </c>
      <c r="F15" s="203">
        <v>545.97</v>
      </c>
      <c r="G15" s="196">
        <f t="shared" si="5"/>
        <v>40.292586000000007</v>
      </c>
      <c r="H15" s="185">
        <v>181.99</v>
      </c>
      <c r="I15" s="196">
        <f t="shared" si="6"/>
        <v>323.68741399999999</v>
      </c>
      <c r="J15" s="197" t="s">
        <v>13</v>
      </c>
      <c r="K15" s="180" t="s">
        <v>164</v>
      </c>
      <c r="L15" s="182">
        <f t="shared" si="4"/>
        <v>48.5531121</v>
      </c>
      <c r="M15" s="182">
        <f t="shared" si="0"/>
        <v>12.947496559999999</v>
      </c>
      <c r="N15" s="183">
        <f t="shared" si="1"/>
        <v>6.4737482799999997</v>
      </c>
      <c r="O15" s="198">
        <f t="shared" si="2"/>
        <v>6.4737482799999997</v>
      </c>
      <c r="P15" s="182">
        <f t="shared" si="3"/>
        <v>22.658118980000005</v>
      </c>
    </row>
    <row r="16" spans="1:17">
      <c r="A16" s="27">
        <v>14</v>
      </c>
      <c r="B16" s="499" t="s">
        <v>185</v>
      </c>
      <c r="C16" s="500" t="s">
        <v>163</v>
      </c>
      <c r="D16" s="501">
        <v>1003011357692</v>
      </c>
      <c r="E16" s="329">
        <v>5348041</v>
      </c>
      <c r="F16" s="502">
        <v>535.41</v>
      </c>
      <c r="G16" s="294">
        <f t="shared" si="5"/>
        <v>39.513258</v>
      </c>
      <c r="H16" s="294">
        <v>57.53</v>
      </c>
      <c r="I16" s="294">
        <f t="shared" si="6"/>
        <v>438.36674199999993</v>
      </c>
      <c r="J16" s="329" t="s">
        <v>13</v>
      </c>
      <c r="K16" s="294" t="s">
        <v>49</v>
      </c>
      <c r="L16" s="293">
        <f t="shared" si="4"/>
        <v>65.755011299999993</v>
      </c>
      <c r="M16" s="293">
        <f t="shared" si="0"/>
        <v>17.534669679999997</v>
      </c>
      <c r="N16" s="296">
        <f t="shared" si="1"/>
        <v>8.7673348399999984</v>
      </c>
      <c r="O16" s="296">
        <f t="shared" si="2"/>
        <v>8.7673348399999984</v>
      </c>
      <c r="P16" s="294">
        <f t="shared" si="3"/>
        <v>30.685671940000006</v>
      </c>
    </row>
    <row r="17" spans="1:16">
      <c r="A17" s="27">
        <v>15</v>
      </c>
      <c r="B17" s="202" t="s">
        <v>186</v>
      </c>
      <c r="C17" s="204" t="s">
        <v>184</v>
      </c>
      <c r="D17" s="144">
        <v>1003110117691</v>
      </c>
      <c r="E17" s="145">
        <v>5348892</v>
      </c>
      <c r="F17" s="180">
        <v>514.36</v>
      </c>
      <c r="G17" s="196">
        <f t="shared" si="5"/>
        <v>37.959768000000004</v>
      </c>
      <c r="H17" s="185">
        <v>55.27</v>
      </c>
      <c r="I17" s="196">
        <f t="shared" si="6"/>
        <v>421.13023200000003</v>
      </c>
      <c r="J17" s="197" t="s">
        <v>13</v>
      </c>
      <c r="K17" s="180" t="s">
        <v>49</v>
      </c>
      <c r="L17" s="182">
        <f t="shared" si="4"/>
        <v>63.169534800000001</v>
      </c>
      <c r="M17" s="182">
        <f t="shared" si="0"/>
        <v>16.845209280000002</v>
      </c>
      <c r="N17" s="183">
        <f t="shared" si="1"/>
        <v>8.4226046400000012</v>
      </c>
      <c r="O17" s="198">
        <f t="shared" si="2"/>
        <v>8.4226046400000012</v>
      </c>
      <c r="P17" s="182">
        <f t="shared" si="3"/>
        <v>29.479116239999996</v>
      </c>
    </row>
    <row r="18" spans="1:16">
      <c r="A18" s="27">
        <v>16</v>
      </c>
      <c r="B18" s="199" t="s">
        <v>187</v>
      </c>
      <c r="C18" s="184" t="s">
        <v>188</v>
      </c>
      <c r="D18" s="215">
        <v>1003110118800</v>
      </c>
      <c r="E18" s="221">
        <v>5348781</v>
      </c>
      <c r="F18" s="185">
        <v>537.88</v>
      </c>
      <c r="G18" s="190">
        <f t="shared" si="5"/>
        <v>39.695544000000005</v>
      </c>
      <c r="H18" s="185">
        <v>57.8</v>
      </c>
      <c r="I18" s="190">
        <f t="shared" si="6"/>
        <v>440.384456</v>
      </c>
      <c r="J18" s="194" t="s">
        <v>13</v>
      </c>
      <c r="K18" s="185" t="s">
        <v>166</v>
      </c>
      <c r="L18" s="182">
        <f t="shared" si="4"/>
        <v>66.057668399999997</v>
      </c>
      <c r="M18" s="182">
        <f t="shared" si="0"/>
        <v>17.615378240000002</v>
      </c>
      <c r="N18" s="183">
        <f t="shared" si="1"/>
        <v>8.8076891200000009</v>
      </c>
      <c r="O18" s="183">
        <f t="shared" si="2"/>
        <v>8.8076891200000009</v>
      </c>
      <c r="P18" s="179">
        <f t="shared" si="3"/>
        <v>30.826911920000001</v>
      </c>
    </row>
    <row r="19" spans="1:16">
      <c r="A19" s="27">
        <v>17</v>
      </c>
      <c r="B19" s="202" t="s">
        <v>189</v>
      </c>
      <c r="C19" s="204" t="s">
        <v>190</v>
      </c>
      <c r="D19" s="215">
        <v>1003110121905</v>
      </c>
      <c r="E19" s="222">
        <v>5350972</v>
      </c>
      <c r="F19" s="180">
        <v>558.66999999999996</v>
      </c>
      <c r="G19" s="196">
        <f t="shared" si="5"/>
        <v>41.229846000000002</v>
      </c>
      <c r="H19" s="180">
        <v>60.03</v>
      </c>
      <c r="I19" s="196">
        <f t="shared" si="6"/>
        <v>457.41015400000003</v>
      </c>
      <c r="J19" s="197" t="s">
        <v>13</v>
      </c>
      <c r="K19" s="180" t="s">
        <v>182</v>
      </c>
      <c r="L19" s="182">
        <f t="shared" si="4"/>
        <v>68.611523099999999</v>
      </c>
      <c r="M19" s="182">
        <f t="shared" si="0"/>
        <v>18.29640616</v>
      </c>
      <c r="N19" s="198">
        <f t="shared" si="1"/>
        <v>9.14820308</v>
      </c>
      <c r="O19" s="198">
        <f t="shared" si="2"/>
        <v>9.14820308</v>
      </c>
      <c r="P19" s="182">
        <f t="shared" si="3"/>
        <v>32.018710779999992</v>
      </c>
    </row>
    <row r="20" spans="1:16">
      <c r="A20" s="27">
        <v>18</v>
      </c>
      <c r="B20" s="499" t="s">
        <v>191</v>
      </c>
      <c r="C20" s="290" t="s">
        <v>163</v>
      </c>
      <c r="D20" s="328">
        <v>1033110121905</v>
      </c>
      <c r="E20" s="329">
        <v>5353894</v>
      </c>
      <c r="F20" s="294">
        <v>505.1</v>
      </c>
      <c r="G20" s="294">
        <f t="shared" si="5"/>
        <v>37.276380000000003</v>
      </c>
      <c r="H20" s="294">
        <v>54.28</v>
      </c>
      <c r="I20" s="294">
        <f t="shared" si="6"/>
        <v>413.54362000000003</v>
      </c>
      <c r="J20" s="329" t="s">
        <v>13</v>
      </c>
      <c r="K20" s="294" t="s">
        <v>14</v>
      </c>
      <c r="L20" s="293">
        <f t="shared" si="4"/>
        <v>62.031542999999999</v>
      </c>
      <c r="M20" s="293">
        <f t="shared" si="0"/>
        <v>16.5417448</v>
      </c>
      <c r="N20" s="296">
        <f t="shared" si="1"/>
        <v>8.2708724</v>
      </c>
      <c r="O20" s="296">
        <f t="shared" si="2"/>
        <v>8.2708724</v>
      </c>
      <c r="P20" s="294">
        <f t="shared" si="3"/>
        <v>28.948053399999992</v>
      </c>
    </row>
    <row r="21" spans="1:16">
      <c r="A21" s="27">
        <v>19</v>
      </c>
      <c r="B21" s="56" t="s">
        <v>192</v>
      </c>
      <c r="C21" s="181" t="s">
        <v>173</v>
      </c>
      <c r="D21" s="215">
        <v>2488153</v>
      </c>
      <c r="E21" s="25">
        <v>5323613</v>
      </c>
      <c r="F21" s="180">
        <v>478.56</v>
      </c>
      <c r="G21" s="182">
        <f>F21*7.38%</f>
        <v>35.317728000000002</v>
      </c>
      <c r="H21" s="180">
        <v>129.69999999999999</v>
      </c>
      <c r="I21" s="182">
        <f t="shared" si="6"/>
        <v>313.54227200000003</v>
      </c>
      <c r="J21" s="197" t="s">
        <v>16</v>
      </c>
      <c r="K21" s="180" t="s">
        <v>17</v>
      </c>
      <c r="L21" s="182">
        <f t="shared" si="4"/>
        <v>47.031340800000002</v>
      </c>
      <c r="M21" s="182">
        <f t="shared" si="0"/>
        <v>12.541690880000001</v>
      </c>
      <c r="N21" s="198">
        <f t="shared" si="1"/>
        <v>6.2708454400000004</v>
      </c>
      <c r="O21" s="198">
        <f t="shared" si="2"/>
        <v>6.2708454400000004</v>
      </c>
      <c r="P21" s="182">
        <f t="shared" si="3"/>
        <v>21.947959040000001</v>
      </c>
    </row>
    <row r="22" spans="1:16">
      <c r="A22" s="27">
        <v>20</v>
      </c>
      <c r="B22" s="205" t="s">
        <v>193</v>
      </c>
      <c r="C22" s="186" t="s">
        <v>168</v>
      </c>
      <c r="D22" s="216">
        <v>51772025423102</v>
      </c>
      <c r="E22" s="220">
        <v>5354148</v>
      </c>
      <c r="F22" s="185">
        <v>629.76</v>
      </c>
      <c r="G22" s="179">
        <f t="shared" si="5"/>
        <v>46.476288000000004</v>
      </c>
      <c r="H22" s="185">
        <v>77.760000000000005</v>
      </c>
      <c r="I22" s="179">
        <f t="shared" si="6"/>
        <v>505.52371200000005</v>
      </c>
      <c r="J22" s="194" t="s">
        <v>13</v>
      </c>
      <c r="K22" s="185" t="s">
        <v>17</v>
      </c>
      <c r="L22" s="182">
        <f t="shared" si="4"/>
        <v>75.828556800000001</v>
      </c>
      <c r="M22" s="182">
        <f t="shared" si="0"/>
        <v>20.220948480000001</v>
      </c>
      <c r="N22" s="183">
        <f t="shared" si="1"/>
        <v>10.11047424</v>
      </c>
      <c r="O22" s="183">
        <f t="shared" si="2"/>
        <v>10.11047424</v>
      </c>
      <c r="P22" s="179">
        <f t="shared" si="3"/>
        <v>35.386659839999993</v>
      </c>
    </row>
    <row r="23" spans="1:16">
      <c r="A23" s="27">
        <v>21</v>
      </c>
      <c r="B23" s="206" t="s">
        <v>194</v>
      </c>
      <c r="C23" s="181" t="s">
        <v>173</v>
      </c>
      <c r="D23" s="215">
        <v>1003110128508</v>
      </c>
      <c r="E23" s="223" t="s">
        <v>195</v>
      </c>
      <c r="F23" s="180">
        <v>571.92999999999995</v>
      </c>
      <c r="G23" s="182">
        <f t="shared" si="5"/>
        <v>42.208433999999997</v>
      </c>
      <c r="H23" s="180">
        <v>151.08000000000001</v>
      </c>
      <c r="I23" s="182">
        <f t="shared" si="6"/>
        <v>378.6415659999999</v>
      </c>
      <c r="J23" s="197" t="s">
        <v>13</v>
      </c>
      <c r="K23" s="180" t="s">
        <v>17</v>
      </c>
      <c r="L23" s="182">
        <f t="shared" si="4"/>
        <v>56.79623489999998</v>
      </c>
      <c r="M23" s="182">
        <f t="shared" si="0"/>
        <v>15.145662639999996</v>
      </c>
      <c r="N23" s="198">
        <f t="shared" si="1"/>
        <v>7.5728313199999979</v>
      </c>
      <c r="O23" s="198">
        <f t="shared" si="2"/>
        <v>7.5728313199999979</v>
      </c>
      <c r="P23" s="182">
        <f t="shared" si="3"/>
        <v>26.504909619999985</v>
      </c>
    </row>
    <row r="24" spans="1:16">
      <c r="A24" s="27">
        <v>22</v>
      </c>
      <c r="B24" s="206" t="s">
        <v>196</v>
      </c>
      <c r="C24" s="181" t="s">
        <v>12</v>
      </c>
      <c r="D24" s="215">
        <v>1003110125018</v>
      </c>
      <c r="E24" s="223">
        <v>5352736</v>
      </c>
      <c r="F24" s="180">
        <v>575.04999999999995</v>
      </c>
      <c r="G24" s="182">
        <f t="shared" si="5"/>
        <v>42.438690000000001</v>
      </c>
      <c r="H24" s="180">
        <v>0</v>
      </c>
      <c r="I24" s="182">
        <f t="shared" si="6"/>
        <v>532.61131</v>
      </c>
      <c r="J24" s="197" t="s">
        <v>13</v>
      </c>
      <c r="K24" s="180" t="s">
        <v>17</v>
      </c>
      <c r="L24" s="182">
        <f t="shared" si="4"/>
        <v>79.891696499999995</v>
      </c>
      <c r="M24" s="182">
        <f t="shared" si="0"/>
        <v>21.304452399999999</v>
      </c>
      <c r="N24" s="198">
        <f t="shared" si="1"/>
        <v>10.652226199999999</v>
      </c>
      <c r="O24" s="198">
        <f t="shared" si="2"/>
        <v>10.652226199999999</v>
      </c>
      <c r="P24" s="182">
        <f t="shared" si="3"/>
        <v>37.28279169999999</v>
      </c>
    </row>
    <row r="25" spans="1:16">
      <c r="A25" s="27">
        <v>23</v>
      </c>
      <c r="B25" s="205" t="s">
        <v>197</v>
      </c>
      <c r="C25" s="186" t="s">
        <v>198</v>
      </c>
      <c r="D25" s="216">
        <v>1003110125272</v>
      </c>
      <c r="E25" s="220">
        <v>5323448</v>
      </c>
      <c r="F25" s="185">
        <v>603.12</v>
      </c>
      <c r="G25" s="179">
        <f t="shared" si="5"/>
        <v>44.510256000000005</v>
      </c>
      <c r="H25" s="185">
        <v>100.52</v>
      </c>
      <c r="I25" s="182">
        <f t="shared" si="6"/>
        <v>458.089744</v>
      </c>
      <c r="J25" s="194" t="s">
        <v>13</v>
      </c>
      <c r="K25" s="185" t="s">
        <v>182</v>
      </c>
      <c r="L25" s="182">
        <f t="shared" si="4"/>
        <v>68.713461600000002</v>
      </c>
      <c r="M25" s="182">
        <f t="shared" si="0"/>
        <v>18.323589760000001</v>
      </c>
      <c r="N25" s="183">
        <f t="shared" si="1"/>
        <v>9.1617948800000004</v>
      </c>
      <c r="O25" s="183">
        <f t="shared" si="2"/>
        <v>9.1617948800000004</v>
      </c>
      <c r="P25" s="179">
        <f t="shared" si="3"/>
        <v>32.066282079999993</v>
      </c>
    </row>
    <row r="26" spans="1:16">
      <c r="A26" s="27">
        <v>24</v>
      </c>
      <c r="B26" s="207" t="s">
        <v>199</v>
      </c>
      <c r="C26" s="208" t="s">
        <v>163</v>
      </c>
      <c r="D26" s="217">
        <v>51772025423102</v>
      </c>
      <c r="E26" s="224" t="s">
        <v>200</v>
      </c>
      <c r="F26" s="185">
        <v>429.6</v>
      </c>
      <c r="G26" s="179">
        <f t="shared" si="5"/>
        <v>31.704480000000004</v>
      </c>
      <c r="H26" s="185">
        <v>42.96</v>
      </c>
      <c r="I26" s="182">
        <f t="shared" si="6"/>
        <v>354.93552000000005</v>
      </c>
      <c r="J26" s="208" t="s">
        <v>16</v>
      </c>
      <c r="K26" s="208" t="s">
        <v>17</v>
      </c>
      <c r="L26" s="182">
        <f t="shared" si="4"/>
        <v>53.240328000000005</v>
      </c>
      <c r="M26" s="182">
        <f t="shared" si="0"/>
        <v>14.197420800000003</v>
      </c>
      <c r="N26" s="183">
        <f t="shared" si="1"/>
        <v>7.0987104000000016</v>
      </c>
      <c r="O26" s="183">
        <f t="shared" si="2"/>
        <v>7.0987104000000016</v>
      </c>
      <c r="P26" s="179">
        <f t="shared" si="3"/>
        <v>24.845486399999999</v>
      </c>
    </row>
    <row r="27" spans="1:16">
      <c r="A27" s="27">
        <v>25</v>
      </c>
      <c r="B27" s="176" t="s">
        <v>201</v>
      </c>
      <c r="C27" s="186" t="s">
        <v>163</v>
      </c>
      <c r="D27" s="209">
        <v>517720254231102</v>
      </c>
      <c r="E27" s="220" t="s">
        <v>202</v>
      </c>
      <c r="F27" s="185">
        <v>444.62</v>
      </c>
      <c r="G27" s="179">
        <f t="shared" si="5"/>
        <v>32.812956</v>
      </c>
      <c r="H27" s="185">
        <v>0</v>
      </c>
      <c r="I27" s="182">
        <f t="shared" si="6"/>
        <v>411.80704400000002</v>
      </c>
      <c r="J27" s="194" t="s">
        <v>13</v>
      </c>
      <c r="K27" s="185" t="s">
        <v>158</v>
      </c>
      <c r="L27" s="182">
        <f t="shared" si="4"/>
        <v>61.771056600000001</v>
      </c>
      <c r="M27" s="182">
        <f t="shared" si="0"/>
        <v>16.472281760000001</v>
      </c>
      <c r="N27" s="183">
        <f t="shared" si="1"/>
        <v>8.2361408800000007</v>
      </c>
      <c r="O27" s="183">
        <f t="shared" si="2"/>
        <v>8.2361408800000007</v>
      </c>
      <c r="P27" s="179">
        <f t="shared" si="3"/>
        <v>28.826493079999999</v>
      </c>
    </row>
    <row r="28" spans="1:16">
      <c r="A28" s="27">
        <v>26</v>
      </c>
      <c r="B28" s="176" t="s">
        <v>203</v>
      </c>
      <c r="C28" s="186" t="s">
        <v>163</v>
      </c>
      <c r="D28" s="216">
        <v>1003110130352</v>
      </c>
      <c r="E28" s="220" t="s">
        <v>204</v>
      </c>
      <c r="F28" s="185">
        <v>547.46</v>
      </c>
      <c r="G28" s="179">
        <f t="shared" si="5"/>
        <v>40.402548000000003</v>
      </c>
      <c r="H28" s="185">
        <v>49.16</v>
      </c>
      <c r="I28" s="182">
        <f t="shared" si="6"/>
        <v>457.89745200000004</v>
      </c>
      <c r="J28" s="194" t="s">
        <v>16</v>
      </c>
      <c r="K28" s="185" t="s">
        <v>14</v>
      </c>
      <c r="L28" s="182">
        <f t="shared" si="4"/>
        <v>68.684617799999998</v>
      </c>
      <c r="M28" s="182">
        <f t="shared" si="0"/>
        <v>18.315898080000004</v>
      </c>
      <c r="N28" s="183">
        <f t="shared" si="1"/>
        <v>9.1579490400000019</v>
      </c>
      <c r="O28" s="183">
        <f t="shared" si="2"/>
        <v>9.1579490400000019</v>
      </c>
      <c r="P28" s="179">
        <f t="shared" si="3"/>
        <v>32.052821639999991</v>
      </c>
    </row>
    <row r="29" spans="1:16">
      <c r="A29" s="27">
        <v>27</v>
      </c>
      <c r="B29" s="326" t="s">
        <v>205</v>
      </c>
      <c r="C29" s="327" t="s">
        <v>173</v>
      </c>
      <c r="D29" s="328">
        <v>1003110147533</v>
      </c>
      <c r="E29" s="329">
        <v>5355182</v>
      </c>
      <c r="F29" s="294">
        <v>567.76</v>
      </c>
      <c r="G29" s="294">
        <f t="shared" si="5"/>
        <v>41.900688000000002</v>
      </c>
      <c r="H29" s="294">
        <v>61.01</v>
      </c>
      <c r="I29" s="293">
        <f t="shared" si="6"/>
        <v>464.84931200000005</v>
      </c>
      <c r="J29" s="329" t="s">
        <v>13</v>
      </c>
      <c r="K29" s="294" t="s">
        <v>14</v>
      </c>
      <c r="L29" s="293">
        <f t="shared" si="4"/>
        <v>69.727396800000008</v>
      </c>
      <c r="M29" s="293">
        <f t="shared" si="0"/>
        <v>18.593972480000001</v>
      </c>
      <c r="N29" s="296">
        <f t="shared" si="1"/>
        <v>9.2969862400000007</v>
      </c>
      <c r="O29" s="296">
        <f t="shared" si="2"/>
        <v>9.2969862400000007</v>
      </c>
      <c r="P29" s="294">
        <f t="shared" si="3"/>
        <v>32.539451839999998</v>
      </c>
    </row>
    <row r="30" spans="1:16">
      <c r="A30" s="27">
        <v>28</v>
      </c>
      <c r="B30" s="326" t="s">
        <v>206</v>
      </c>
      <c r="C30" s="327" t="s">
        <v>173</v>
      </c>
      <c r="D30" s="328">
        <v>1003110150199</v>
      </c>
      <c r="E30" s="329">
        <v>5355581</v>
      </c>
      <c r="F30" s="294">
        <v>549.32000000000005</v>
      </c>
      <c r="G30" s="294">
        <f t="shared" si="5"/>
        <v>40.539816000000009</v>
      </c>
      <c r="H30" s="294">
        <v>67.75</v>
      </c>
      <c r="I30" s="293">
        <f t="shared" si="6"/>
        <v>441.03018400000002</v>
      </c>
      <c r="J30" s="329" t="s">
        <v>16</v>
      </c>
      <c r="K30" s="294" t="s">
        <v>207</v>
      </c>
      <c r="L30" s="293">
        <f t="shared" si="4"/>
        <v>66.154527599999994</v>
      </c>
      <c r="M30" s="293">
        <f t="shared" si="0"/>
        <v>17.641207360000003</v>
      </c>
      <c r="N30" s="296">
        <f t="shared" si="1"/>
        <v>8.8206036800000014</v>
      </c>
      <c r="O30" s="296">
        <f t="shared" si="2"/>
        <v>8.8206036800000014</v>
      </c>
      <c r="P30" s="294">
        <f t="shared" si="3"/>
        <v>30.872112879999992</v>
      </c>
    </row>
    <row r="31" spans="1:16">
      <c r="A31" s="27">
        <v>29</v>
      </c>
      <c r="B31" s="176" t="s">
        <v>208</v>
      </c>
      <c r="C31" s="186" t="s">
        <v>173</v>
      </c>
      <c r="D31" s="216">
        <v>1003110134943</v>
      </c>
      <c r="E31" s="220">
        <v>5358643</v>
      </c>
      <c r="F31" s="185">
        <v>592.21</v>
      </c>
      <c r="G31" s="179">
        <f t="shared" si="5"/>
        <v>43.705098000000007</v>
      </c>
      <c r="H31" s="185">
        <v>73.040000000000006</v>
      </c>
      <c r="I31" s="182">
        <f t="shared" si="6"/>
        <v>475.464902</v>
      </c>
      <c r="J31" s="194" t="s">
        <v>16</v>
      </c>
      <c r="K31" s="185" t="s">
        <v>14</v>
      </c>
      <c r="L31" s="182">
        <f t="shared" si="4"/>
        <v>71.319735299999991</v>
      </c>
      <c r="M31" s="182">
        <f t="shared" si="0"/>
        <v>19.018596080000002</v>
      </c>
      <c r="N31" s="183">
        <f t="shared" si="1"/>
        <v>9.5092980400000009</v>
      </c>
      <c r="O31" s="183">
        <f t="shared" si="2"/>
        <v>9.5092980400000009</v>
      </c>
      <c r="P31" s="179">
        <f t="shared" si="3"/>
        <v>33.282543139999987</v>
      </c>
    </row>
    <row r="32" spans="1:16">
      <c r="A32" s="27">
        <v>30</v>
      </c>
      <c r="B32" s="176" t="s">
        <v>209</v>
      </c>
      <c r="C32" s="186" t="s">
        <v>29</v>
      </c>
      <c r="D32" s="216">
        <v>1003110135272</v>
      </c>
      <c r="E32" s="225">
        <v>5355410</v>
      </c>
      <c r="F32" s="185">
        <v>573.83000000000004</v>
      </c>
      <c r="G32" s="179">
        <f t="shared" si="5"/>
        <v>42.348654000000003</v>
      </c>
      <c r="H32" s="185">
        <v>191.28</v>
      </c>
      <c r="I32" s="182">
        <f t="shared" si="6"/>
        <v>340.20134600000006</v>
      </c>
      <c r="J32" s="194" t="s">
        <v>13</v>
      </c>
      <c r="K32" s="185" t="s">
        <v>33</v>
      </c>
      <c r="L32" s="182">
        <f t="shared" si="4"/>
        <v>51.030201900000009</v>
      </c>
      <c r="M32" s="182">
        <f t="shared" si="0"/>
        <v>13.608053840000002</v>
      </c>
      <c r="N32" s="183">
        <f t="shared" si="1"/>
        <v>6.804026920000001</v>
      </c>
      <c r="O32" s="183">
        <f t="shared" si="2"/>
        <v>6.804026920000001</v>
      </c>
      <c r="P32" s="179">
        <f t="shared" si="3"/>
        <v>23.814094220000001</v>
      </c>
    </row>
    <row r="33" spans="1:16">
      <c r="A33" s="27">
        <v>31</v>
      </c>
      <c r="B33" s="297" t="s">
        <v>210</v>
      </c>
      <c r="C33" s="298" t="s">
        <v>163</v>
      </c>
      <c r="D33" s="299">
        <v>1003110138455</v>
      </c>
      <c r="E33" s="298">
        <v>5358576</v>
      </c>
      <c r="F33" s="300">
        <v>469.79</v>
      </c>
      <c r="G33" s="300">
        <f t="shared" si="5"/>
        <v>34.670502000000006</v>
      </c>
      <c r="H33" s="300">
        <v>50.48</v>
      </c>
      <c r="I33" s="301">
        <f t="shared" si="6"/>
        <v>384.639498</v>
      </c>
      <c r="J33" s="302" t="s">
        <v>13</v>
      </c>
      <c r="K33" s="300" t="s">
        <v>211</v>
      </c>
      <c r="L33" s="301">
        <f t="shared" si="4"/>
        <v>57.695924699999999</v>
      </c>
      <c r="M33" s="301">
        <f t="shared" si="0"/>
        <v>15.38557992</v>
      </c>
      <c r="N33" s="303">
        <f t="shared" si="1"/>
        <v>7.6927899599999998</v>
      </c>
      <c r="O33" s="303">
        <f t="shared" si="2"/>
        <v>7.6927899599999998</v>
      </c>
      <c r="P33" s="300">
        <f t="shared" si="3"/>
        <v>26.924764860000003</v>
      </c>
    </row>
    <row r="34" spans="1:16">
      <c r="A34" s="27">
        <v>32</v>
      </c>
      <c r="B34" s="176" t="s">
        <v>212</v>
      </c>
      <c r="C34" s="186" t="s">
        <v>29</v>
      </c>
      <c r="D34" s="216">
        <v>2494498</v>
      </c>
      <c r="E34" s="225">
        <v>5358516</v>
      </c>
      <c r="F34" s="185">
        <v>669.4</v>
      </c>
      <c r="G34" s="179">
        <f t="shared" si="5"/>
        <v>49.401720000000005</v>
      </c>
      <c r="H34" s="185">
        <v>0</v>
      </c>
      <c r="I34" s="182">
        <f t="shared" si="6"/>
        <v>619.99828000000002</v>
      </c>
      <c r="J34" s="194" t="s">
        <v>13</v>
      </c>
      <c r="K34" s="185" t="s">
        <v>182</v>
      </c>
      <c r="L34" s="182">
        <f t="shared" si="4"/>
        <v>92.999741999999998</v>
      </c>
      <c r="M34" s="182">
        <f t="shared" si="0"/>
        <v>24.799931200000003</v>
      </c>
      <c r="N34" s="183">
        <f t="shared" si="1"/>
        <v>12.399965600000002</v>
      </c>
      <c r="O34" s="183">
        <f t="shared" si="2"/>
        <v>12.399965600000002</v>
      </c>
      <c r="P34" s="179">
        <f t="shared" si="3"/>
        <v>43.399879599999991</v>
      </c>
    </row>
    <row r="35" spans="1:16">
      <c r="A35" s="27">
        <v>33</v>
      </c>
      <c r="B35" s="176" t="s">
        <v>213</v>
      </c>
      <c r="C35" s="186" t="s">
        <v>170</v>
      </c>
      <c r="D35" s="216">
        <v>2495826</v>
      </c>
      <c r="E35" s="225">
        <v>5355520</v>
      </c>
      <c r="F35" s="185">
        <v>501.98</v>
      </c>
      <c r="G35" s="179">
        <f t="shared" si="5"/>
        <v>37.046124000000006</v>
      </c>
      <c r="H35" s="185">
        <v>44.04</v>
      </c>
      <c r="I35" s="182">
        <f t="shared" si="6"/>
        <v>420.89387599999998</v>
      </c>
      <c r="J35" s="194" t="s">
        <v>16</v>
      </c>
      <c r="K35" s="185" t="s">
        <v>17</v>
      </c>
      <c r="L35" s="182">
        <f t="shared" si="4"/>
        <v>63.134081399999992</v>
      </c>
      <c r="M35" s="182">
        <f t="shared" si="0"/>
        <v>16.835755039999999</v>
      </c>
      <c r="N35" s="183">
        <f t="shared" si="1"/>
        <v>8.4178775199999993</v>
      </c>
      <c r="O35" s="183">
        <f t="shared" si="2"/>
        <v>8.4178775199999993</v>
      </c>
      <c r="P35" s="179">
        <f t="shared" si="3"/>
        <v>29.462571319999995</v>
      </c>
    </row>
    <row r="36" spans="1:16">
      <c r="A36" s="27">
        <v>34</v>
      </c>
      <c r="B36" s="297" t="s">
        <v>214</v>
      </c>
      <c r="C36" s="298" t="s">
        <v>163</v>
      </c>
      <c r="D36" s="299">
        <v>1003110137375</v>
      </c>
      <c r="E36" s="298">
        <v>5360630</v>
      </c>
      <c r="F36" s="300">
        <v>535.92999999999995</v>
      </c>
      <c r="G36" s="300">
        <f t="shared" si="5"/>
        <v>39.551634</v>
      </c>
      <c r="H36" s="300">
        <v>57.59</v>
      </c>
      <c r="I36" s="301">
        <f t="shared" si="6"/>
        <v>438.788366</v>
      </c>
      <c r="J36" s="302" t="s">
        <v>13</v>
      </c>
      <c r="K36" s="300" t="s">
        <v>166</v>
      </c>
      <c r="L36" s="301">
        <f t="shared" si="4"/>
        <v>65.818254899999999</v>
      </c>
      <c r="M36" s="301">
        <f t="shared" si="0"/>
        <v>17.55153464</v>
      </c>
      <c r="N36" s="303">
        <f t="shared" si="1"/>
        <v>8.7757673199999999</v>
      </c>
      <c r="O36" s="303">
        <f t="shared" si="2"/>
        <v>8.7757673199999999</v>
      </c>
      <c r="P36" s="300">
        <f t="shared" si="3"/>
        <v>30.71518562</v>
      </c>
    </row>
    <row r="37" spans="1:16">
      <c r="A37" s="27">
        <v>35</v>
      </c>
      <c r="B37" s="176" t="s">
        <v>215</v>
      </c>
      <c r="C37" s="186" t="s">
        <v>163</v>
      </c>
      <c r="D37" s="216">
        <v>24911197</v>
      </c>
      <c r="E37" s="225">
        <v>5338101</v>
      </c>
      <c r="F37" s="185">
        <v>544.38</v>
      </c>
      <c r="G37" s="179">
        <f t="shared" si="5"/>
        <v>40.175243999999999</v>
      </c>
      <c r="H37" s="185">
        <v>47.12</v>
      </c>
      <c r="I37" s="182">
        <f t="shared" si="6"/>
        <v>457.08475599999997</v>
      </c>
      <c r="J37" s="194" t="s">
        <v>16</v>
      </c>
      <c r="K37" s="185" t="s">
        <v>216</v>
      </c>
      <c r="L37" s="182">
        <f t="shared" si="4"/>
        <v>68.562713399999993</v>
      </c>
      <c r="M37" s="182">
        <f t="shared" si="0"/>
        <v>18.283390239999999</v>
      </c>
      <c r="N37" s="183">
        <f t="shared" si="1"/>
        <v>9.1416951199999996</v>
      </c>
      <c r="O37" s="183">
        <f t="shared" si="2"/>
        <v>9.1416951199999996</v>
      </c>
      <c r="P37" s="179">
        <f t="shared" si="3"/>
        <v>31.995932919999987</v>
      </c>
    </row>
    <row r="38" spans="1:16">
      <c r="A38" s="27">
        <v>36</v>
      </c>
      <c r="B38" s="176" t="s">
        <v>217</v>
      </c>
      <c r="C38" s="186" t="s">
        <v>163</v>
      </c>
      <c r="D38" s="216">
        <v>2491243</v>
      </c>
      <c r="E38" s="225">
        <v>5361089</v>
      </c>
      <c r="F38" s="185">
        <v>436.73</v>
      </c>
      <c r="G38" s="179">
        <f t="shared" si="5"/>
        <v>32.230674</v>
      </c>
      <c r="H38" s="185">
        <v>114.94</v>
      </c>
      <c r="I38" s="182">
        <f t="shared" si="6"/>
        <v>289.559326</v>
      </c>
      <c r="J38" s="194" t="s">
        <v>16</v>
      </c>
      <c r="K38" s="185" t="s">
        <v>51</v>
      </c>
      <c r="L38" s="182">
        <f t="shared" si="4"/>
        <v>43.433898899999996</v>
      </c>
      <c r="M38" s="182">
        <f t="shared" si="0"/>
        <v>11.58237304</v>
      </c>
      <c r="N38" s="183">
        <f t="shared" si="1"/>
        <v>5.7911865200000001</v>
      </c>
      <c r="O38" s="183">
        <f t="shared" si="2"/>
        <v>5.7911865200000001</v>
      </c>
      <c r="P38" s="179">
        <f t="shared" si="3"/>
        <v>20.269152819999995</v>
      </c>
    </row>
    <row r="39" spans="1:16">
      <c r="A39" s="27">
        <v>37</v>
      </c>
      <c r="B39" s="176" t="s">
        <v>218</v>
      </c>
      <c r="C39" s="186" t="s">
        <v>163</v>
      </c>
      <c r="D39" s="216">
        <v>34728965</v>
      </c>
      <c r="E39" s="225" t="s">
        <v>219</v>
      </c>
      <c r="F39" s="185">
        <v>404.64</v>
      </c>
      <c r="G39" s="179">
        <f t="shared" si="5"/>
        <v>29.862432000000002</v>
      </c>
      <c r="H39" s="185">
        <v>80.900000000000006</v>
      </c>
      <c r="I39" s="182">
        <f t="shared" si="6"/>
        <v>293.877568</v>
      </c>
      <c r="J39" s="194" t="s">
        <v>16</v>
      </c>
      <c r="K39" s="185" t="s">
        <v>17</v>
      </c>
      <c r="L39" s="182">
        <f t="shared" si="4"/>
        <v>44.081635200000001</v>
      </c>
      <c r="M39" s="182">
        <f t="shared" si="0"/>
        <v>11.75510272</v>
      </c>
      <c r="N39" s="183">
        <f t="shared" si="1"/>
        <v>5.87755136</v>
      </c>
      <c r="O39" s="183">
        <f t="shared" si="2"/>
        <v>5.87755136</v>
      </c>
      <c r="P39" s="179">
        <f t="shared" si="3"/>
        <v>20.571429760000001</v>
      </c>
    </row>
    <row r="40" spans="1:16">
      <c r="A40" s="27">
        <v>38</v>
      </c>
      <c r="B40" s="176" t="s">
        <v>220</v>
      </c>
      <c r="C40" s="186" t="s">
        <v>29</v>
      </c>
      <c r="D40" s="216">
        <v>531712497969</v>
      </c>
      <c r="E40" s="225">
        <v>5362805</v>
      </c>
      <c r="F40" s="185">
        <v>568.01</v>
      </c>
      <c r="G40" s="179">
        <f t="shared" si="5"/>
        <v>41.919138000000004</v>
      </c>
      <c r="H40" s="185">
        <v>0</v>
      </c>
      <c r="I40" s="182">
        <f t="shared" si="6"/>
        <v>526.09086200000002</v>
      </c>
      <c r="J40" s="194" t="s">
        <v>13</v>
      </c>
      <c r="K40" s="185" t="s">
        <v>17</v>
      </c>
      <c r="L40" s="182">
        <f t="shared" si="4"/>
        <v>78.913629299999997</v>
      </c>
      <c r="M40" s="182">
        <f t="shared" si="0"/>
        <v>21.043634480000001</v>
      </c>
      <c r="N40" s="183">
        <f t="shared" si="1"/>
        <v>10.521817240000001</v>
      </c>
      <c r="O40" s="183">
        <f t="shared" si="2"/>
        <v>10.521817240000001</v>
      </c>
      <c r="P40" s="179">
        <f t="shared" si="3"/>
        <v>36.826360339999994</v>
      </c>
    </row>
    <row r="41" spans="1:16">
      <c r="A41" s="27">
        <v>39</v>
      </c>
      <c r="B41" s="326" t="s">
        <v>221</v>
      </c>
      <c r="C41" s="327" t="s">
        <v>163</v>
      </c>
      <c r="D41" s="328">
        <v>1003110145014</v>
      </c>
      <c r="E41" s="327">
        <v>5364203</v>
      </c>
      <c r="F41" s="294">
        <v>517.94000000000005</v>
      </c>
      <c r="G41" s="294">
        <f t="shared" si="5"/>
        <v>38.223972000000003</v>
      </c>
      <c r="H41" s="294">
        <v>55.65</v>
      </c>
      <c r="I41" s="293">
        <f t="shared" si="6"/>
        <v>424.06602800000007</v>
      </c>
      <c r="J41" s="329" t="s">
        <v>16</v>
      </c>
      <c r="K41" s="294" t="s">
        <v>14</v>
      </c>
      <c r="L41" s="293">
        <f t="shared" si="4"/>
        <v>63.60990420000001</v>
      </c>
      <c r="M41" s="293">
        <f t="shared" si="0"/>
        <v>16.962641120000004</v>
      </c>
      <c r="N41" s="296">
        <f t="shared" si="1"/>
        <v>8.4813205600000021</v>
      </c>
      <c r="O41" s="296">
        <f t="shared" si="2"/>
        <v>8.4813205600000021</v>
      </c>
      <c r="P41" s="294">
        <f t="shared" si="3"/>
        <v>29.684621960000001</v>
      </c>
    </row>
    <row r="42" spans="1:16">
      <c r="A42" s="27">
        <v>40</v>
      </c>
      <c r="B42" s="297" t="s">
        <v>222</v>
      </c>
      <c r="C42" s="298" t="s">
        <v>29</v>
      </c>
      <c r="D42" s="299">
        <v>2491197</v>
      </c>
      <c r="E42" s="298">
        <v>5360564</v>
      </c>
      <c r="F42" s="300">
        <v>627.52</v>
      </c>
      <c r="G42" s="300">
        <f t="shared" si="5"/>
        <v>46.310976000000004</v>
      </c>
      <c r="H42" s="300">
        <v>67.430000000000007</v>
      </c>
      <c r="I42" s="301">
        <f t="shared" si="6"/>
        <v>513.77902399999994</v>
      </c>
      <c r="J42" s="302" t="s">
        <v>13</v>
      </c>
      <c r="K42" s="300" t="s">
        <v>14</v>
      </c>
      <c r="L42" s="301">
        <f t="shared" si="4"/>
        <v>77.066853599999988</v>
      </c>
      <c r="M42" s="301">
        <f t="shared" si="0"/>
        <v>20.551160959999997</v>
      </c>
      <c r="N42" s="303">
        <f t="shared" si="1"/>
        <v>10.275580479999999</v>
      </c>
      <c r="O42" s="303">
        <f t="shared" si="2"/>
        <v>10.275580479999999</v>
      </c>
      <c r="P42" s="300">
        <f t="shared" si="3"/>
        <v>35.964531679999993</v>
      </c>
    </row>
    <row r="43" spans="1:16">
      <c r="A43" s="27">
        <v>41</v>
      </c>
      <c r="B43" s="176" t="s">
        <v>223</v>
      </c>
      <c r="C43" s="186" t="s">
        <v>173</v>
      </c>
      <c r="D43" s="216">
        <v>1003110117681</v>
      </c>
      <c r="E43" s="225">
        <v>5364107</v>
      </c>
      <c r="F43" s="185">
        <v>638.55999999999995</v>
      </c>
      <c r="G43" s="179">
        <f t="shared" si="5"/>
        <v>47.125728000000002</v>
      </c>
      <c r="H43" s="185">
        <v>68.010000000000005</v>
      </c>
      <c r="I43" s="182">
        <f t="shared" si="6"/>
        <v>523.42427199999997</v>
      </c>
      <c r="J43" s="194" t="s">
        <v>13</v>
      </c>
      <c r="K43" s="185" t="s">
        <v>17</v>
      </c>
      <c r="L43" s="182">
        <f t="shared" si="4"/>
        <v>78.51364079999999</v>
      </c>
      <c r="M43" s="182">
        <f t="shared" si="0"/>
        <v>20.936970880000001</v>
      </c>
      <c r="N43" s="183">
        <f t="shared" si="1"/>
        <v>10.46848544</v>
      </c>
      <c r="O43" s="183">
        <f t="shared" si="2"/>
        <v>10.46848544</v>
      </c>
      <c r="P43" s="179">
        <f t="shared" si="3"/>
        <v>36.639699039999982</v>
      </c>
    </row>
    <row r="44" spans="1:16">
      <c r="A44" s="27">
        <v>42</v>
      </c>
      <c r="B44" s="176" t="s">
        <v>224</v>
      </c>
      <c r="C44" s="186" t="s">
        <v>173</v>
      </c>
      <c r="D44" s="216">
        <v>1003110151270</v>
      </c>
      <c r="E44" s="225">
        <v>5367888</v>
      </c>
      <c r="F44" s="185">
        <v>635.38</v>
      </c>
      <c r="G44" s="179">
        <f t="shared" si="5"/>
        <v>46.891044000000001</v>
      </c>
      <c r="H44" s="185">
        <v>68.760000000000005</v>
      </c>
      <c r="I44" s="182">
        <f t="shared" si="6"/>
        <v>519.72895600000004</v>
      </c>
      <c r="J44" s="194" t="s">
        <v>13</v>
      </c>
      <c r="K44" s="185" t="s">
        <v>17</v>
      </c>
      <c r="L44" s="182">
        <f t="shared" si="4"/>
        <v>77.959343400000009</v>
      </c>
      <c r="M44" s="182">
        <f t="shared" si="0"/>
        <v>20.789158240000003</v>
      </c>
      <c r="N44" s="183">
        <f t="shared" si="1"/>
        <v>10.394579120000001</v>
      </c>
      <c r="O44" s="183">
        <f t="shared" si="2"/>
        <v>10.394579120000001</v>
      </c>
      <c r="P44" s="179">
        <f t="shared" si="3"/>
        <v>36.381026919999996</v>
      </c>
    </row>
    <row r="45" spans="1:16">
      <c r="A45" s="27">
        <v>43</v>
      </c>
      <c r="B45" s="176" t="s">
        <v>225</v>
      </c>
      <c r="C45" s="186" t="s">
        <v>163</v>
      </c>
      <c r="D45" s="216">
        <v>1003110146820</v>
      </c>
      <c r="E45" s="225">
        <v>5350370</v>
      </c>
      <c r="F45" s="185">
        <v>542.19000000000005</v>
      </c>
      <c r="G45" s="179">
        <f t="shared" si="5"/>
        <v>40.013622000000005</v>
      </c>
      <c r="H45" s="185">
        <v>180.73</v>
      </c>
      <c r="I45" s="182">
        <f t="shared" si="6"/>
        <v>321.4463780000001</v>
      </c>
      <c r="J45" s="194" t="s">
        <v>13</v>
      </c>
      <c r="K45" s="185" t="s">
        <v>158</v>
      </c>
      <c r="L45" s="182">
        <f t="shared" si="4"/>
        <v>48.216956700000011</v>
      </c>
      <c r="M45" s="182">
        <f t="shared" si="0"/>
        <v>12.857855120000004</v>
      </c>
      <c r="N45" s="183">
        <f t="shared" si="1"/>
        <v>6.4289275600000018</v>
      </c>
      <c r="O45" s="183">
        <f t="shared" si="2"/>
        <v>6.4289275600000018</v>
      </c>
      <c r="P45" s="179">
        <f t="shared" si="3"/>
        <v>22.501246460000004</v>
      </c>
    </row>
    <row r="46" spans="1:16">
      <c r="A46" s="27">
        <v>44</v>
      </c>
      <c r="B46" s="176" t="s">
        <v>226</v>
      </c>
      <c r="C46" s="186" t="s">
        <v>173</v>
      </c>
      <c r="D46" s="218">
        <v>100311011288</v>
      </c>
      <c r="E46" s="225">
        <v>5359149</v>
      </c>
      <c r="F46" s="185">
        <v>528.44000000000005</v>
      </c>
      <c r="G46" s="179">
        <f t="shared" si="5"/>
        <v>38.998872000000006</v>
      </c>
      <c r="H46" s="185">
        <v>65.25</v>
      </c>
      <c r="I46" s="182">
        <f t="shared" si="6"/>
        <v>424.19112800000005</v>
      </c>
      <c r="J46" s="194" t="s">
        <v>16</v>
      </c>
      <c r="K46" s="185" t="s">
        <v>227</v>
      </c>
      <c r="L46" s="182">
        <f t="shared" si="4"/>
        <v>63.628669200000004</v>
      </c>
      <c r="M46" s="182">
        <f t="shared" si="0"/>
        <v>16.967645120000004</v>
      </c>
      <c r="N46" s="183">
        <f t="shared" si="1"/>
        <v>8.4838225600000019</v>
      </c>
      <c r="O46" s="183">
        <f t="shared" si="2"/>
        <v>8.4838225600000019</v>
      </c>
      <c r="P46" s="179">
        <f t="shared" si="3"/>
        <v>29.693378960000004</v>
      </c>
    </row>
    <row r="47" spans="1:16">
      <c r="A47" s="27">
        <v>45</v>
      </c>
      <c r="B47" s="176" t="s">
        <v>228</v>
      </c>
      <c r="C47" s="186" t="s">
        <v>229</v>
      </c>
      <c r="D47" s="216">
        <v>10031101555152</v>
      </c>
      <c r="E47" s="225">
        <v>5368561</v>
      </c>
      <c r="F47" s="185">
        <v>1189.68</v>
      </c>
      <c r="G47" s="179">
        <f t="shared" si="5"/>
        <v>87.798384000000013</v>
      </c>
      <c r="H47" s="185">
        <v>127.84</v>
      </c>
      <c r="I47" s="182">
        <f t="shared" si="6"/>
        <v>974.04161600000009</v>
      </c>
      <c r="J47" s="194" t="s">
        <v>13</v>
      </c>
      <c r="K47" s="185" t="s">
        <v>14</v>
      </c>
      <c r="L47" s="182">
        <f t="shared" si="4"/>
        <v>146.10624240000001</v>
      </c>
      <c r="M47" s="182">
        <f t="shared" si="0"/>
        <v>38.961664640000002</v>
      </c>
      <c r="N47" s="183">
        <f t="shared" si="1"/>
        <v>19.480832320000001</v>
      </c>
      <c r="O47" s="183">
        <f t="shared" si="2"/>
        <v>19.480832320000001</v>
      </c>
      <c r="P47" s="179">
        <f t="shared" si="3"/>
        <v>68.182913119999995</v>
      </c>
    </row>
    <row r="48" spans="1:16">
      <c r="A48" s="27">
        <v>46</v>
      </c>
      <c r="B48" s="176" t="s">
        <v>230</v>
      </c>
      <c r="C48" s="186" t="s">
        <v>163</v>
      </c>
      <c r="D48" s="216">
        <v>17452987</v>
      </c>
      <c r="E48" s="225">
        <v>5371958</v>
      </c>
      <c r="F48" s="185">
        <v>397.14</v>
      </c>
      <c r="G48" s="179">
        <f t="shared" si="5"/>
        <v>29.308932000000002</v>
      </c>
      <c r="H48" s="185">
        <v>99.24</v>
      </c>
      <c r="I48" s="182">
        <f t="shared" si="6"/>
        <v>268.59106799999995</v>
      </c>
      <c r="J48" s="194" t="s">
        <v>13</v>
      </c>
      <c r="K48" s="185" t="s">
        <v>174</v>
      </c>
      <c r="L48" s="182">
        <f t="shared" si="4"/>
        <v>40.288660199999988</v>
      </c>
      <c r="M48" s="182">
        <f t="shared" si="0"/>
        <v>10.743642719999999</v>
      </c>
      <c r="N48" s="183">
        <f t="shared" si="1"/>
        <v>5.3718213599999993</v>
      </c>
      <c r="O48" s="183">
        <f t="shared" si="2"/>
        <v>5.3718213599999993</v>
      </c>
      <c r="P48" s="179">
        <f t="shared" si="3"/>
        <v>18.801374759999995</v>
      </c>
    </row>
    <row r="49" spans="1:16">
      <c r="A49" s="27">
        <v>47</v>
      </c>
      <c r="B49" s="176" t="s">
        <v>231</v>
      </c>
      <c r="C49" s="186" t="s">
        <v>173</v>
      </c>
      <c r="D49" s="216">
        <v>1003110156625</v>
      </c>
      <c r="E49" s="225">
        <v>5370910</v>
      </c>
      <c r="F49" s="185">
        <v>560.51</v>
      </c>
      <c r="G49" s="179">
        <f t="shared" si="5"/>
        <v>41.365638000000004</v>
      </c>
      <c r="H49" s="185">
        <v>60.23</v>
      </c>
      <c r="I49" s="182">
        <f t="shared" si="6"/>
        <v>458.91436199999998</v>
      </c>
      <c r="J49" s="194" t="s">
        <v>13</v>
      </c>
      <c r="K49" s="185" t="s">
        <v>51</v>
      </c>
      <c r="L49" s="182">
        <f t="shared" si="4"/>
        <v>68.837154299999995</v>
      </c>
      <c r="M49" s="182">
        <f t="shared" si="0"/>
        <v>18.356574479999999</v>
      </c>
      <c r="N49" s="183">
        <f t="shared" si="1"/>
        <v>9.1782872399999995</v>
      </c>
      <c r="O49" s="183">
        <f t="shared" si="2"/>
        <v>9.1782872399999995</v>
      </c>
      <c r="P49" s="179">
        <f t="shared" si="3"/>
        <v>32.124005339999997</v>
      </c>
    </row>
    <row r="50" spans="1:16">
      <c r="A50" s="27">
        <v>48</v>
      </c>
      <c r="B50" s="176" t="s">
        <v>232</v>
      </c>
      <c r="C50" s="186" t="s">
        <v>29</v>
      </c>
      <c r="D50" s="216">
        <v>1003110156759</v>
      </c>
      <c r="E50" s="225">
        <v>5371682</v>
      </c>
      <c r="F50" s="185">
        <v>658.28</v>
      </c>
      <c r="G50" s="179">
        <f t="shared" si="5"/>
        <v>48.581063999999998</v>
      </c>
      <c r="H50" s="185">
        <v>70.73</v>
      </c>
      <c r="I50" s="182">
        <f t="shared" si="6"/>
        <v>538.96893599999999</v>
      </c>
      <c r="J50" s="194" t="s">
        <v>13</v>
      </c>
      <c r="K50" s="185" t="s">
        <v>51</v>
      </c>
      <c r="L50" s="182">
        <f t="shared" si="4"/>
        <v>80.845340399999998</v>
      </c>
      <c r="M50" s="182">
        <f t="shared" si="0"/>
        <v>21.558757440000001</v>
      </c>
      <c r="N50" s="183">
        <f t="shared" si="1"/>
        <v>10.77937872</v>
      </c>
      <c r="O50" s="183">
        <f t="shared" si="2"/>
        <v>10.77937872</v>
      </c>
      <c r="P50" s="179">
        <f t="shared" si="3"/>
        <v>37.727825519999996</v>
      </c>
    </row>
    <row r="51" spans="1:16">
      <c r="A51" s="27">
        <v>49</v>
      </c>
      <c r="B51" s="176" t="s">
        <v>233</v>
      </c>
      <c r="C51" s="186" t="s">
        <v>234</v>
      </c>
      <c r="D51" s="216">
        <v>1003110161807</v>
      </c>
      <c r="E51" s="225">
        <v>5373439</v>
      </c>
      <c r="F51" s="185">
        <v>597.63</v>
      </c>
      <c r="G51" s="179">
        <f t="shared" si="5"/>
        <v>44.105094000000001</v>
      </c>
      <c r="H51" s="185">
        <v>64.22</v>
      </c>
      <c r="I51" s="182">
        <f t="shared" si="6"/>
        <v>489.30490599999996</v>
      </c>
      <c r="J51" s="194" t="s">
        <v>13</v>
      </c>
      <c r="K51" s="185" t="s">
        <v>235</v>
      </c>
      <c r="L51" s="182">
        <f t="shared" si="4"/>
        <v>73.395735899999991</v>
      </c>
      <c r="M51" s="182">
        <f t="shared" si="0"/>
        <v>19.57219624</v>
      </c>
      <c r="N51" s="183">
        <f t="shared" si="1"/>
        <v>9.7860981200000001</v>
      </c>
      <c r="O51" s="183">
        <f t="shared" si="2"/>
        <v>9.7860981200000001</v>
      </c>
      <c r="P51" s="179">
        <f t="shared" si="3"/>
        <v>34.251343419999998</v>
      </c>
    </row>
    <row r="52" spans="1:16">
      <c r="A52" s="27">
        <v>50</v>
      </c>
      <c r="B52" s="176" t="s">
        <v>236</v>
      </c>
      <c r="C52" s="186" t="s">
        <v>163</v>
      </c>
      <c r="D52" s="216">
        <v>1003110163351</v>
      </c>
      <c r="E52" s="225">
        <v>5370637</v>
      </c>
      <c r="F52" s="185">
        <v>522.47</v>
      </c>
      <c r="G52" s="179">
        <f t="shared" si="5"/>
        <v>38.558286000000003</v>
      </c>
      <c r="H52" s="185">
        <v>56.14</v>
      </c>
      <c r="I52" s="182">
        <f t="shared" si="6"/>
        <v>427.77171400000003</v>
      </c>
      <c r="J52" s="194" t="s">
        <v>13</v>
      </c>
      <c r="K52" s="185" t="s">
        <v>17</v>
      </c>
      <c r="L52" s="182">
        <f t="shared" si="4"/>
        <v>64.165757100000008</v>
      </c>
      <c r="M52" s="182">
        <f t="shared" si="0"/>
        <v>17.11086856</v>
      </c>
      <c r="N52" s="183">
        <f t="shared" si="1"/>
        <v>8.5554342800000001</v>
      </c>
      <c r="O52" s="183">
        <f t="shared" si="2"/>
        <v>8.5554342800000001</v>
      </c>
      <c r="P52" s="179">
        <f t="shared" si="3"/>
        <v>29.944019980000007</v>
      </c>
    </row>
    <row r="53" spans="1:16">
      <c r="A53" s="27">
        <v>51</v>
      </c>
      <c r="B53" s="176" t="s">
        <v>237</v>
      </c>
      <c r="C53" s="186" t="s">
        <v>168</v>
      </c>
      <c r="D53" s="216">
        <v>2491243</v>
      </c>
      <c r="E53" s="225">
        <v>5378616</v>
      </c>
      <c r="F53" s="185">
        <v>632.29999999999995</v>
      </c>
      <c r="G53" s="179">
        <f t="shared" si="5"/>
        <v>46.663739999999997</v>
      </c>
      <c r="H53" s="185">
        <v>0</v>
      </c>
      <c r="I53" s="182">
        <f t="shared" si="6"/>
        <v>585.63625999999999</v>
      </c>
      <c r="J53" s="194" t="s">
        <v>13</v>
      </c>
      <c r="K53" s="185" t="s">
        <v>238</v>
      </c>
      <c r="L53" s="182">
        <f t="shared" si="4"/>
        <v>87.845438999999999</v>
      </c>
      <c r="M53" s="182">
        <f t="shared" si="0"/>
        <v>23.425450399999999</v>
      </c>
      <c r="N53" s="183">
        <f t="shared" si="1"/>
        <v>11.7127252</v>
      </c>
      <c r="O53" s="183">
        <f t="shared" si="2"/>
        <v>11.7127252</v>
      </c>
      <c r="P53" s="179">
        <f t="shared" si="3"/>
        <v>40.994538199999994</v>
      </c>
    </row>
    <row r="54" spans="1:16">
      <c r="A54" s="27">
        <v>52</v>
      </c>
      <c r="B54" s="176" t="s">
        <v>239</v>
      </c>
      <c r="C54" s="186" t="s">
        <v>173</v>
      </c>
      <c r="D54" s="216">
        <v>1003110167216</v>
      </c>
      <c r="E54" s="225">
        <v>5376522</v>
      </c>
      <c r="F54" s="185">
        <v>556.15</v>
      </c>
      <c r="G54" s="179">
        <f t="shared" si="5"/>
        <v>41.043869999999998</v>
      </c>
      <c r="H54" s="185">
        <v>68.59</v>
      </c>
      <c r="I54" s="182">
        <f t="shared" si="6"/>
        <v>446.51612999999998</v>
      </c>
      <c r="J54" s="194" t="s">
        <v>13</v>
      </c>
      <c r="K54" s="185" t="s">
        <v>238</v>
      </c>
      <c r="L54" s="182">
        <f t="shared" si="4"/>
        <v>66.977419499999996</v>
      </c>
      <c r="M54" s="182">
        <f t="shared" si="0"/>
        <v>17.8606452</v>
      </c>
      <c r="N54" s="183">
        <f t="shared" si="1"/>
        <v>8.9303226000000002</v>
      </c>
      <c r="O54" s="183">
        <f t="shared" si="2"/>
        <v>8.9303226000000002</v>
      </c>
      <c r="P54" s="179">
        <f t="shared" si="3"/>
        <v>31.256129099999992</v>
      </c>
    </row>
    <row r="55" spans="1:16">
      <c r="A55" s="27">
        <v>53</v>
      </c>
      <c r="B55" s="176" t="s">
        <v>240</v>
      </c>
      <c r="C55" s="186" t="s">
        <v>241</v>
      </c>
      <c r="D55" s="216">
        <v>1003110164345</v>
      </c>
      <c r="E55" s="225">
        <v>5376836</v>
      </c>
      <c r="F55" s="185">
        <v>676.03</v>
      </c>
      <c r="G55" s="179">
        <f t="shared" si="5"/>
        <v>49.891013999999998</v>
      </c>
      <c r="H55" s="185">
        <v>0</v>
      </c>
      <c r="I55" s="182">
        <f t="shared" si="6"/>
        <v>626.13898599999993</v>
      </c>
      <c r="J55" s="194" t="s">
        <v>13</v>
      </c>
      <c r="K55" s="185" t="s">
        <v>17</v>
      </c>
      <c r="L55" s="182">
        <f t="shared" si="4"/>
        <v>93.920847899999984</v>
      </c>
      <c r="M55" s="182">
        <f t="shared" si="0"/>
        <v>25.045559439999998</v>
      </c>
      <c r="N55" s="183">
        <f t="shared" si="1"/>
        <v>12.522779719999999</v>
      </c>
      <c r="O55" s="183">
        <f t="shared" si="2"/>
        <v>12.522779719999999</v>
      </c>
      <c r="P55" s="179">
        <f t="shared" si="3"/>
        <v>43.829729019999974</v>
      </c>
    </row>
    <row r="56" spans="1:16">
      <c r="A56" s="27">
        <v>54</v>
      </c>
      <c r="B56" s="176" t="s">
        <v>242</v>
      </c>
      <c r="C56" s="186" t="s">
        <v>243</v>
      </c>
      <c r="D56" s="216">
        <v>2513719</v>
      </c>
      <c r="E56" s="225">
        <v>5351153</v>
      </c>
      <c r="F56" s="185">
        <v>459.72</v>
      </c>
      <c r="G56" s="179">
        <f t="shared" si="5"/>
        <v>33.927336000000004</v>
      </c>
      <c r="H56" s="185">
        <v>101.27</v>
      </c>
      <c r="I56" s="182">
        <f t="shared" si="6"/>
        <v>324.52266400000002</v>
      </c>
      <c r="J56" s="194" t="s">
        <v>13</v>
      </c>
      <c r="K56" s="185" t="s">
        <v>14</v>
      </c>
      <c r="L56" s="182">
        <f t="shared" si="4"/>
        <v>48.678399599999999</v>
      </c>
      <c r="M56" s="182">
        <f t="shared" si="0"/>
        <v>12.980906560000001</v>
      </c>
      <c r="N56" s="183">
        <f t="shared" si="1"/>
        <v>6.4904532800000005</v>
      </c>
      <c r="O56" s="183">
        <f t="shared" si="2"/>
        <v>6.4904532800000005</v>
      </c>
      <c r="P56" s="179">
        <f t="shared" si="3"/>
        <v>22.716586479999997</v>
      </c>
    </row>
    <row r="57" spans="1:16">
      <c r="A57" s="27">
        <v>55</v>
      </c>
      <c r="B57" s="176" t="s">
        <v>244</v>
      </c>
      <c r="C57" s="186" t="s">
        <v>173</v>
      </c>
      <c r="D57" s="216">
        <v>1003110164226</v>
      </c>
      <c r="E57" s="225">
        <v>5362275</v>
      </c>
      <c r="F57" s="185">
        <v>578.99</v>
      </c>
      <c r="G57" s="179">
        <f t="shared" si="5"/>
        <v>42.729462000000005</v>
      </c>
      <c r="H57" s="185">
        <v>150.61000000000001</v>
      </c>
      <c r="I57" s="182">
        <f t="shared" si="6"/>
        <v>385.65053799999998</v>
      </c>
      <c r="J57" s="194" t="s">
        <v>16</v>
      </c>
      <c r="K57" s="185" t="s">
        <v>14</v>
      </c>
      <c r="L57" s="182">
        <f t="shared" si="4"/>
        <v>57.847580699999995</v>
      </c>
      <c r="M57" s="182">
        <f t="shared" si="0"/>
        <v>15.426021519999999</v>
      </c>
      <c r="N57" s="183">
        <f t="shared" si="1"/>
        <v>7.7130107599999995</v>
      </c>
      <c r="O57" s="183">
        <f t="shared" si="2"/>
        <v>7.7130107599999995</v>
      </c>
      <c r="P57" s="179">
        <f t="shared" si="3"/>
        <v>26.99553766</v>
      </c>
    </row>
    <row r="58" spans="1:16">
      <c r="A58" s="27">
        <v>56</v>
      </c>
      <c r="B58" s="326" t="s">
        <v>245</v>
      </c>
      <c r="C58" s="327" t="s">
        <v>29</v>
      </c>
      <c r="D58" s="328">
        <v>1003110172156</v>
      </c>
      <c r="E58" s="327">
        <v>5381028</v>
      </c>
      <c r="F58" s="294">
        <v>768.8</v>
      </c>
      <c r="G58" s="294">
        <f t="shared" si="5"/>
        <v>56.737439999999999</v>
      </c>
      <c r="H58" s="294">
        <v>94.18</v>
      </c>
      <c r="I58" s="293">
        <f t="shared" si="6"/>
        <v>617.88256000000001</v>
      </c>
      <c r="J58" s="329" t="s">
        <v>13</v>
      </c>
      <c r="K58" s="294" t="s">
        <v>17</v>
      </c>
      <c r="L58" s="293">
        <f t="shared" si="4"/>
        <v>92.682383999999999</v>
      </c>
      <c r="M58" s="293">
        <f t="shared" si="0"/>
        <v>24.715302400000002</v>
      </c>
      <c r="N58" s="296">
        <f t="shared" si="1"/>
        <v>12.357651200000001</v>
      </c>
      <c r="O58" s="296">
        <f t="shared" si="2"/>
        <v>12.357651200000001</v>
      </c>
      <c r="P58" s="294">
        <f t="shared" si="3"/>
        <v>43.251779200000001</v>
      </c>
    </row>
    <row r="59" spans="1:16">
      <c r="A59" s="27">
        <v>57</v>
      </c>
      <c r="B59" s="176" t="s">
        <v>246</v>
      </c>
      <c r="C59" s="186" t="s">
        <v>247</v>
      </c>
      <c r="D59" s="14">
        <v>51772025423103</v>
      </c>
      <c r="E59" s="225">
        <v>5380568</v>
      </c>
      <c r="F59" s="185">
        <v>482.52</v>
      </c>
      <c r="G59" s="179">
        <f t="shared" si="5"/>
        <v>35.609976000000003</v>
      </c>
      <c r="H59" s="185">
        <v>120.52</v>
      </c>
      <c r="I59" s="182">
        <f t="shared" si="6"/>
        <v>326.39002399999998</v>
      </c>
      <c r="J59" s="194" t="s">
        <v>13</v>
      </c>
      <c r="K59" s="185" t="s">
        <v>17</v>
      </c>
      <c r="L59" s="182">
        <f t="shared" si="4"/>
        <v>48.958503599999993</v>
      </c>
      <c r="M59" s="182">
        <f t="shared" si="0"/>
        <v>13.05560096</v>
      </c>
      <c r="N59" s="183">
        <f t="shared" si="1"/>
        <v>6.5278004799999998</v>
      </c>
      <c r="O59" s="183">
        <f t="shared" si="2"/>
        <v>6.5278004799999998</v>
      </c>
      <c r="P59" s="179">
        <f t="shared" si="3"/>
        <v>22.847301679999994</v>
      </c>
    </row>
    <row r="60" spans="1:16">
      <c r="A60" s="27">
        <v>58</v>
      </c>
      <c r="B60" s="176" t="s">
        <v>248</v>
      </c>
      <c r="C60" s="186" t="s">
        <v>173</v>
      </c>
      <c r="D60" s="15">
        <v>51772025423103</v>
      </c>
      <c r="E60" s="225">
        <v>5380671</v>
      </c>
      <c r="F60" s="185">
        <v>869.92</v>
      </c>
      <c r="G60" s="179">
        <f t="shared" si="5"/>
        <v>64.200096000000002</v>
      </c>
      <c r="H60" s="185">
        <v>86.99</v>
      </c>
      <c r="I60" s="182">
        <f t="shared" si="6"/>
        <v>718.72990399999992</v>
      </c>
      <c r="J60" s="194" t="s">
        <v>16</v>
      </c>
      <c r="K60" s="185" t="s">
        <v>182</v>
      </c>
      <c r="L60" s="182">
        <f t="shared" si="4"/>
        <v>107.80948559999999</v>
      </c>
      <c r="M60" s="182">
        <f t="shared" si="0"/>
        <v>28.749196159999997</v>
      </c>
      <c r="N60" s="183">
        <f t="shared" si="1"/>
        <v>14.374598079999998</v>
      </c>
      <c r="O60" s="183">
        <f t="shared" si="2"/>
        <v>14.374598079999998</v>
      </c>
      <c r="P60" s="179">
        <f t="shared" si="3"/>
        <v>50.311093279999994</v>
      </c>
    </row>
    <row r="61" spans="1:16">
      <c r="A61" s="27">
        <v>59</v>
      </c>
      <c r="B61" s="176" t="s">
        <v>249</v>
      </c>
      <c r="C61" s="186" t="s">
        <v>173</v>
      </c>
      <c r="D61" s="216">
        <v>1003110170155</v>
      </c>
      <c r="E61" s="225">
        <v>5380127</v>
      </c>
      <c r="F61" s="185">
        <v>642.21</v>
      </c>
      <c r="G61" s="179">
        <f t="shared" si="5"/>
        <v>47.395098000000004</v>
      </c>
      <c r="H61" s="185">
        <v>0</v>
      </c>
      <c r="I61" s="182">
        <f t="shared" si="6"/>
        <v>594.81490200000007</v>
      </c>
      <c r="J61" s="194" t="s">
        <v>13</v>
      </c>
      <c r="K61" s="185" t="s">
        <v>250</v>
      </c>
      <c r="L61" s="182">
        <f t="shared" si="4"/>
        <v>89.222235300000008</v>
      </c>
      <c r="M61" s="182">
        <f t="shared" si="0"/>
        <v>23.792596080000003</v>
      </c>
      <c r="N61" s="183">
        <f t="shared" si="1"/>
        <v>11.896298040000001</v>
      </c>
      <c r="O61" s="183">
        <f t="shared" si="2"/>
        <v>11.896298040000001</v>
      </c>
      <c r="P61" s="179">
        <f t="shared" si="3"/>
        <v>41.637043140000003</v>
      </c>
    </row>
    <row r="62" spans="1:16">
      <c r="A62" s="27">
        <v>60</v>
      </c>
      <c r="B62" s="176" t="s">
        <v>251</v>
      </c>
      <c r="C62" s="186" t="s">
        <v>247</v>
      </c>
      <c r="D62" s="216">
        <v>51772025423103</v>
      </c>
      <c r="E62" s="225">
        <v>5379295</v>
      </c>
      <c r="F62" s="185">
        <v>482.52</v>
      </c>
      <c r="G62" s="179">
        <f t="shared" si="5"/>
        <v>35.609976000000003</v>
      </c>
      <c r="H62" s="185">
        <v>120.52</v>
      </c>
      <c r="I62" s="182">
        <f t="shared" si="6"/>
        <v>326.39002399999998</v>
      </c>
      <c r="J62" s="194" t="s">
        <v>13</v>
      </c>
      <c r="K62" s="185" t="s">
        <v>211</v>
      </c>
      <c r="L62" s="182">
        <f t="shared" si="4"/>
        <v>48.958503599999993</v>
      </c>
      <c r="M62" s="182">
        <f t="shared" si="0"/>
        <v>13.05560096</v>
      </c>
      <c r="N62" s="183">
        <f t="shared" si="1"/>
        <v>6.5278004799999998</v>
      </c>
      <c r="O62" s="183">
        <f t="shared" si="2"/>
        <v>6.5278004799999998</v>
      </c>
      <c r="P62" s="179">
        <f t="shared" si="3"/>
        <v>22.847301679999994</v>
      </c>
    </row>
    <row r="63" spans="1:16">
      <c r="A63" s="27">
        <v>61</v>
      </c>
      <c r="B63" s="176" t="s">
        <v>252</v>
      </c>
      <c r="C63" s="186" t="s">
        <v>29</v>
      </c>
      <c r="D63" s="216">
        <v>2507875</v>
      </c>
      <c r="E63" s="225">
        <v>5378947</v>
      </c>
      <c r="F63" s="185">
        <v>973.25</v>
      </c>
      <c r="G63" s="179">
        <f t="shared" si="5"/>
        <v>71.825850000000003</v>
      </c>
      <c r="H63" s="185">
        <v>0</v>
      </c>
      <c r="I63" s="182">
        <f t="shared" si="6"/>
        <v>901.42415000000005</v>
      </c>
      <c r="J63" s="194" t="s">
        <v>13</v>
      </c>
      <c r="K63" s="185" t="s">
        <v>250</v>
      </c>
      <c r="L63" s="182">
        <f t="shared" si="4"/>
        <v>135.21362250000001</v>
      </c>
      <c r="M63" s="182">
        <f t="shared" si="0"/>
        <v>36.056966000000003</v>
      </c>
      <c r="N63" s="183">
        <f t="shared" si="1"/>
        <v>18.028483000000001</v>
      </c>
      <c r="O63" s="183">
        <f t="shared" si="2"/>
        <v>18.028483000000001</v>
      </c>
      <c r="P63" s="179">
        <f t="shared" si="3"/>
        <v>63.099690500000001</v>
      </c>
    </row>
    <row r="64" spans="1:16">
      <c r="A64" s="27">
        <v>62</v>
      </c>
      <c r="B64" s="176" t="s">
        <v>253</v>
      </c>
      <c r="C64" s="186" t="s">
        <v>234</v>
      </c>
      <c r="D64" s="216">
        <v>1003110171861</v>
      </c>
      <c r="E64" s="225">
        <v>5378162</v>
      </c>
      <c r="F64" s="185">
        <v>532.63</v>
      </c>
      <c r="G64" s="179">
        <f t="shared" si="5"/>
        <v>39.308094000000004</v>
      </c>
      <c r="H64" s="185">
        <v>64.83</v>
      </c>
      <c r="I64" s="182">
        <f t="shared" si="6"/>
        <v>428.49190600000003</v>
      </c>
      <c r="J64" s="194" t="s">
        <v>13</v>
      </c>
      <c r="K64" s="185" t="s">
        <v>211</v>
      </c>
      <c r="L64" s="182">
        <f t="shared" si="4"/>
        <v>64.273785900000007</v>
      </c>
      <c r="M64" s="182">
        <f t="shared" si="0"/>
        <v>17.13967624</v>
      </c>
      <c r="N64" s="183">
        <f t="shared" si="1"/>
        <v>8.56983812</v>
      </c>
      <c r="O64" s="183">
        <f t="shared" si="2"/>
        <v>8.56983812</v>
      </c>
      <c r="P64" s="179">
        <f t="shared" si="3"/>
        <v>29.994433420000007</v>
      </c>
    </row>
    <row r="65" spans="1:16">
      <c r="A65" s="27">
        <v>63</v>
      </c>
      <c r="B65" s="176" t="s">
        <v>254</v>
      </c>
      <c r="C65" s="186" t="s">
        <v>70</v>
      </c>
      <c r="D65" s="216">
        <v>10031101168723</v>
      </c>
      <c r="E65" s="225">
        <v>5379213</v>
      </c>
      <c r="F65" s="185">
        <v>537.42999999999995</v>
      </c>
      <c r="G65" s="179">
        <f t="shared" si="5"/>
        <v>39.662334000000001</v>
      </c>
      <c r="H65" s="185">
        <v>57.75</v>
      </c>
      <c r="I65" s="182">
        <f t="shared" si="6"/>
        <v>440.01766599999996</v>
      </c>
      <c r="J65" s="194" t="s">
        <v>13</v>
      </c>
      <c r="K65" s="185" t="s">
        <v>49</v>
      </c>
      <c r="L65" s="182">
        <f t="shared" si="4"/>
        <v>66.002649899999994</v>
      </c>
      <c r="M65" s="182">
        <f t="shared" si="0"/>
        <v>17.600706639999999</v>
      </c>
      <c r="N65" s="183">
        <f t="shared" si="1"/>
        <v>8.8003533199999993</v>
      </c>
      <c r="O65" s="183">
        <f t="shared" si="2"/>
        <v>8.8003533199999993</v>
      </c>
      <c r="P65" s="179">
        <f t="shared" si="3"/>
        <v>30.801236619999997</v>
      </c>
    </row>
    <row r="66" spans="1:16">
      <c r="A66" s="27">
        <v>64</v>
      </c>
      <c r="B66" s="176" t="s">
        <v>255</v>
      </c>
      <c r="C66" s="186" t="s">
        <v>29</v>
      </c>
      <c r="D66" s="216">
        <v>1003110169973</v>
      </c>
      <c r="E66" s="225">
        <v>5373758</v>
      </c>
      <c r="F66" s="185">
        <v>614.79999999999995</v>
      </c>
      <c r="G66" s="179">
        <f t="shared" si="5"/>
        <v>45.372239999999998</v>
      </c>
      <c r="H66" s="185">
        <v>75.83</v>
      </c>
      <c r="I66" s="182">
        <f t="shared" si="6"/>
        <v>493.59775999999994</v>
      </c>
      <c r="J66" s="194" t="s">
        <v>13</v>
      </c>
      <c r="K66" s="185" t="s">
        <v>256</v>
      </c>
      <c r="L66" s="182">
        <f t="shared" si="4"/>
        <v>74.039663999999988</v>
      </c>
      <c r="M66" s="182">
        <f t="shared" si="0"/>
        <v>19.743910399999997</v>
      </c>
      <c r="N66" s="183">
        <f t="shared" si="1"/>
        <v>9.8719551999999986</v>
      </c>
      <c r="O66" s="183">
        <f t="shared" si="2"/>
        <v>9.8719551999999986</v>
      </c>
      <c r="P66" s="179">
        <f t="shared" si="3"/>
        <v>34.551843199999993</v>
      </c>
    </row>
    <row r="67" spans="1:16">
      <c r="A67" s="27">
        <v>65</v>
      </c>
      <c r="B67" s="176" t="s">
        <v>257</v>
      </c>
      <c r="C67" s="186" t="s">
        <v>19</v>
      </c>
      <c r="D67" s="216">
        <v>1003110177416</v>
      </c>
      <c r="E67" s="225">
        <v>5382675</v>
      </c>
      <c r="F67" s="185">
        <v>498.02</v>
      </c>
      <c r="G67" s="179">
        <f t="shared" si="5"/>
        <v>36.753875999999998</v>
      </c>
      <c r="H67" s="185">
        <v>0</v>
      </c>
      <c r="I67" s="182">
        <f t="shared" si="6"/>
        <v>461.26612399999999</v>
      </c>
      <c r="J67" s="194" t="s">
        <v>13</v>
      </c>
      <c r="K67" s="185" t="s">
        <v>258</v>
      </c>
      <c r="L67" s="182">
        <f t="shared" si="4"/>
        <v>69.189918599999999</v>
      </c>
      <c r="M67" s="182">
        <f t="shared" ref="M67:M98" si="7">I67*4%</f>
        <v>18.450644960000002</v>
      </c>
      <c r="N67" s="183">
        <f t="shared" ref="N67:N98" si="8">I67*2%</f>
        <v>9.2253224800000009</v>
      </c>
      <c r="O67" s="183">
        <f t="shared" ref="O67:O98" si="9">I67*2%</f>
        <v>9.2253224800000009</v>
      </c>
      <c r="P67" s="179">
        <f t="shared" ref="P67:P98" si="10">L67-M67-N67-O67</f>
        <v>32.288628679999988</v>
      </c>
    </row>
    <row r="68" spans="1:16">
      <c r="A68" s="27">
        <v>66</v>
      </c>
      <c r="B68" s="176" t="s">
        <v>259</v>
      </c>
      <c r="C68" s="186" t="s">
        <v>29</v>
      </c>
      <c r="D68" s="216">
        <v>2505511</v>
      </c>
      <c r="E68" s="225">
        <v>5383352</v>
      </c>
      <c r="F68" s="185">
        <v>635.64</v>
      </c>
      <c r="G68" s="179">
        <f t="shared" si="5"/>
        <v>46.910232000000001</v>
      </c>
      <c r="H68" s="185">
        <v>63.56</v>
      </c>
      <c r="I68" s="182">
        <f t="shared" si="6"/>
        <v>525.16976799999998</v>
      </c>
      <c r="J68" s="194" t="s">
        <v>16</v>
      </c>
      <c r="K68" s="185" t="s">
        <v>17</v>
      </c>
      <c r="L68" s="182">
        <f t="shared" ref="L68:L98" si="11">I68*15%</f>
        <v>78.775465199999999</v>
      </c>
      <c r="M68" s="182">
        <f t="shared" si="7"/>
        <v>21.006790719999998</v>
      </c>
      <c r="N68" s="210">
        <f t="shared" si="8"/>
        <v>10.503395359999999</v>
      </c>
      <c r="O68" s="210">
        <f t="shared" si="9"/>
        <v>10.503395359999999</v>
      </c>
      <c r="P68" s="211">
        <f t="shared" si="10"/>
        <v>36.761883760000003</v>
      </c>
    </row>
    <row r="69" spans="1:16">
      <c r="A69" s="27">
        <v>67</v>
      </c>
      <c r="B69" s="212" t="s">
        <v>260</v>
      </c>
      <c r="C69" s="186" t="s">
        <v>173</v>
      </c>
      <c r="D69" s="216">
        <v>1003110181702</v>
      </c>
      <c r="E69" s="225">
        <v>5385375</v>
      </c>
      <c r="F69" s="185">
        <v>618.51</v>
      </c>
      <c r="G69" s="211">
        <f t="shared" ref="G69:G98" si="12">F69*7.38%</f>
        <v>45.646038000000004</v>
      </c>
      <c r="H69" s="185">
        <v>0</v>
      </c>
      <c r="I69" s="213">
        <f t="shared" ref="I69:I98" si="13">F69-G69-H69</f>
        <v>572.86396200000001</v>
      </c>
      <c r="J69" s="194" t="s">
        <v>13</v>
      </c>
      <c r="K69" s="185" t="s">
        <v>211</v>
      </c>
      <c r="L69" s="182">
        <f t="shared" si="11"/>
        <v>85.929594300000005</v>
      </c>
      <c r="M69" s="182">
        <f t="shared" si="7"/>
        <v>22.91455848</v>
      </c>
      <c r="N69" s="210">
        <f t="shared" si="8"/>
        <v>11.45727924</v>
      </c>
      <c r="O69" s="210">
        <f t="shared" si="9"/>
        <v>11.45727924</v>
      </c>
      <c r="P69" s="211">
        <f t="shared" si="10"/>
        <v>40.100477340000012</v>
      </c>
    </row>
    <row r="70" spans="1:16">
      <c r="A70" s="27">
        <v>68</v>
      </c>
      <c r="B70" s="212" t="s">
        <v>261</v>
      </c>
      <c r="C70" s="186" t="s">
        <v>247</v>
      </c>
      <c r="D70" s="216">
        <v>2507239</v>
      </c>
      <c r="E70" s="225">
        <v>5386468</v>
      </c>
      <c r="F70" s="185">
        <v>459.7</v>
      </c>
      <c r="G70" s="179">
        <f t="shared" si="12"/>
        <v>33.92586</v>
      </c>
      <c r="H70" s="185">
        <v>45.97</v>
      </c>
      <c r="I70" s="182">
        <f t="shared" si="13"/>
        <v>379.80413999999996</v>
      </c>
      <c r="J70" s="194" t="s">
        <v>16</v>
      </c>
      <c r="K70" s="185" t="s">
        <v>49</v>
      </c>
      <c r="L70" s="182">
        <f t="shared" si="11"/>
        <v>56.970620999999994</v>
      </c>
      <c r="M70" s="182">
        <f t="shared" si="7"/>
        <v>15.192165599999999</v>
      </c>
      <c r="N70" s="183">
        <f t="shared" si="8"/>
        <v>7.5960827999999996</v>
      </c>
      <c r="O70" s="183">
        <f t="shared" si="9"/>
        <v>7.5960827999999996</v>
      </c>
      <c r="P70" s="179">
        <f t="shared" si="10"/>
        <v>26.586289800000003</v>
      </c>
    </row>
    <row r="71" spans="1:16">
      <c r="A71" s="27">
        <v>69</v>
      </c>
      <c r="B71" s="339" t="s">
        <v>262</v>
      </c>
      <c r="C71" s="327" t="s">
        <v>173</v>
      </c>
      <c r="D71" s="328">
        <v>1003110178280</v>
      </c>
      <c r="E71" s="327">
        <v>5384998</v>
      </c>
      <c r="F71" s="294">
        <v>656.04</v>
      </c>
      <c r="G71" s="294">
        <f t="shared" si="12"/>
        <v>48.415751999999998</v>
      </c>
      <c r="H71" s="294">
        <v>70.489999999999995</v>
      </c>
      <c r="I71" s="293">
        <f t="shared" si="13"/>
        <v>537.13424799999996</v>
      </c>
      <c r="J71" s="329" t="s">
        <v>13</v>
      </c>
      <c r="K71" s="294" t="s">
        <v>14</v>
      </c>
      <c r="L71" s="293">
        <f t="shared" si="11"/>
        <v>80.570137199999991</v>
      </c>
      <c r="M71" s="293">
        <f t="shared" si="7"/>
        <v>21.48536992</v>
      </c>
      <c r="N71" s="296">
        <f t="shared" si="8"/>
        <v>10.74268496</v>
      </c>
      <c r="O71" s="296">
        <f t="shared" si="9"/>
        <v>10.74268496</v>
      </c>
      <c r="P71" s="294">
        <f t="shared" si="10"/>
        <v>37.599397359999998</v>
      </c>
    </row>
    <row r="72" spans="1:16">
      <c r="A72" s="27">
        <v>70</v>
      </c>
      <c r="B72" s="212" t="s">
        <v>263</v>
      </c>
      <c r="C72" s="186" t="s">
        <v>12</v>
      </c>
      <c r="D72" s="216">
        <v>1003110178837</v>
      </c>
      <c r="E72" s="225">
        <v>5385066</v>
      </c>
      <c r="F72" s="185">
        <v>632.33000000000004</v>
      </c>
      <c r="G72" s="179">
        <f t="shared" si="12"/>
        <v>46.665954000000006</v>
      </c>
      <c r="H72" s="185">
        <v>0</v>
      </c>
      <c r="I72" s="182">
        <f t="shared" si="13"/>
        <v>585.66404599999998</v>
      </c>
      <c r="J72" s="194" t="s">
        <v>13</v>
      </c>
      <c r="K72" s="185" t="s">
        <v>264</v>
      </c>
      <c r="L72" s="182">
        <f t="shared" si="11"/>
        <v>87.849606899999998</v>
      </c>
      <c r="M72" s="182">
        <f t="shared" si="7"/>
        <v>23.426561840000002</v>
      </c>
      <c r="N72" s="183">
        <f t="shared" si="8"/>
        <v>11.713280920000001</v>
      </c>
      <c r="O72" s="183">
        <f t="shared" si="9"/>
        <v>11.713280920000001</v>
      </c>
      <c r="P72" s="179">
        <f t="shared" si="10"/>
        <v>40.996483219999988</v>
      </c>
    </row>
    <row r="73" spans="1:16">
      <c r="A73" s="27">
        <v>71</v>
      </c>
      <c r="B73" s="212" t="s">
        <v>265</v>
      </c>
      <c r="C73" s="186" t="s">
        <v>247</v>
      </c>
      <c r="D73" s="216">
        <v>2507069</v>
      </c>
      <c r="E73" s="225">
        <v>5386130</v>
      </c>
      <c r="F73" s="185">
        <v>459.73</v>
      </c>
      <c r="G73" s="179">
        <f t="shared" si="12"/>
        <v>33.928074000000002</v>
      </c>
      <c r="H73" s="185">
        <v>45.97</v>
      </c>
      <c r="I73" s="182">
        <f t="shared" si="13"/>
        <v>379.83192600000007</v>
      </c>
      <c r="J73" s="194" t="s">
        <v>16</v>
      </c>
      <c r="K73" s="185" t="s">
        <v>266</v>
      </c>
      <c r="L73" s="182">
        <f t="shared" si="11"/>
        <v>56.974788900000007</v>
      </c>
      <c r="M73" s="182">
        <f t="shared" si="7"/>
        <v>15.193277040000003</v>
      </c>
      <c r="N73" s="183">
        <f t="shared" si="8"/>
        <v>7.5966385200000017</v>
      </c>
      <c r="O73" s="183">
        <f t="shared" si="9"/>
        <v>7.5966385200000017</v>
      </c>
      <c r="P73" s="179">
        <f t="shared" si="10"/>
        <v>26.58823482</v>
      </c>
    </row>
    <row r="74" spans="1:16">
      <c r="A74" s="27">
        <v>72</v>
      </c>
      <c r="B74" s="212" t="s">
        <v>267</v>
      </c>
      <c r="C74" s="186" t="s">
        <v>268</v>
      </c>
      <c r="D74" s="219">
        <v>51772025423</v>
      </c>
      <c r="E74" s="225">
        <v>5388405</v>
      </c>
      <c r="F74" s="185">
        <v>584.1</v>
      </c>
      <c r="G74" s="179">
        <f t="shared" si="12"/>
        <v>43.106580000000001</v>
      </c>
      <c r="H74" s="185">
        <v>58.41</v>
      </c>
      <c r="I74" s="182">
        <f t="shared" si="13"/>
        <v>482.58342000000005</v>
      </c>
      <c r="J74" s="194" t="s">
        <v>16</v>
      </c>
      <c r="K74" s="185" t="s">
        <v>17</v>
      </c>
      <c r="L74" s="182">
        <f t="shared" si="11"/>
        <v>72.387512999999998</v>
      </c>
      <c r="M74" s="182">
        <f t="shared" si="7"/>
        <v>19.303336800000004</v>
      </c>
      <c r="N74" s="183">
        <f t="shared" si="8"/>
        <v>9.6516684000000019</v>
      </c>
      <c r="O74" s="183">
        <f t="shared" si="9"/>
        <v>9.6516684000000019</v>
      </c>
      <c r="P74" s="179">
        <f t="shared" si="10"/>
        <v>33.780839399999991</v>
      </c>
    </row>
    <row r="75" spans="1:16">
      <c r="A75" s="27">
        <v>73</v>
      </c>
      <c r="B75" s="212" t="s">
        <v>269</v>
      </c>
      <c r="C75" s="186" t="s">
        <v>29</v>
      </c>
      <c r="D75" s="216">
        <v>2508057</v>
      </c>
      <c r="E75" s="225">
        <v>5373697</v>
      </c>
      <c r="F75" s="185">
        <v>799.57</v>
      </c>
      <c r="G75" s="179">
        <f t="shared" si="12"/>
        <v>59.008266000000006</v>
      </c>
      <c r="H75" s="185">
        <v>66.63</v>
      </c>
      <c r="I75" s="182">
        <f t="shared" si="13"/>
        <v>673.93173400000001</v>
      </c>
      <c r="J75" s="194" t="s">
        <v>16</v>
      </c>
      <c r="K75" s="185" t="s">
        <v>53</v>
      </c>
      <c r="L75" s="182">
        <f t="shared" si="11"/>
        <v>101.08976009999999</v>
      </c>
      <c r="M75" s="182">
        <f t="shared" si="7"/>
        <v>26.957269360000002</v>
      </c>
      <c r="N75" s="183">
        <f t="shared" si="8"/>
        <v>13.478634680000001</v>
      </c>
      <c r="O75" s="183">
        <f t="shared" si="9"/>
        <v>13.478634680000001</v>
      </c>
      <c r="P75" s="179">
        <f t="shared" si="10"/>
        <v>47.175221379999996</v>
      </c>
    </row>
    <row r="76" spans="1:16">
      <c r="A76" s="27">
        <v>74</v>
      </c>
      <c r="B76" s="226" t="s">
        <v>270</v>
      </c>
      <c r="C76" s="165" t="s">
        <v>247</v>
      </c>
      <c r="D76" s="166" t="s">
        <v>32</v>
      </c>
      <c r="E76" s="165">
        <v>5321015</v>
      </c>
      <c r="F76" s="168">
        <v>455.15</v>
      </c>
      <c r="G76" s="169">
        <f t="shared" si="12"/>
        <v>33.590069999999997</v>
      </c>
      <c r="H76" s="168">
        <v>120.42</v>
      </c>
      <c r="I76" s="170">
        <f t="shared" si="13"/>
        <v>301.13992999999999</v>
      </c>
      <c r="J76" s="167" t="s">
        <v>16</v>
      </c>
      <c r="K76" s="168" t="s">
        <v>51</v>
      </c>
      <c r="L76" s="170">
        <f t="shared" si="11"/>
        <v>45.170989499999997</v>
      </c>
      <c r="M76" s="170">
        <f t="shared" si="7"/>
        <v>12.0455972</v>
      </c>
      <c r="N76" s="171">
        <f t="shared" si="8"/>
        <v>6.0227985999999998</v>
      </c>
      <c r="O76" s="171">
        <f t="shared" si="9"/>
        <v>6.0227985999999998</v>
      </c>
      <c r="P76" s="169">
        <f t="shared" si="10"/>
        <v>21.079795099999998</v>
      </c>
    </row>
    <row r="77" spans="1:16">
      <c r="A77" s="27">
        <v>75</v>
      </c>
      <c r="B77" s="212" t="s">
        <v>271</v>
      </c>
      <c r="C77" s="186" t="s">
        <v>268</v>
      </c>
      <c r="D77" s="216">
        <v>2510205</v>
      </c>
      <c r="E77" s="225" t="s">
        <v>272</v>
      </c>
      <c r="F77" s="185">
        <v>498.4</v>
      </c>
      <c r="G77" s="179">
        <f t="shared" si="12"/>
        <v>36.78192</v>
      </c>
      <c r="H77" s="185">
        <v>49.64</v>
      </c>
      <c r="I77" s="182">
        <f t="shared" si="13"/>
        <v>411.97807999999998</v>
      </c>
      <c r="J77" s="194" t="s">
        <v>16</v>
      </c>
      <c r="K77" s="185" t="s">
        <v>17</v>
      </c>
      <c r="L77" s="182">
        <f t="shared" si="11"/>
        <v>61.796711999999992</v>
      </c>
      <c r="M77" s="182">
        <f t="shared" si="7"/>
        <v>16.4791232</v>
      </c>
      <c r="N77" s="183">
        <f t="shared" si="8"/>
        <v>8.2395616</v>
      </c>
      <c r="O77" s="183">
        <f t="shared" si="9"/>
        <v>8.2395616</v>
      </c>
      <c r="P77" s="179">
        <f t="shared" si="10"/>
        <v>28.838465599999992</v>
      </c>
    </row>
    <row r="78" spans="1:16">
      <c r="A78" s="27">
        <v>76</v>
      </c>
      <c r="B78" s="212" t="s">
        <v>273</v>
      </c>
      <c r="C78" s="186" t="s">
        <v>234</v>
      </c>
      <c r="D78" s="216">
        <v>10031110183638</v>
      </c>
      <c r="E78" s="225" t="s">
        <v>274</v>
      </c>
      <c r="F78" s="185">
        <v>552.66</v>
      </c>
      <c r="G78" s="179">
        <f t="shared" si="12"/>
        <v>40.786307999999998</v>
      </c>
      <c r="H78" s="185">
        <v>0</v>
      </c>
      <c r="I78" s="182">
        <f t="shared" si="13"/>
        <v>511.87369199999995</v>
      </c>
      <c r="J78" s="194" t="s">
        <v>13</v>
      </c>
      <c r="K78" s="185" t="s">
        <v>250</v>
      </c>
      <c r="L78" s="182">
        <f t="shared" si="11"/>
        <v>76.781053799999995</v>
      </c>
      <c r="M78" s="182">
        <f t="shared" si="7"/>
        <v>20.47494768</v>
      </c>
      <c r="N78" s="183">
        <f t="shared" si="8"/>
        <v>10.23747384</v>
      </c>
      <c r="O78" s="183">
        <f t="shared" si="9"/>
        <v>10.23747384</v>
      </c>
      <c r="P78" s="179">
        <f t="shared" si="10"/>
        <v>35.831158439999996</v>
      </c>
    </row>
    <row r="79" spans="1:16">
      <c r="A79" s="27">
        <v>77</v>
      </c>
      <c r="B79" s="212" t="s">
        <v>275</v>
      </c>
      <c r="C79" s="186" t="s">
        <v>276</v>
      </c>
      <c r="D79" s="216">
        <v>10031110212341</v>
      </c>
      <c r="E79" s="225">
        <v>5358065</v>
      </c>
      <c r="F79" s="185">
        <v>956.95</v>
      </c>
      <c r="G79" s="179">
        <f t="shared" si="12"/>
        <v>70.622910000000005</v>
      </c>
      <c r="H79" s="185">
        <v>318.98</v>
      </c>
      <c r="I79" s="182">
        <f t="shared" si="13"/>
        <v>567.34708999999998</v>
      </c>
      <c r="J79" s="194" t="s">
        <v>13</v>
      </c>
      <c r="K79" s="185" t="s">
        <v>250</v>
      </c>
      <c r="L79" s="182">
        <f t="shared" si="11"/>
        <v>85.1020635</v>
      </c>
      <c r="M79" s="182">
        <f t="shared" si="7"/>
        <v>22.693883599999999</v>
      </c>
      <c r="N79" s="183">
        <f t="shared" si="8"/>
        <v>11.3469418</v>
      </c>
      <c r="O79" s="183">
        <f t="shared" si="9"/>
        <v>11.3469418</v>
      </c>
      <c r="P79" s="179">
        <f t="shared" si="10"/>
        <v>39.714296300000001</v>
      </c>
    </row>
    <row r="80" spans="1:16">
      <c r="A80" s="27">
        <v>78</v>
      </c>
      <c r="B80" s="339" t="s">
        <v>277</v>
      </c>
      <c r="C80" s="327" t="s">
        <v>12</v>
      </c>
      <c r="D80" s="328">
        <v>1003110234283</v>
      </c>
      <c r="E80" s="327">
        <v>5399490</v>
      </c>
      <c r="F80" s="294">
        <v>581</v>
      </c>
      <c r="G80" s="294">
        <f t="shared" si="12"/>
        <v>42.877800000000001</v>
      </c>
      <c r="H80" s="294">
        <v>62.43</v>
      </c>
      <c r="I80" s="293">
        <f t="shared" si="13"/>
        <v>475.69220000000001</v>
      </c>
      <c r="J80" s="329" t="s">
        <v>13</v>
      </c>
      <c r="K80" s="294" t="s">
        <v>211</v>
      </c>
      <c r="L80" s="293">
        <f t="shared" si="11"/>
        <v>71.353830000000002</v>
      </c>
      <c r="M80" s="293">
        <f t="shared" si="7"/>
        <v>19.027688000000001</v>
      </c>
      <c r="N80" s="296">
        <f t="shared" si="8"/>
        <v>9.5138440000000006</v>
      </c>
      <c r="O80" s="296">
        <f t="shared" si="9"/>
        <v>9.5138440000000006</v>
      </c>
      <c r="P80" s="294">
        <f t="shared" si="10"/>
        <v>33.298454000000007</v>
      </c>
    </row>
    <row r="81" spans="1:16">
      <c r="A81" s="27">
        <v>79</v>
      </c>
      <c r="B81" s="212" t="s">
        <v>278</v>
      </c>
      <c r="C81" s="186" t="s">
        <v>163</v>
      </c>
      <c r="D81" s="216">
        <v>10031102161116</v>
      </c>
      <c r="E81" s="225">
        <v>5397396</v>
      </c>
      <c r="F81" s="185">
        <v>535.12</v>
      </c>
      <c r="G81" s="179">
        <f t="shared" si="12"/>
        <v>39.491856000000006</v>
      </c>
      <c r="H81" s="185">
        <v>57.5</v>
      </c>
      <c r="I81" s="182">
        <f t="shared" si="13"/>
        <v>438.12814400000002</v>
      </c>
      <c r="J81" s="194" t="s">
        <v>16</v>
      </c>
      <c r="K81" s="185" t="s">
        <v>53</v>
      </c>
      <c r="L81" s="182">
        <f t="shared" si="11"/>
        <v>65.719221599999997</v>
      </c>
      <c r="M81" s="182">
        <f t="shared" si="7"/>
        <v>17.525125760000002</v>
      </c>
      <c r="N81" s="183">
        <f t="shared" si="8"/>
        <v>8.7625628800000008</v>
      </c>
      <c r="O81" s="183">
        <f t="shared" si="9"/>
        <v>8.7625628800000008</v>
      </c>
      <c r="P81" s="179">
        <f t="shared" si="10"/>
        <v>30.668970079999998</v>
      </c>
    </row>
    <row r="82" spans="1:16">
      <c r="A82" s="27">
        <v>80</v>
      </c>
      <c r="B82" s="212" t="s">
        <v>279</v>
      </c>
      <c r="C82" s="186" t="s">
        <v>173</v>
      </c>
      <c r="D82" s="216">
        <v>1003110210109</v>
      </c>
      <c r="E82" s="225">
        <v>5400905</v>
      </c>
      <c r="F82" s="185">
        <v>536.72</v>
      </c>
      <c r="G82" s="179">
        <f t="shared" si="12"/>
        <v>39.609936000000005</v>
      </c>
      <c r="H82" s="185">
        <v>66.2</v>
      </c>
      <c r="I82" s="182">
        <f t="shared" si="13"/>
        <v>430.91006400000003</v>
      </c>
      <c r="J82" s="194" t="s">
        <v>13</v>
      </c>
      <c r="K82" s="185" t="s">
        <v>264</v>
      </c>
      <c r="L82" s="182">
        <f t="shared" si="11"/>
        <v>64.636509599999997</v>
      </c>
      <c r="M82" s="182">
        <f t="shared" si="7"/>
        <v>17.236402560000002</v>
      </c>
      <c r="N82" s="183">
        <f t="shared" si="8"/>
        <v>8.618201280000001</v>
      </c>
      <c r="O82" s="183">
        <f t="shared" si="9"/>
        <v>8.618201280000001</v>
      </c>
      <c r="P82" s="179">
        <f t="shared" si="10"/>
        <v>30.163704479999993</v>
      </c>
    </row>
    <row r="83" spans="1:16">
      <c r="A83" s="27">
        <v>81</v>
      </c>
      <c r="B83" s="212" t="s">
        <v>280</v>
      </c>
      <c r="C83" s="186" t="s">
        <v>29</v>
      </c>
      <c r="D83" s="216">
        <v>1003110209916</v>
      </c>
      <c r="E83" s="225">
        <v>53804417</v>
      </c>
      <c r="F83" s="185">
        <v>703.62</v>
      </c>
      <c r="G83" s="179">
        <f t="shared" si="12"/>
        <v>51.927156000000004</v>
      </c>
      <c r="H83" s="185">
        <v>185.86</v>
      </c>
      <c r="I83" s="182">
        <f t="shared" si="13"/>
        <v>465.83284400000002</v>
      </c>
      <c r="J83" s="194" t="s">
        <v>13</v>
      </c>
      <c r="K83" s="185" t="s">
        <v>235</v>
      </c>
      <c r="L83" s="182">
        <f t="shared" si="11"/>
        <v>69.874926599999995</v>
      </c>
      <c r="M83" s="182">
        <f t="shared" si="7"/>
        <v>18.63331376</v>
      </c>
      <c r="N83" s="183">
        <f t="shared" si="8"/>
        <v>9.31665688</v>
      </c>
      <c r="O83" s="183">
        <f t="shared" si="9"/>
        <v>9.31665688</v>
      </c>
      <c r="P83" s="179">
        <f t="shared" si="10"/>
        <v>32.608299079999995</v>
      </c>
    </row>
    <row r="84" spans="1:16">
      <c r="A84" s="27">
        <v>82</v>
      </c>
      <c r="B84" s="212" t="s">
        <v>281</v>
      </c>
      <c r="C84" s="186" t="s">
        <v>247</v>
      </c>
      <c r="D84" s="216">
        <v>1003110210903</v>
      </c>
      <c r="E84" s="225">
        <v>5397732</v>
      </c>
      <c r="F84" s="185">
        <v>473.94</v>
      </c>
      <c r="G84" s="179">
        <f t="shared" si="12"/>
        <v>34.976772000000004</v>
      </c>
      <c r="H84" s="185">
        <v>0</v>
      </c>
      <c r="I84" s="182">
        <f t="shared" si="13"/>
        <v>438.96322800000002</v>
      </c>
      <c r="J84" s="194" t="s">
        <v>13</v>
      </c>
      <c r="K84" s="185" t="s">
        <v>14</v>
      </c>
      <c r="L84" s="182">
        <f t="shared" si="11"/>
        <v>65.844484199999997</v>
      </c>
      <c r="M84" s="182">
        <f t="shared" si="7"/>
        <v>17.558529119999999</v>
      </c>
      <c r="N84" s="183">
        <f t="shared" si="8"/>
        <v>8.7792645599999997</v>
      </c>
      <c r="O84" s="183">
        <f t="shared" si="9"/>
        <v>8.7792645599999997</v>
      </c>
      <c r="P84" s="179">
        <f t="shared" si="10"/>
        <v>30.727425959999991</v>
      </c>
    </row>
    <row r="85" spans="1:16">
      <c r="A85" s="27">
        <v>83</v>
      </c>
      <c r="B85" s="212" t="s">
        <v>282</v>
      </c>
      <c r="C85" s="186" t="s">
        <v>247</v>
      </c>
      <c r="D85" s="216">
        <v>1003110239311</v>
      </c>
      <c r="E85" s="225" t="s">
        <v>283</v>
      </c>
      <c r="F85" s="185">
        <v>464.14</v>
      </c>
      <c r="G85" s="179">
        <f t="shared" si="12"/>
        <v>34.253532</v>
      </c>
      <c r="H85" s="185">
        <v>49.87</v>
      </c>
      <c r="I85" s="182">
        <f t="shared" si="13"/>
        <v>380.01646799999997</v>
      </c>
      <c r="J85" s="194" t="s">
        <v>13</v>
      </c>
      <c r="K85" s="185" t="s">
        <v>14</v>
      </c>
      <c r="L85" s="182">
        <f t="shared" si="11"/>
        <v>57.002470199999998</v>
      </c>
      <c r="M85" s="182">
        <f t="shared" si="7"/>
        <v>15.20065872</v>
      </c>
      <c r="N85" s="183">
        <f t="shared" si="8"/>
        <v>7.6003293599999999</v>
      </c>
      <c r="O85" s="183">
        <f t="shared" si="9"/>
        <v>7.6003293599999999</v>
      </c>
      <c r="P85" s="179">
        <f t="shared" si="10"/>
        <v>26.601152759999994</v>
      </c>
    </row>
    <row r="86" spans="1:16">
      <c r="A86" s="27">
        <v>84</v>
      </c>
      <c r="B86" s="212" t="s">
        <v>284</v>
      </c>
      <c r="C86" s="186" t="s">
        <v>247</v>
      </c>
      <c r="D86" s="216">
        <v>51772025423103</v>
      </c>
      <c r="E86" s="225">
        <v>5396153</v>
      </c>
      <c r="F86" s="185">
        <v>572.32000000000005</v>
      </c>
      <c r="G86" s="179">
        <f t="shared" si="12"/>
        <v>42.237216000000004</v>
      </c>
      <c r="H86" s="185">
        <v>143.08000000000001</v>
      </c>
      <c r="I86" s="182">
        <f t="shared" si="13"/>
        <v>387.00278400000002</v>
      </c>
      <c r="J86" s="194" t="s">
        <v>13</v>
      </c>
      <c r="K86" s="185" t="s">
        <v>235</v>
      </c>
      <c r="L86" s="182">
        <f t="shared" si="11"/>
        <v>58.050417600000003</v>
      </c>
      <c r="M86" s="182">
        <f t="shared" si="7"/>
        <v>15.48011136</v>
      </c>
      <c r="N86" s="183">
        <f t="shared" si="8"/>
        <v>7.7400556800000002</v>
      </c>
      <c r="O86" s="183">
        <f t="shared" si="9"/>
        <v>7.7400556800000002</v>
      </c>
      <c r="P86" s="179">
        <f t="shared" si="10"/>
        <v>27.090194880000002</v>
      </c>
    </row>
    <row r="87" spans="1:16">
      <c r="A87" s="27">
        <v>85</v>
      </c>
      <c r="B87" s="339" t="s">
        <v>285</v>
      </c>
      <c r="C87" s="327" t="s">
        <v>173</v>
      </c>
      <c r="D87" s="328">
        <v>1033110223962</v>
      </c>
      <c r="E87" s="327">
        <v>5397616</v>
      </c>
      <c r="F87" s="294">
        <v>547.92999999999995</v>
      </c>
      <c r="G87" s="294">
        <f t="shared" si="12"/>
        <v>40.437233999999997</v>
      </c>
      <c r="H87" s="294">
        <v>58.88</v>
      </c>
      <c r="I87" s="293">
        <f t="shared" si="13"/>
        <v>448.61276599999997</v>
      </c>
      <c r="J87" s="329" t="s">
        <v>13</v>
      </c>
      <c r="K87" s="294" t="s">
        <v>211</v>
      </c>
      <c r="L87" s="293">
        <f t="shared" si="11"/>
        <v>67.291914899999995</v>
      </c>
      <c r="M87" s="293">
        <f t="shared" si="7"/>
        <v>17.944510640000001</v>
      </c>
      <c r="N87" s="296">
        <f t="shared" si="8"/>
        <v>8.9722553200000004</v>
      </c>
      <c r="O87" s="296">
        <f t="shared" si="9"/>
        <v>8.9722553200000004</v>
      </c>
      <c r="P87" s="294">
        <f t="shared" si="10"/>
        <v>31.402893619999986</v>
      </c>
    </row>
    <row r="88" spans="1:16">
      <c r="A88" s="27">
        <v>86</v>
      </c>
      <c r="B88" s="212" t="s">
        <v>286</v>
      </c>
      <c r="C88" s="186" t="s">
        <v>247</v>
      </c>
      <c r="D88" s="216">
        <v>1003110201463</v>
      </c>
      <c r="E88" s="225">
        <v>5396065</v>
      </c>
      <c r="F88" s="185">
        <v>519.35</v>
      </c>
      <c r="G88" s="179">
        <f t="shared" si="12"/>
        <v>38.328030000000005</v>
      </c>
      <c r="H88" s="185">
        <v>55.81</v>
      </c>
      <c r="I88" s="182">
        <f t="shared" si="13"/>
        <v>425.21197000000001</v>
      </c>
      <c r="J88" s="194" t="s">
        <v>13</v>
      </c>
      <c r="K88" s="185" t="s">
        <v>216</v>
      </c>
      <c r="L88" s="182">
        <f t="shared" si="11"/>
        <v>63.781795500000001</v>
      </c>
      <c r="M88" s="182">
        <f t="shared" si="7"/>
        <v>17.008478799999999</v>
      </c>
      <c r="N88" s="183">
        <f t="shared" si="8"/>
        <v>8.5042393999999994</v>
      </c>
      <c r="O88" s="183">
        <f t="shared" si="9"/>
        <v>8.5042393999999994</v>
      </c>
      <c r="P88" s="179">
        <f t="shared" si="10"/>
        <v>29.764837900000007</v>
      </c>
    </row>
    <row r="89" spans="1:16">
      <c r="A89" s="27">
        <v>87</v>
      </c>
      <c r="B89" s="339" t="s">
        <v>287</v>
      </c>
      <c r="C89" s="734" t="s">
        <v>12</v>
      </c>
      <c r="D89" s="735">
        <v>1003110213018</v>
      </c>
      <c r="E89" s="736" t="s">
        <v>288</v>
      </c>
      <c r="F89" s="737">
        <v>566.01</v>
      </c>
      <c r="G89" s="737">
        <f t="shared" si="12"/>
        <v>41.771538</v>
      </c>
      <c r="H89" s="737">
        <v>57.66</v>
      </c>
      <c r="I89" s="738">
        <f t="shared" si="13"/>
        <v>466.57846200000006</v>
      </c>
      <c r="J89" s="739" t="s">
        <v>13</v>
      </c>
      <c r="K89" s="737" t="s">
        <v>17</v>
      </c>
      <c r="L89" s="738">
        <f t="shared" si="11"/>
        <v>69.986769300000006</v>
      </c>
      <c r="M89" s="738">
        <f t="shared" si="7"/>
        <v>18.663138480000004</v>
      </c>
      <c r="N89" s="740">
        <f t="shared" si="8"/>
        <v>9.3315692400000021</v>
      </c>
      <c r="O89" s="740">
        <f t="shared" si="9"/>
        <v>9.3315692400000021</v>
      </c>
      <c r="P89" s="737">
        <f t="shared" si="10"/>
        <v>32.660492340000005</v>
      </c>
    </row>
    <row r="90" spans="1:16">
      <c r="A90" s="27">
        <v>88</v>
      </c>
      <c r="B90" s="212" t="s">
        <v>289</v>
      </c>
      <c r="C90" s="186" t="s">
        <v>247</v>
      </c>
      <c r="D90" s="216">
        <v>1003110194030</v>
      </c>
      <c r="E90" s="225">
        <v>5375588</v>
      </c>
      <c r="F90" s="185">
        <v>545.32000000000005</v>
      </c>
      <c r="G90" s="179">
        <f t="shared" si="12"/>
        <v>40.244616000000008</v>
      </c>
      <c r="H90" s="185">
        <v>58.72</v>
      </c>
      <c r="I90" s="182">
        <f t="shared" si="13"/>
        <v>446.35538400000007</v>
      </c>
      <c r="J90" s="194" t="s">
        <v>13</v>
      </c>
      <c r="K90" s="185" t="s">
        <v>264</v>
      </c>
      <c r="L90" s="182">
        <f t="shared" si="11"/>
        <v>66.953307600000002</v>
      </c>
      <c r="M90" s="182">
        <f t="shared" si="7"/>
        <v>17.854215360000005</v>
      </c>
      <c r="N90" s="183">
        <f t="shared" si="8"/>
        <v>8.9271076800000024</v>
      </c>
      <c r="O90" s="183">
        <f t="shared" si="9"/>
        <v>8.9271076800000024</v>
      </c>
      <c r="P90" s="179">
        <f t="shared" si="10"/>
        <v>31.244876879999996</v>
      </c>
    </row>
    <row r="91" spans="1:16">
      <c r="A91" s="27">
        <v>89</v>
      </c>
      <c r="B91" s="212" t="s">
        <v>290</v>
      </c>
      <c r="C91" s="186" t="s">
        <v>247</v>
      </c>
      <c r="D91" s="216">
        <v>2517897</v>
      </c>
      <c r="E91" s="225">
        <v>5366568</v>
      </c>
      <c r="F91" s="185">
        <v>436.71</v>
      </c>
      <c r="G91" s="179">
        <f t="shared" si="12"/>
        <v>32.229198000000004</v>
      </c>
      <c r="H91" s="185">
        <v>91.94</v>
      </c>
      <c r="I91" s="182">
        <f t="shared" si="13"/>
        <v>312.54080199999999</v>
      </c>
      <c r="J91" s="194" t="s">
        <v>16</v>
      </c>
      <c r="K91" s="185" t="s">
        <v>158</v>
      </c>
      <c r="L91" s="182">
        <f t="shared" si="11"/>
        <v>46.881120299999999</v>
      </c>
      <c r="M91" s="182">
        <f t="shared" si="7"/>
        <v>12.50163208</v>
      </c>
      <c r="N91" s="183">
        <f t="shared" si="8"/>
        <v>6.2508160400000001</v>
      </c>
      <c r="O91" s="183">
        <f t="shared" si="9"/>
        <v>6.2508160400000001</v>
      </c>
      <c r="P91" s="179">
        <f t="shared" si="10"/>
        <v>21.877856139999999</v>
      </c>
    </row>
    <row r="92" spans="1:16">
      <c r="A92" s="27">
        <v>90</v>
      </c>
      <c r="B92" s="212" t="s">
        <v>291</v>
      </c>
      <c r="C92" s="186" t="s">
        <v>247</v>
      </c>
      <c r="D92" s="216">
        <v>51772025423</v>
      </c>
      <c r="E92" s="225">
        <v>5393104</v>
      </c>
      <c r="F92" s="185">
        <v>485.08</v>
      </c>
      <c r="G92" s="179">
        <f t="shared" si="12"/>
        <v>35.798904</v>
      </c>
      <c r="H92" s="185">
        <v>0</v>
      </c>
      <c r="I92" s="182">
        <f t="shared" si="13"/>
        <v>449.28109599999999</v>
      </c>
      <c r="J92" s="194" t="s">
        <v>13</v>
      </c>
      <c r="K92" s="185" t="s">
        <v>211</v>
      </c>
      <c r="L92" s="182">
        <f t="shared" si="11"/>
        <v>67.392164399999999</v>
      </c>
      <c r="M92" s="182">
        <f t="shared" si="7"/>
        <v>17.97124384</v>
      </c>
      <c r="N92" s="183">
        <f t="shared" si="8"/>
        <v>8.9856219199999998</v>
      </c>
      <c r="O92" s="183">
        <f t="shared" si="9"/>
        <v>8.9856219199999998</v>
      </c>
      <c r="P92" s="179">
        <f t="shared" si="10"/>
        <v>31.449676719999999</v>
      </c>
    </row>
    <row r="93" spans="1:16">
      <c r="A93" s="27">
        <v>91</v>
      </c>
      <c r="B93" s="212" t="s">
        <v>292</v>
      </c>
      <c r="C93" s="186" t="s">
        <v>247</v>
      </c>
      <c r="D93" s="216">
        <v>1003110191592</v>
      </c>
      <c r="E93" s="225">
        <v>5393160</v>
      </c>
      <c r="F93" s="185">
        <v>567.05999999999995</v>
      </c>
      <c r="G93" s="179">
        <f t="shared" si="12"/>
        <v>41.849027999999997</v>
      </c>
      <c r="H93" s="185">
        <v>60.93</v>
      </c>
      <c r="I93" s="182">
        <f t="shared" si="13"/>
        <v>464.28097199999996</v>
      </c>
      <c r="J93" s="194" t="s">
        <v>13</v>
      </c>
      <c r="K93" s="185" t="s">
        <v>211</v>
      </c>
      <c r="L93" s="182">
        <f t="shared" si="11"/>
        <v>69.642145799999994</v>
      </c>
      <c r="M93" s="182">
        <f t="shared" si="7"/>
        <v>18.571238879999999</v>
      </c>
      <c r="N93" s="183">
        <f t="shared" si="8"/>
        <v>9.2856194399999996</v>
      </c>
      <c r="O93" s="183">
        <f t="shared" si="9"/>
        <v>9.2856194399999996</v>
      </c>
      <c r="P93" s="179">
        <f t="shared" si="10"/>
        <v>32.499668040000003</v>
      </c>
    </row>
    <row r="94" spans="1:16">
      <c r="A94" s="27">
        <v>92</v>
      </c>
      <c r="B94" s="176" t="s">
        <v>293</v>
      </c>
      <c r="C94" s="186" t="s">
        <v>173</v>
      </c>
      <c r="D94" s="216">
        <v>2515290</v>
      </c>
      <c r="E94" s="225">
        <v>5390699</v>
      </c>
      <c r="F94" s="185">
        <v>1381.98</v>
      </c>
      <c r="G94" s="179">
        <f t="shared" si="12"/>
        <v>101.99012400000001</v>
      </c>
      <c r="H94" s="185">
        <v>121.23</v>
      </c>
      <c r="I94" s="182">
        <f t="shared" si="13"/>
        <v>1158.7598760000001</v>
      </c>
      <c r="J94" s="194" t="s">
        <v>16</v>
      </c>
      <c r="K94" s="185" t="s">
        <v>14</v>
      </c>
      <c r="L94" s="182">
        <f t="shared" si="11"/>
        <v>173.81398140000002</v>
      </c>
      <c r="M94" s="182">
        <f t="shared" si="7"/>
        <v>46.350395040000002</v>
      </c>
      <c r="N94" s="183">
        <f t="shared" si="8"/>
        <v>23.175197520000001</v>
      </c>
      <c r="O94" s="183">
        <f t="shared" si="9"/>
        <v>23.175197520000001</v>
      </c>
      <c r="P94" s="179">
        <f t="shared" si="10"/>
        <v>81.113191320000027</v>
      </c>
    </row>
    <row r="95" spans="1:16">
      <c r="A95" s="27">
        <v>93</v>
      </c>
      <c r="B95" s="205" t="s">
        <v>294</v>
      </c>
      <c r="C95" s="186" t="s">
        <v>29</v>
      </c>
      <c r="D95" s="216">
        <v>2508260</v>
      </c>
      <c r="E95" s="225">
        <v>5342683</v>
      </c>
      <c r="F95" s="185">
        <v>679.33</v>
      </c>
      <c r="G95" s="179">
        <f t="shared" si="12"/>
        <v>50.134554000000009</v>
      </c>
      <c r="H95" s="185">
        <v>0</v>
      </c>
      <c r="I95" s="182">
        <f t="shared" si="13"/>
        <v>629.19544600000006</v>
      </c>
      <c r="J95" s="194" t="s">
        <v>16</v>
      </c>
      <c r="K95" s="185" t="s">
        <v>166</v>
      </c>
      <c r="L95" s="182">
        <f t="shared" si="11"/>
        <v>94.379316900000006</v>
      </c>
      <c r="M95" s="182">
        <f t="shared" si="7"/>
        <v>25.167817840000001</v>
      </c>
      <c r="N95" s="183">
        <f t="shared" si="8"/>
        <v>12.583908920000001</v>
      </c>
      <c r="O95" s="183">
        <f t="shared" si="9"/>
        <v>12.583908920000001</v>
      </c>
      <c r="P95" s="179">
        <f t="shared" si="10"/>
        <v>44.043681220000011</v>
      </c>
    </row>
    <row r="96" spans="1:16">
      <c r="A96" s="27">
        <v>94</v>
      </c>
      <c r="B96" s="176" t="s">
        <v>295</v>
      </c>
      <c r="C96" s="186" t="s">
        <v>173</v>
      </c>
      <c r="D96" s="216">
        <v>2510531</v>
      </c>
      <c r="E96" s="225">
        <v>5393038</v>
      </c>
      <c r="F96" s="185">
        <v>483.37</v>
      </c>
      <c r="G96" s="179">
        <f t="shared" si="12"/>
        <v>35.672706000000005</v>
      </c>
      <c r="H96" s="185">
        <v>127.21</v>
      </c>
      <c r="I96" s="182">
        <f t="shared" si="13"/>
        <v>320.48729400000002</v>
      </c>
      <c r="J96" s="194" t="s">
        <v>16</v>
      </c>
      <c r="K96" s="185" t="s">
        <v>211</v>
      </c>
      <c r="L96" s="182">
        <f t="shared" si="11"/>
        <v>48.073094099999999</v>
      </c>
      <c r="M96" s="182">
        <f t="shared" si="7"/>
        <v>12.819491760000002</v>
      </c>
      <c r="N96" s="183">
        <f t="shared" si="8"/>
        <v>6.4097458800000009</v>
      </c>
      <c r="O96" s="183">
        <f t="shared" si="9"/>
        <v>6.4097458800000009</v>
      </c>
      <c r="P96" s="179">
        <f t="shared" si="10"/>
        <v>22.434110579999995</v>
      </c>
    </row>
    <row r="97" spans="1:16">
      <c r="A97" s="27">
        <v>95</v>
      </c>
      <c r="B97" s="176" t="s">
        <v>296</v>
      </c>
      <c r="C97" s="186" t="s">
        <v>247</v>
      </c>
      <c r="D97" s="216">
        <v>1003110243140</v>
      </c>
      <c r="E97" s="225">
        <v>5399354</v>
      </c>
      <c r="F97" s="185">
        <v>521.67999999999995</v>
      </c>
      <c r="G97" s="179">
        <f t="shared" si="12"/>
        <v>38.499983999999998</v>
      </c>
      <c r="H97" s="185">
        <v>56.06</v>
      </c>
      <c r="I97" s="182">
        <f t="shared" si="13"/>
        <v>427.12001599999996</v>
      </c>
      <c r="J97" s="194" t="s">
        <v>16</v>
      </c>
      <c r="K97" s="185" t="s">
        <v>207</v>
      </c>
      <c r="L97" s="182">
        <f t="shared" si="11"/>
        <v>64.068002399999997</v>
      </c>
      <c r="M97" s="182">
        <f t="shared" si="7"/>
        <v>17.084800639999997</v>
      </c>
      <c r="N97" s="183">
        <f t="shared" si="8"/>
        <v>8.5424003199999987</v>
      </c>
      <c r="O97" s="183">
        <f t="shared" si="9"/>
        <v>8.5424003199999987</v>
      </c>
      <c r="P97" s="179">
        <f t="shared" si="10"/>
        <v>29.898401120000003</v>
      </c>
    </row>
    <row r="98" spans="1:16">
      <c r="A98" s="27">
        <v>96</v>
      </c>
      <c r="B98" s="176" t="s">
        <v>297</v>
      </c>
      <c r="C98" s="186" t="s">
        <v>173</v>
      </c>
      <c r="D98" s="216">
        <v>1003110213827</v>
      </c>
      <c r="E98" s="225">
        <v>5404537</v>
      </c>
      <c r="F98" s="185">
        <v>543.88</v>
      </c>
      <c r="G98" s="179">
        <f t="shared" si="12"/>
        <v>40.138344000000004</v>
      </c>
      <c r="H98" s="185">
        <v>58.44</v>
      </c>
      <c r="I98" s="182">
        <f t="shared" si="13"/>
        <v>445.30165599999998</v>
      </c>
      <c r="J98" s="194" t="s">
        <v>13</v>
      </c>
      <c r="K98" s="185" t="s">
        <v>51</v>
      </c>
      <c r="L98" s="182">
        <f t="shared" si="11"/>
        <v>66.795248399999991</v>
      </c>
      <c r="M98" s="182">
        <f t="shared" si="7"/>
        <v>17.81206624</v>
      </c>
      <c r="N98" s="183">
        <f t="shared" si="8"/>
        <v>8.90603312</v>
      </c>
      <c r="O98" s="183">
        <f t="shared" si="9"/>
        <v>8.90603312</v>
      </c>
      <c r="P98" s="179">
        <f t="shared" si="10"/>
        <v>31.171115919999995</v>
      </c>
    </row>
    <row r="99" spans="1:16">
      <c r="A99" s="27"/>
      <c r="B99" s="35"/>
      <c r="C99" s="35"/>
      <c r="D99" s="44"/>
      <c r="E99" s="35"/>
      <c r="F99" s="34"/>
      <c r="G99" s="29">
        <f t="shared" ref="G99:G101" si="14">F99*7.38%</f>
        <v>0</v>
      </c>
      <c r="H99" s="34"/>
      <c r="I99" s="31">
        <f t="shared" ref="I99:I101" si="15">F99-G99-H99</f>
        <v>0</v>
      </c>
      <c r="J99" s="46"/>
      <c r="K99" s="34"/>
      <c r="L99" s="29">
        <f t="shared" ref="L99:L101" si="16">I99*15%</f>
        <v>0</v>
      </c>
      <c r="M99" s="31">
        <f t="shared" ref="M99:M101" si="17">I99*4%</f>
        <v>0</v>
      </c>
      <c r="N99" s="32">
        <f t="shared" ref="N99:N101" si="18">I99*2%</f>
        <v>0</v>
      </c>
      <c r="O99" s="32">
        <f t="shared" ref="O99:O101" si="19">I99*2%</f>
        <v>0</v>
      </c>
      <c r="P99" s="29">
        <f t="shared" ref="P99:P101" si="20">L99-M99-N99-O99</f>
        <v>0</v>
      </c>
    </row>
    <row r="100" spans="1:16">
      <c r="A100" s="27"/>
      <c r="B100" s="35"/>
      <c r="C100" s="35"/>
      <c r="D100" s="44"/>
      <c r="E100" s="35"/>
      <c r="F100" s="34"/>
      <c r="G100" s="29">
        <f t="shared" si="14"/>
        <v>0</v>
      </c>
      <c r="H100" s="34"/>
      <c r="I100" s="31">
        <f t="shared" si="15"/>
        <v>0</v>
      </c>
      <c r="J100" s="46"/>
      <c r="K100" s="34"/>
      <c r="L100" s="29">
        <f t="shared" si="16"/>
        <v>0</v>
      </c>
      <c r="M100" s="31">
        <f t="shared" si="17"/>
        <v>0</v>
      </c>
      <c r="N100" s="32">
        <f t="shared" si="18"/>
        <v>0</v>
      </c>
      <c r="O100" s="32">
        <f t="shared" si="19"/>
        <v>0</v>
      </c>
      <c r="P100" s="29">
        <f t="shared" si="20"/>
        <v>0</v>
      </c>
    </row>
    <row r="101" spans="1:16">
      <c r="A101" s="27"/>
      <c r="B101" s="35"/>
      <c r="C101" s="35"/>
      <c r="D101" s="44"/>
      <c r="E101" s="35"/>
      <c r="F101" s="34"/>
      <c r="G101" s="29">
        <f t="shared" si="14"/>
        <v>0</v>
      </c>
      <c r="H101" s="34"/>
      <c r="I101" s="31">
        <f t="shared" si="15"/>
        <v>0</v>
      </c>
      <c r="J101" s="46"/>
      <c r="K101" s="34"/>
      <c r="L101" s="29">
        <f t="shared" si="16"/>
        <v>0</v>
      </c>
      <c r="M101" s="31">
        <f t="shared" si="17"/>
        <v>0</v>
      </c>
      <c r="N101" s="32">
        <f t="shared" si="18"/>
        <v>0</v>
      </c>
      <c r="O101" s="32">
        <f t="shared" si="19"/>
        <v>0</v>
      </c>
      <c r="P101" s="29">
        <f t="shared" si="20"/>
        <v>0</v>
      </c>
    </row>
    <row r="102" spans="1:16">
      <c r="A102" s="3"/>
      <c r="B102" s="66"/>
      <c r="C102" s="66"/>
      <c r="D102" s="67"/>
      <c r="E102" s="66"/>
      <c r="F102" s="68"/>
      <c r="G102" s="68"/>
      <c r="H102" s="68"/>
      <c r="I102" s="68"/>
      <c r="J102" s="66"/>
      <c r="K102" s="69"/>
      <c r="L102" s="69"/>
      <c r="M102" s="69"/>
      <c r="N102" s="7"/>
      <c r="O102" s="7"/>
      <c r="P102" s="8"/>
    </row>
    <row r="103" spans="1:16" ht="15.6">
      <c r="A103" s="3"/>
      <c r="B103" s="4"/>
      <c r="C103" s="4"/>
      <c r="D103" s="13"/>
      <c r="E103" s="5" t="s">
        <v>11</v>
      </c>
      <c r="F103" s="6">
        <f>SUM(F3:F101)</f>
        <v>55965.620000000017</v>
      </c>
      <c r="G103" s="6">
        <f>SUM(G3:G101)</f>
        <v>4130.262756000001</v>
      </c>
      <c r="H103" s="6">
        <f>SUM(H3:H101)</f>
        <v>6657.630000000001</v>
      </c>
      <c r="I103" s="6">
        <f>SUM(I3:I101)</f>
        <v>45177.727243999994</v>
      </c>
      <c r="J103" s="4"/>
      <c r="K103" s="9"/>
      <c r="L103" s="6">
        <f>SUM(L3:L101)</f>
        <v>6776.6590866000024</v>
      </c>
      <c r="M103" s="6">
        <f>SUM(M3:M101)</f>
        <v>1807.1090897599997</v>
      </c>
      <c r="N103" s="6">
        <f>SUM(N3:N101)</f>
        <v>903.55454487999987</v>
      </c>
      <c r="O103" s="6">
        <f>SUM(O3:O101)</f>
        <v>903.55454487999987</v>
      </c>
      <c r="P103" s="6">
        <f>SUM(P3:P101)</f>
        <v>3162.4409070799984</v>
      </c>
    </row>
  </sheetData>
  <autoFilter ref="B2:P101" xr:uid="{5ED1124A-DCE0-4BF3-889F-5E1ECCC91966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4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0988-4C1D-4E06-BCCA-CAD1E935D513}">
  <dimension ref="A1:Q136"/>
  <sheetViews>
    <sheetView topLeftCell="A102" zoomScaleNormal="100" workbookViewId="0">
      <selection activeCell="E122" sqref="E122"/>
    </sheetView>
  </sheetViews>
  <sheetFormatPr defaultRowHeight="14.4"/>
  <cols>
    <col min="2" max="2" width="40.33203125" bestFit="1" customWidth="1"/>
    <col min="3" max="3" width="14.5546875" bestFit="1" customWidth="1"/>
    <col min="4" max="4" width="17.44140625" bestFit="1" customWidth="1"/>
    <col min="5" max="5" width="15.88671875" bestFit="1" customWidth="1"/>
    <col min="6" max="6" width="13.21875" customWidth="1"/>
    <col min="7" max="7" width="12.5546875" customWidth="1"/>
    <col min="8" max="8" width="13.33203125" customWidth="1"/>
    <col min="9" max="9" width="14.109375" customWidth="1"/>
    <col min="11" max="11" width="12.5546875" customWidth="1"/>
    <col min="12" max="12" width="12.21875" customWidth="1"/>
    <col min="13" max="13" width="12.33203125" customWidth="1"/>
    <col min="14" max="14" width="12.44140625" customWidth="1"/>
    <col min="15" max="15" width="13.109375" customWidth="1"/>
    <col min="16" max="16" width="14.44140625" customWidth="1"/>
    <col min="17" max="17" width="8.88671875" hidden="1" customWidth="1"/>
  </cols>
  <sheetData>
    <row r="1" spans="1:17" ht="23.4">
      <c r="B1" s="742" t="s">
        <v>155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1.6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27">
        <v>1</v>
      </c>
      <c r="B3" s="227" t="s">
        <v>299</v>
      </c>
      <c r="C3" s="228" t="s">
        <v>300</v>
      </c>
      <c r="D3" s="229">
        <v>1003110215075</v>
      </c>
      <c r="E3" s="230">
        <v>5405903</v>
      </c>
      <c r="F3" s="231">
        <v>525.88</v>
      </c>
      <c r="G3" s="232">
        <f>F3*7.38%</f>
        <v>38.809944000000002</v>
      </c>
      <c r="H3" s="233">
        <v>64.86</v>
      </c>
      <c r="I3" s="232">
        <f>F3-G3-H3</f>
        <v>422.21005600000001</v>
      </c>
      <c r="J3" s="234" t="s">
        <v>13</v>
      </c>
      <c r="K3" s="233" t="s">
        <v>211</v>
      </c>
      <c r="L3" s="235">
        <f>I3*15%</f>
        <v>63.331508399999997</v>
      </c>
      <c r="M3" s="235">
        <f t="shared" ref="M3:M66" si="0">I3*4%</f>
        <v>16.888402240000001</v>
      </c>
      <c r="N3" s="236">
        <f t="shared" ref="N3:N66" si="1">I3*2%</f>
        <v>8.4442011200000007</v>
      </c>
      <c r="O3" s="236">
        <f t="shared" ref="O3:O66" si="2">I3*2%</f>
        <v>8.4442011200000007</v>
      </c>
      <c r="P3" s="232">
        <f t="shared" ref="P3:P66" si="3">L3-M3-N3-O3</f>
        <v>29.554703919999994</v>
      </c>
    </row>
    <row r="4" spans="1:17">
      <c r="A4" s="27">
        <v>2</v>
      </c>
      <c r="B4" s="227" t="s">
        <v>301</v>
      </c>
      <c r="C4" s="237" t="s">
        <v>300</v>
      </c>
      <c r="D4" s="238">
        <v>1003110215068</v>
      </c>
      <c r="E4" s="230">
        <v>5405871</v>
      </c>
      <c r="F4" s="231">
        <v>525.25</v>
      </c>
      <c r="G4" s="232">
        <f>F4*7.38%</f>
        <v>38.763449999999999</v>
      </c>
      <c r="H4" s="239">
        <v>0</v>
      </c>
      <c r="I4" s="232">
        <f>F4-G4-H4</f>
        <v>486.48655000000002</v>
      </c>
      <c r="J4" s="240" t="s">
        <v>13</v>
      </c>
      <c r="K4" s="239" t="s">
        <v>211</v>
      </c>
      <c r="L4" s="235">
        <f t="shared" ref="L4:L67" si="4">I4*15%</f>
        <v>72.972982500000001</v>
      </c>
      <c r="M4" s="235">
        <f t="shared" si="0"/>
        <v>19.459462000000002</v>
      </c>
      <c r="N4" s="236">
        <f t="shared" si="1"/>
        <v>9.729731000000001</v>
      </c>
      <c r="O4" s="236">
        <f t="shared" si="2"/>
        <v>9.729731000000001</v>
      </c>
      <c r="P4" s="232">
        <f t="shared" si="3"/>
        <v>34.054058499999996</v>
      </c>
    </row>
    <row r="5" spans="1:17">
      <c r="A5" s="27">
        <v>3</v>
      </c>
      <c r="B5" s="241" t="s">
        <v>302</v>
      </c>
      <c r="C5" s="234" t="s">
        <v>173</v>
      </c>
      <c r="D5" s="242">
        <v>1003110215029</v>
      </c>
      <c r="E5" s="243" t="s">
        <v>303</v>
      </c>
      <c r="F5" s="244">
        <v>486.53</v>
      </c>
      <c r="G5" s="232">
        <f t="shared" ref="G5:G68" si="5">F5*7.38%</f>
        <v>35.905914000000003</v>
      </c>
      <c r="H5" s="245">
        <v>128.52000000000001</v>
      </c>
      <c r="I5" s="232">
        <f t="shared" ref="I5:I68" si="6">F5-G5-H5</f>
        <v>322.10408599999994</v>
      </c>
      <c r="J5" s="234" t="s">
        <v>13</v>
      </c>
      <c r="K5" s="233" t="s">
        <v>17</v>
      </c>
      <c r="L5" s="235">
        <f t="shared" si="4"/>
        <v>48.315612899999991</v>
      </c>
      <c r="M5" s="235">
        <f t="shared" si="0"/>
        <v>12.884163439999998</v>
      </c>
      <c r="N5" s="236">
        <f t="shared" si="1"/>
        <v>6.4420817199999991</v>
      </c>
      <c r="O5" s="236">
        <f t="shared" si="2"/>
        <v>6.4420817199999991</v>
      </c>
      <c r="P5" s="232">
        <f t="shared" si="3"/>
        <v>22.547286020000001</v>
      </c>
    </row>
    <row r="6" spans="1:17">
      <c r="A6" s="27">
        <v>4</v>
      </c>
      <c r="B6" s="227" t="s">
        <v>304</v>
      </c>
      <c r="C6" s="240" t="s">
        <v>173</v>
      </c>
      <c r="D6" s="246">
        <v>1003110215228</v>
      </c>
      <c r="E6" s="191" t="s">
        <v>305</v>
      </c>
      <c r="F6" s="247">
        <v>560.67999999999995</v>
      </c>
      <c r="G6" s="248">
        <f t="shared" si="5"/>
        <v>41.378183999999997</v>
      </c>
      <c r="H6" s="239">
        <v>148.11000000000001</v>
      </c>
      <c r="I6" s="248">
        <f t="shared" si="6"/>
        <v>371.1918159999999</v>
      </c>
      <c r="J6" s="240" t="s">
        <v>13</v>
      </c>
      <c r="K6" s="239" t="s">
        <v>17</v>
      </c>
      <c r="L6" s="235">
        <f t="shared" si="4"/>
        <v>55.678772399999986</v>
      </c>
      <c r="M6" s="235">
        <f t="shared" si="0"/>
        <v>14.847672639999997</v>
      </c>
      <c r="N6" s="236">
        <f t="shared" si="1"/>
        <v>7.4238363199999986</v>
      </c>
      <c r="O6" s="236">
        <f t="shared" si="2"/>
        <v>7.4238363199999986</v>
      </c>
      <c r="P6" s="232">
        <f t="shared" si="3"/>
        <v>25.983427119999988</v>
      </c>
    </row>
    <row r="7" spans="1:17">
      <c r="A7" s="27">
        <v>5</v>
      </c>
      <c r="B7" s="241" t="s">
        <v>306</v>
      </c>
      <c r="C7" s="234" t="s">
        <v>29</v>
      </c>
      <c r="D7" s="246">
        <v>1003110218305</v>
      </c>
      <c r="E7" s="191" t="s">
        <v>307</v>
      </c>
      <c r="F7" s="233">
        <v>621.04999999999995</v>
      </c>
      <c r="G7" s="248">
        <f t="shared" si="5"/>
        <v>45.833489999999998</v>
      </c>
      <c r="H7" s="233">
        <v>76.599999999999994</v>
      </c>
      <c r="I7" s="248">
        <f t="shared" si="6"/>
        <v>498.61650999999995</v>
      </c>
      <c r="J7" s="234" t="s">
        <v>13</v>
      </c>
      <c r="K7" s="233" t="s">
        <v>17</v>
      </c>
      <c r="L7" s="235">
        <f t="shared" si="4"/>
        <v>74.792476499999992</v>
      </c>
      <c r="M7" s="235">
        <f t="shared" si="0"/>
        <v>19.9446604</v>
      </c>
      <c r="N7" s="236">
        <f t="shared" si="1"/>
        <v>9.9723302</v>
      </c>
      <c r="O7" s="236">
        <f t="shared" si="2"/>
        <v>9.9723302</v>
      </c>
      <c r="P7" s="232">
        <f t="shared" si="3"/>
        <v>34.903155699999985</v>
      </c>
    </row>
    <row r="8" spans="1:17">
      <c r="A8" s="27">
        <v>6</v>
      </c>
      <c r="B8" s="227" t="s">
        <v>308</v>
      </c>
      <c r="C8" s="240" t="s">
        <v>173</v>
      </c>
      <c r="D8" s="249">
        <v>1003110222222</v>
      </c>
      <c r="E8" s="250">
        <v>5410211</v>
      </c>
      <c r="F8" s="239">
        <v>647.05999999999995</v>
      </c>
      <c r="G8" s="248">
        <f t="shared" si="5"/>
        <v>47.753028</v>
      </c>
      <c r="H8" s="239">
        <v>69.53</v>
      </c>
      <c r="I8" s="248">
        <f>F8-G8-H8</f>
        <v>529.776972</v>
      </c>
      <c r="J8" s="240" t="s">
        <v>13</v>
      </c>
      <c r="K8" s="239" t="s">
        <v>238</v>
      </c>
      <c r="L8" s="235">
        <f t="shared" si="4"/>
        <v>79.466545799999992</v>
      </c>
      <c r="M8" s="235">
        <f t="shared" si="0"/>
        <v>21.191078879999999</v>
      </c>
      <c r="N8" s="236">
        <f t="shared" si="1"/>
        <v>10.59553944</v>
      </c>
      <c r="O8" s="236">
        <f t="shared" si="2"/>
        <v>10.59553944</v>
      </c>
      <c r="P8" s="232">
        <f t="shared" si="3"/>
        <v>37.084388039999993</v>
      </c>
    </row>
    <row r="9" spans="1:17">
      <c r="A9" s="27">
        <v>7</v>
      </c>
      <c r="B9" s="241" t="s">
        <v>309</v>
      </c>
      <c r="C9" s="234" t="s">
        <v>234</v>
      </c>
      <c r="D9" s="251">
        <v>2520391</v>
      </c>
      <c r="E9" s="191">
        <v>5410263</v>
      </c>
      <c r="F9" s="252">
        <v>914</v>
      </c>
      <c r="G9" s="248">
        <f t="shared" si="5"/>
        <v>67.45320000000001</v>
      </c>
      <c r="H9" s="233">
        <v>240.53</v>
      </c>
      <c r="I9" s="248">
        <f>F9-G9-H9</f>
        <v>606.01679999999999</v>
      </c>
      <c r="J9" s="234" t="s">
        <v>16</v>
      </c>
      <c r="K9" s="233" t="s">
        <v>216</v>
      </c>
      <c r="L9" s="235">
        <f t="shared" si="4"/>
        <v>90.902519999999996</v>
      </c>
      <c r="M9" s="235">
        <f t="shared" si="0"/>
        <v>24.240672</v>
      </c>
      <c r="N9" s="236">
        <f>I9*2%</f>
        <v>12.120336</v>
      </c>
      <c r="O9" s="236">
        <f t="shared" si="2"/>
        <v>12.120336</v>
      </c>
      <c r="P9" s="232">
        <f t="shared" si="3"/>
        <v>42.421175999999988</v>
      </c>
    </row>
    <row r="10" spans="1:17">
      <c r="A10" s="27">
        <v>8</v>
      </c>
      <c r="B10" s="253" t="s">
        <v>310</v>
      </c>
      <c r="C10" s="240" t="s">
        <v>173</v>
      </c>
      <c r="D10" s="254">
        <v>100311224425</v>
      </c>
      <c r="E10" s="255">
        <v>5410551</v>
      </c>
      <c r="F10" s="256">
        <v>619.42999999999995</v>
      </c>
      <c r="G10" s="248">
        <f t="shared" si="5"/>
        <v>45.713934000000002</v>
      </c>
      <c r="H10" s="239">
        <v>66.56</v>
      </c>
      <c r="I10" s="248">
        <f t="shared" si="6"/>
        <v>507.15606599999995</v>
      </c>
      <c r="J10" s="257" t="s">
        <v>13</v>
      </c>
      <c r="K10" s="239" t="s">
        <v>238</v>
      </c>
      <c r="L10" s="235">
        <f t="shared" si="4"/>
        <v>76.073409899999987</v>
      </c>
      <c r="M10" s="235">
        <f t="shared" si="0"/>
        <v>20.286242639999998</v>
      </c>
      <c r="N10" s="236">
        <f t="shared" si="1"/>
        <v>10.143121319999999</v>
      </c>
      <c r="O10" s="236">
        <f t="shared" si="2"/>
        <v>10.143121319999999</v>
      </c>
      <c r="P10" s="232">
        <f t="shared" si="3"/>
        <v>35.500924619999992</v>
      </c>
    </row>
    <row r="11" spans="1:17">
      <c r="A11" s="27">
        <v>9</v>
      </c>
      <c r="B11" s="503" t="s">
        <v>311</v>
      </c>
      <c r="C11" s="295" t="s">
        <v>29</v>
      </c>
      <c r="D11" s="403">
        <v>2242570</v>
      </c>
      <c r="E11" s="507" t="s">
        <v>312</v>
      </c>
      <c r="F11" s="602">
        <v>572.19000000000005</v>
      </c>
      <c r="G11" s="294">
        <f t="shared" si="5"/>
        <v>42.227622000000004</v>
      </c>
      <c r="H11" s="293">
        <v>0</v>
      </c>
      <c r="I11" s="293">
        <f t="shared" si="6"/>
        <v>529.96237800000006</v>
      </c>
      <c r="J11" s="405" t="s">
        <v>13</v>
      </c>
      <c r="K11" s="293" t="s">
        <v>17</v>
      </c>
      <c r="L11" s="293">
        <f t="shared" si="4"/>
        <v>79.494356700000012</v>
      </c>
      <c r="M11" s="293">
        <f t="shared" si="0"/>
        <v>21.198495120000004</v>
      </c>
      <c r="N11" s="296">
        <f t="shared" si="1"/>
        <v>10.599247560000002</v>
      </c>
      <c r="O11" s="406">
        <f t="shared" si="2"/>
        <v>10.599247560000002</v>
      </c>
      <c r="P11" s="293">
        <f t="shared" si="3"/>
        <v>37.097366460000003</v>
      </c>
    </row>
    <row r="12" spans="1:17">
      <c r="A12" s="27">
        <v>10</v>
      </c>
      <c r="B12" s="261" t="s">
        <v>313</v>
      </c>
      <c r="C12" s="160" t="s">
        <v>300</v>
      </c>
      <c r="D12" s="254">
        <v>224151478</v>
      </c>
      <c r="E12" s="262" t="s">
        <v>314</v>
      </c>
      <c r="F12" s="263">
        <v>459.72</v>
      </c>
      <c r="G12" s="248">
        <f t="shared" si="5"/>
        <v>33.927336000000004</v>
      </c>
      <c r="H12" s="239">
        <v>0</v>
      </c>
      <c r="I12" s="248">
        <f t="shared" si="6"/>
        <v>425.792664</v>
      </c>
      <c r="J12" s="259" t="s">
        <v>13</v>
      </c>
      <c r="K12" s="239" t="s">
        <v>17</v>
      </c>
      <c r="L12" s="235">
        <f t="shared" si="4"/>
        <v>63.868899599999999</v>
      </c>
      <c r="M12" s="235">
        <f t="shared" si="0"/>
        <v>17.03170656</v>
      </c>
      <c r="N12" s="236">
        <f t="shared" si="1"/>
        <v>8.51585328</v>
      </c>
      <c r="O12" s="236">
        <f t="shared" si="2"/>
        <v>8.51585328</v>
      </c>
      <c r="P12" s="232">
        <f t="shared" si="3"/>
        <v>29.805486479999999</v>
      </c>
    </row>
    <row r="13" spans="1:17">
      <c r="A13" s="27">
        <v>11</v>
      </c>
      <c r="B13" s="253" t="s">
        <v>315</v>
      </c>
      <c r="C13" s="234" t="s">
        <v>29</v>
      </c>
      <c r="D13" s="251">
        <v>1003110227805</v>
      </c>
      <c r="E13" s="191" t="s">
        <v>316</v>
      </c>
      <c r="F13" s="263">
        <v>595.45000000000005</v>
      </c>
      <c r="G13" s="258">
        <f t="shared" si="5"/>
        <v>43.944210000000005</v>
      </c>
      <c r="H13" s="233">
        <v>63.98</v>
      </c>
      <c r="I13" s="258">
        <f t="shared" si="6"/>
        <v>487.52579000000003</v>
      </c>
      <c r="J13" s="259" t="s">
        <v>13</v>
      </c>
      <c r="K13" s="233" t="s">
        <v>211</v>
      </c>
      <c r="L13" s="235">
        <f t="shared" si="4"/>
        <v>73.128868499999996</v>
      </c>
      <c r="M13" s="235">
        <f t="shared" si="0"/>
        <v>19.501031600000001</v>
      </c>
      <c r="N13" s="236">
        <f t="shared" si="1"/>
        <v>9.7505158000000005</v>
      </c>
      <c r="O13" s="260">
        <f t="shared" si="2"/>
        <v>9.7505158000000005</v>
      </c>
      <c r="P13" s="235">
        <f t="shared" si="3"/>
        <v>34.126805299999987</v>
      </c>
    </row>
    <row r="14" spans="1:17">
      <c r="A14" s="27">
        <v>12</v>
      </c>
      <c r="B14" s="159" t="s">
        <v>317</v>
      </c>
      <c r="C14" s="240" t="s">
        <v>300</v>
      </c>
      <c r="D14" s="264">
        <v>1003110227904</v>
      </c>
      <c r="E14" s="262">
        <v>5397469</v>
      </c>
      <c r="F14" s="263">
        <v>533.55999999999995</v>
      </c>
      <c r="G14" s="248">
        <f t="shared" si="5"/>
        <v>39.376728</v>
      </c>
      <c r="H14" s="239">
        <v>57.33</v>
      </c>
      <c r="I14" s="248">
        <f t="shared" si="6"/>
        <v>436.85327199999995</v>
      </c>
      <c r="J14" s="257" t="s">
        <v>13</v>
      </c>
      <c r="K14" s="239" t="s">
        <v>216</v>
      </c>
      <c r="L14" s="235">
        <f t="shared" si="4"/>
        <v>65.527990799999984</v>
      </c>
      <c r="M14" s="235">
        <f t="shared" si="0"/>
        <v>17.474130879999997</v>
      </c>
      <c r="N14" s="236">
        <f t="shared" si="1"/>
        <v>8.7370654399999985</v>
      </c>
      <c r="O14" s="236">
        <f t="shared" si="2"/>
        <v>8.7370654399999985</v>
      </c>
      <c r="P14" s="232">
        <f t="shared" si="3"/>
        <v>30.579729039999986</v>
      </c>
    </row>
    <row r="15" spans="1:17">
      <c r="A15" s="27">
        <v>13</v>
      </c>
      <c r="B15" s="265" t="s">
        <v>318</v>
      </c>
      <c r="C15" s="234" t="s">
        <v>173</v>
      </c>
      <c r="D15" s="266">
        <v>1003110235220</v>
      </c>
      <c r="E15" s="262">
        <v>541146</v>
      </c>
      <c r="F15" s="267">
        <v>490.21</v>
      </c>
      <c r="G15" s="258">
        <f t="shared" si="5"/>
        <v>36.177498</v>
      </c>
      <c r="H15" s="239">
        <v>0</v>
      </c>
      <c r="I15" s="258">
        <f t="shared" si="6"/>
        <v>454.03250199999997</v>
      </c>
      <c r="J15" s="259" t="s">
        <v>13</v>
      </c>
      <c r="K15" s="233" t="s">
        <v>211</v>
      </c>
      <c r="L15" s="235">
        <f t="shared" si="4"/>
        <v>68.104875299999989</v>
      </c>
      <c r="M15" s="235">
        <f t="shared" si="0"/>
        <v>18.16130008</v>
      </c>
      <c r="N15" s="236">
        <f t="shared" si="1"/>
        <v>9.0806500400000001</v>
      </c>
      <c r="O15" s="260">
        <f t="shared" si="2"/>
        <v>9.0806500400000001</v>
      </c>
      <c r="P15" s="235">
        <f t="shared" si="3"/>
        <v>31.782275139999982</v>
      </c>
    </row>
    <row r="16" spans="1:17">
      <c r="A16" s="27">
        <v>14</v>
      </c>
      <c r="B16" s="261" t="s">
        <v>319</v>
      </c>
      <c r="C16" s="237" t="s">
        <v>300</v>
      </c>
      <c r="D16" s="251">
        <v>25230030</v>
      </c>
      <c r="E16" s="268">
        <v>5414192</v>
      </c>
      <c r="F16" s="263">
        <v>459.72</v>
      </c>
      <c r="G16" s="248">
        <f t="shared" si="5"/>
        <v>33.927336000000004</v>
      </c>
      <c r="H16" s="239">
        <v>114.93</v>
      </c>
      <c r="I16" s="248">
        <f t="shared" si="6"/>
        <v>310.862664</v>
      </c>
      <c r="J16" s="257" t="s">
        <v>16</v>
      </c>
      <c r="K16" s="239" t="s">
        <v>211</v>
      </c>
      <c r="L16" s="235">
        <f t="shared" si="4"/>
        <v>46.629399599999999</v>
      </c>
      <c r="M16" s="235">
        <f t="shared" si="0"/>
        <v>12.434506560000001</v>
      </c>
      <c r="N16" s="236">
        <f t="shared" si="1"/>
        <v>6.2172532800000004</v>
      </c>
      <c r="O16" s="236">
        <f t="shared" si="2"/>
        <v>6.2172532800000004</v>
      </c>
      <c r="P16" s="232">
        <f t="shared" si="3"/>
        <v>21.760386479999994</v>
      </c>
    </row>
    <row r="17" spans="1:16">
      <c r="A17" s="27">
        <v>15</v>
      </c>
      <c r="B17" s="265" t="s">
        <v>320</v>
      </c>
      <c r="C17" s="269" t="s">
        <v>173</v>
      </c>
      <c r="D17" s="246">
        <v>2526780</v>
      </c>
      <c r="E17" s="270">
        <v>5400433</v>
      </c>
      <c r="F17" s="233">
        <v>867.76</v>
      </c>
      <c r="G17" s="258">
        <f t="shared" si="5"/>
        <v>64.040688000000003</v>
      </c>
      <c r="H17" s="239">
        <v>0</v>
      </c>
      <c r="I17" s="258">
        <f t="shared" si="6"/>
        <v>803.71931199999995</v>
      </c>
      <c r="J17" s="259" t="s">
        <v>13</v>
      </c>
      <c r="K17" s="233" t="s">
        <v>321</v>
      </c>
      <c r="L17" s="235">
        <f t="shared" si="4"/>
        <v>120.55789679999998</v>
      </c>
      <c r="M17" s="235">
        <f t="shared" si="0"/>
        <v>32.148772479999998</v>
      </c>
      <c r="N17" s="236">
        <f t="shared" si="1"/>
        <v>16.074386239999999</v>
      </c>
      <c r="O17" s="260">
        <f t="shared" si="2"/>
        <v>16.074386239999999</v>
      </c>
      <c r="P17" s="235">
        <f t="shared" si="3"/>
        <v>56.260351839999998</v>
      </c>
    </row>
    <row r="18" spans="1:16">
      <c r="A18" s="27">
        <v>16</v>
      </c>
      <c r="B18" s="261" t="s">
        <v>322</v>
      </c>
      <c r="C18" s="237" t="s">
        <v>300</v>
      </c>
      <c r="D18" s="251">
        <v>1003110232566</v>
      </c>
      <c r="E18" s="271">
        <v>5414703</v>
      </c>
      <c r="F18" s="239">
        <v>533.55999999999995</v>
      </c>
      <c r="G18" s="248">
        <f t="shared" si="5"/>
        <v>39.376728</v>
      </c>
      <c r="H18" s="239">
        <v>57.53</v>
      </c>
      <c r="I18" s="248">
        <f t="shared" si="6"/>
        <v>436.6532719999999</v>
      </c>
      <c r="J18" s="257" t="s">
        <v>13</v>
      </c>
      <c r="K18" s="239" t="s">
        <v>216</v>
      </c>
      <c r="L18" s="235">
        <f t="shared" si="4"/>
        <v>65.497990799999982</v>
      </c>
      <c r="M18" s="235">
        <f t="shared" si="0"/>
        <v>17.466130879999998</v>
      </c>
      <c r="N18" s="236">
        <f t="shared" si="1"/>
        <v>8.733065439999999</v>
      </c>
      <c r="O18" s="236">
        <f t="shared" si="2"/>
        <v>8.733065439999999</v>
      </c>
      <c r="P18" s="232">
        <f t="shared" si="3"/>
        <v>30.565729039999994</v>
      </c>
    </row>
    <row r="19" spans="1:16">
      <c r="A19" s="27">
        <v>17</v>
      </c>
      <c r="B19" s="265" t="s">
        <v>323</v>
      </c>
      <c r="C19" s="269" t="s">
        <v>173</v>
      </c>
      <c r="D19" s="251">
        <v>51772025423105</v>
      </c>
      <c r="E19" s="272">
        <v>5413730</v>
      </c>
      <c r="F19" s="233">
        <v>1011.45</v>
      </c>
      <c r="G19" s="258">
        <f t="shared" si="5"/>
        <v>74.645010000000013</v>
      </c>
      <c r="H19" s="233">
        <v>101.15</v>
      </c>
      <c r="I19" s="258">
        <f t="shared" si="6"/>
        <v>835.65499000000011</v>
      </c>
      <c r="J19" s="259" t="s">
        <v>16</v>
      </c>
      <c r="K19" s="233" t="s">
        <v>24</v>
      </c>
      <c r="L19" s="235">
        <f t="shared" si="4"/>
        <v>125.34824850000001</v>
      </c>
      <c r="M19" s="235">
        <f t="shared" si="0"/>
        <v>33.426199600000004</v>
      </c>
      <c r="N19" s="260">
        <f t="shared" si="1"/>
        <v>16.713099800000002</v>
      </c>
      <c r="O19" s="260">
        <f t="shared" si="2"/>
        <v>16.713099800000002</v>
      </c>
      <c r="P19" s="235">
        <f t="shared" si="3"/>
        <v>58.49584930000001</v>
      </c>
    </row>
    <row r="20" spans="1:16">
      <c r="A20" s="27">
        <v>18</v>
      </c>
      <c r="B20" s="261" t="s">
        <v>324</v>
      </c>
      <c r="C20" s="269" t="s">
        <v>300</v>
      </c>
      <c r="D20" s="254">
        <v>1003110244218</v>
      </c>
      <c r="E20" s="268">
        <v>5415420</v>
      </c>
      <c r="F20" s="239">
        <v>487.54</v>
      </c>
      <c r="G20" s="248">
        <f t="shared" si="5"/>
        <v>35.980452000000007</v>
      </c>
      <c r="H20" s="239">
        <v>128.78</v>
      </c>
      <c r="I20" s="232">
        <f t="shared" si="6"/>
        <v>322.77954799999998</v>
      </c>
      <c r="J20" s="257" t="s">
        <v>13</v>
      </c>
      <c r="K20" s="239" t="s">
        <v>235</v>
      </c>
      <c r="L20" s="235">
        <f t="shared" si="4"/>
        <v>48.416932199999998</v>
      </c>
      <c r="M20" s="235">
        <f t="shared" si="0"/>
        <v>12.911181919999999</v>
      </c>
      <c r="N20" s="236">
        <f t="shared" si="1"/>
        <v>6.4555909599999994</v>
      </c>
      <c r="O20" s="236">
        <f t="shared" si="2"/>
        <v>6.4555909599999994</v>
      </c>
      <c r="P20" s="232">
        <f t="shared" si="3"/>
        <v>22.594568360000004</v>
      </c>
    </row>
    <row r="21" spans="1:16">
      <c r="A21" s="27">
        <v>19</v>
      </c>
      <c r="B21" s="56" t="s">
        <v>325</v>
      </c>
      <c r="C21" s="234" t="s">
        <v>300</v>
      </c>
      <c r="D21" s="251">
        <v>2535550</v>
      </c>
      <c r="E21" s="273">
        <v>5416761</v>
      </c>
      <c r="F21" s="233">
        <v>459.72</v>
      </c>
      <c r="G21" s="235">
        <f>F21*7.38%</f>
        <v>33.927336000000004</v>
      </c>
      <c r="H21" s="233">
        <v>160.88999999999999</v>
      </c>
      <c r="I21" s="235">
        <f t="shared" si="6"/>
        <v>264.90266400000002</v>
      </c>
      <c r="J21" s="259" t="s">
        <v>13</v>
      </c>
      <c r="K21" s="233" t="s">
        <v>17</v>
      </c>
      <c r="L21" s="235">
        <f t="shared" si="4"/>
        <v>39.735399600000001</v>
      </c>
      <c r="M21" s="235">
        <f t="shared" si="0"/>
        <v>10.596106560000001</v>
      </c>
      <c r="N21" s="260">
        <f t="shared" si="1"/>
        <v>5.2980532800000004</v>
      </c>
      <c r="O21" s="260">
        <f t="shared" si="2"/>
        <v>5.2980532800000004</v>
      </c>
      <c r="P21" s="235">
        <f t="shared" si="3"/>
        <v>18.543186479999996</v>
      </c>
    </row>
    <row r="22" spans="1:16">
      <c r="A22" s="27">
        <v>20</v>
      </c>
      <c r="B22" s="261" t="s">
        <v>326</v>
      </c>
      <c r="C22" s="240" t="s">
        <v>300</v>
      </c>
      <c r="D22" s="254">
        <v>1003110234472</v>
      </c>
      <c r="E22" s="268">
        <v>5416513</v>
      </c>
      <c r="F22" s="239">
        <v>565.34</v>
      </c>
      <c r="G22" s="232">
        <f t="shared" si="5"/>
        <v>41.722092000000004</v>
      </c>
      <c r="H22" s="239">
        <v>69.73</v>
      </c>
      <c r="I22" s="232">
        <f t="shared" si="6"/>
        <v>453.88790800000004</v>
      </c>
      <c r="J22" s="257" t="s">
        <v>13</v>
      </c>
      <c r="K22" s="239" t="s">
        <v>14</v>
      </c>
      <c r="L22" s="235">
        <f t="shared" si="4"/>
        <v>68.0831862</v>
      </c>
      <c r="M22" s="235">
        <f t="shared" si="0"/>
        <v>18.15551632</v>
      </c>
      <c r="N22" s="236">
        <f t="shared" si="1"/>
        <v>9.0777581600000001</v>
      </c>
      <c r="O22" s="236">
        <f t="shared" si="2"/>
        <v>9.0777581600000001</v>
      </c>
      <c r="P22" s="232">
        <f t="shared" si="3"/>
        <v>31.772153559999992</v>
      </c>
    </row>
    <row r="23" spans="1:16">
      <c r="A23" s="27">
        <v>21</v>
      </c>
      <c r="B23" s="265" t="s">
        <v>327</v>
      </c>
      <c r="C23" s="234" t="s">
        <v>31</v>
      </c>
      <c r="D23" s="251">
        <v>1003110234610</v>
      </c>
      <c r="E23" s="274">
        <v>5416980</v>
      </c>
      <c r="F23" s="233">
        <v>635.29999999999995</v>
      </c>
      <c r="G23" s="235">
        <f t="shared" si="5"/>
        <v>46.88514</v>
      </c>
      <c r="H23" s="233">
        <v>68.27</v>
      </c>
      <c r="I23" s="235">
        <f t="shared" si="6"/>
        <v>520.14485999999999</v>
      </c>
      <c r="J23" s="259" t="s">
        <v>13</v>
      </c>
      <c r="K23" s="233" t="s">
        <v>51</v>
      </c>
      <c r="L23" s="235">
        <f t="shared" si="4"/>
        <v>78.021728999999993</v>
      </c>
      <c r="M23" s="235">
        <f t="shared" si="0"/>
        <v>20.8057944</v>
      </c>
      <c r="N23" s="260">
        <f t="shared" si="1"/>
        <v>10.4028972</v>
      </c>
      <c r="O23" s="260">
        <f t="shared" si="2"/>
        <v>10.4028972</v>
      </c>
      <c r="P23" s="235">
        <f t="shared" si="3"/>
        <v>36.410140200000001</v>
      </c>
    </row>
    <row r="24" spans="1:16">
      <c r="A24" s="27">
        <v>22</v>
      </c>
      <c r="B24" s="265" t="s">
        <v>328</v>
      </c>
      <c r="C24" s="234" t="s">
        <v>300</v>
      </c>
      <c r="D24" s="251">
        <v>1003110234568</v>
      </c>
      <c r="E24" s="274">
        <v>5416569</v>
      </c>
      <c r="F24" s="233">
        <v>508.64</v>
      </c>
      <c r="G24" s="235">
        <f t="shared" si="5"/>
        <v>37.537632000000002</v>
      </c>
      <c r="H24" s="233">
        <v>54.65</v>
      </c>
      <c r="I24" s="235">
        <f t="shared" si="6"/>
        <v>416.45236799999998</v>
      </c>
      <c r="J24" s="259" t="s">
        <v>13</v>
      </c>
      <c r="K24" s="233" t="s">
        <v>211</v>
      </c>
      <c r="L24" s="235">
        <f t="shared" si="4"/>
        <v>62.467855199999995</v>
      </c>
      <c r="M24" s="235">
        <f t="shared" si="0"/>
        <v>16.658094720000001</v>
      </c>
      <c r="N24" s="260">
        <f t="shared" si="1"/>
        <v>8.3290473600000006</v>
      </c>
      <c r="O24" s="260">
        <f t="shared" si="2"/>
        <v>8.3290473600000006</v>
      </c>
      <c r="P24" s="235">
        <f t="shared" si="3"/>
        <v>29.15166575999999</v>
      </c>
    </row>
    <row r="25" spans="1:16">
      <c r="A25" s="27">
        <v>23</v>
      </c>
      <c r="B25" s="261" t="s">
        <v>329</v>
      </c>
      <c r="C25" s="240" t="s">
        <v>234</v>
      </c>
      <c r="D25" s="254">
        <v>1003110234551</v>
      </c>
      <c r="E25" s="268">
        <v>5413666</v>
      </c>
      <c r="F25" s="239">
        <v>585.98</v>
      </c>
      <c r="G25" s="232">
        <f t="shared" si="5"/>
        <v>43.245324000000004</v>
      </c>
      <c r="H25" s="239">
        <v>63.89</v>
      </c>
      <c r="I25" s="235">
        <f t="shared" si="6"/>
        <v>478.84467600000005</v>
      </c>
      <c r="J25" s="257" t="s">
        <v>13</v>
      </c>
      <c r="K25" s="239" t="s">
        <v>330</v>
      </c>
      <c r="L25" s="235">
        <f t="shared" si="4"/>
        <v>71.826701400000005</v>
      </c>
      <c r="M25" s="235">
        <f t="shared" si="0"/>
        <v>19.153787040000001</v>
      </c>
      <c r="N25" s="236">
        <f t="shared" si="1"/>
        <v>9.5768935200000005</v>
      </c>
      <c r="O25" s="236">
        <f t="shared" si="2"/>
        <v>9.5768935200000005</v>
      </c>
      <c r="P25" s="232">
        <f t="shared" si="3"/>
        <v>33.51912732000001</v>
      </c>
    </row>
    <row r="26" spans="1:16">
      <c r="A26" s="27">
        <v>24</v>
      </c>
      <c r="B26" s="275" t="s">
        <v>331</v>
      </c>
      <c r="C26" s="276" t="s">
        <v>29</v>
      </c>
      <c r="D26" s="277">
        <v>2536220</v>
      </c>
      <c r="E26" s="278">
        <v>5413536</v>
      </c>
      <c r="F26" s="239">
        <v>591.41</v>
      </c>
      <c r="G26" s="232">
        <f t="shared" si="5"/>
        <v>43.646058000000004</v>
      </c>
      <c r="H26" s="239">
        <v>148.27000000000001</v>
      </c>
      <c r="I26" s="235">
        <f t="shared" si="6"/>
        <v>399.49394199999995</v>
      </c>
      <c r="J26" s="276" t="s">
        <v>16</v>
      </c>
      <c r="K26" s="276" t="s">
        <v>332</v>
      </c>
      <c r="L26" s="235">
        <f t="shared" si="4"/>
        <v>59.924091299999986</v>
      </c>
      <c r="M26" s="235">
        <f t="shared" si="0"/>
        <v>15.979757679999999</v>
      </c>
      <c r="N26" s="236">
        <f t="shared" si="1"/>
        <v>7.9898788399999994</v>
      </c>
      <c r="O26" s="236">
        <f t="shared" si="2"/>
        <v>7.9898788399999994</v>
      </c>
      <c r="P26" s="232">
        <f t="shared" si="3"/>
        <v>27.964575939999992</v>
      </c>
    </row>
    <row r="27" spans="1:16">
      <c r="A27" s="27">
        <v>25</v>
      </c>
      <c r="B27" s="227" t="s">
        <v>333</v>
      </c>
      <c r="C27" s="240" t="s">
        <v>300</v>
      </c>
      <c r="D27" s="279">
        <v>253750070</v>
      </c>
      <c r="E27" s="268">
        <v>5359063</v>
      </c>
      <c r="F27" s="239">
        <v>459.97</v>
      </c>
      <c r="G27" s="232">
        <f t="shared" si="5"/>
        <v>33.945786000000005</v>
      </c>
      <c r="H27" s="239">
        <v>45.97</v>
      </c>
      <c r="I27" s="235">
        <f t="shared" si="6"/>
        <v>380.054214</v>
      </c>
      <c r="J27" s="257" t="s">
        <v>16</v>
      </c>
      <c r="K27" s="239" t="s">
        <v>17</v>
      </c>
      <c r="L27" s="235">
        <f t="shared" si="4"/>
        <v>57.008132099999997</v>
      </c>
      <c r="M27" s="235">
        <f t="shared" si="0"/>
        <v>15.20216856</v>
      </c>
      <c r="N27" s="236">
        <f t="shared" si="1"/>
        <v>7.6010842800000002</v>
      </c>
      <c r="O27" s="236">
        <f t="shared" si="2"/>
        <v>7.6010842800000002</v>
      </c>
      <c r="P27" s="232">
        <f t="shared" si="3"/>
        <v>26.603794979999989</v>
      </c>
    </row>
    <row r="28" spans="1:16">
      <c r="A28" s="27">
        <v>26</v>
      </c>
      <c r="B28" s="227" t="s">
        <v>334</v>
      </c>
      <c r="C28" s="240" t="s">
        <v>52</v>
      </c>
      <c r="D28" s="254">
        <v>2524826</v>
      </c>
      <c r="E28" s="268">
        <v>5418360</v>
      </c>
      <c r="F28" s="239">
        <v>582.13</v>
      </c>
      <c r="G28" s="232">
        <f t="shared" si="5"/>
        <v>42.961193999999999</v>
      </c>
      <c r="H28" s="239">
        <v>51.07</v>
      </c>
      <c r="I28" s="235">
        <f t="shared" si="6"/>
        <v>488.09880600000002</v>
      </c>
      <c r="J28" s="257" t="s">
        <v>16</v>
      </c>
      <c r="K28" s="239" t="s">
        <v>17</v>
      </c>
      <c r="L28" s="235">
        <f t="shared" si="4"/>
        <v>73.214820900000007</v>
      </c>
      <c r="M28" s="235">
        <f t="shared" si="0"/>
        <v>19.52395224</v>
      </c>
      <c r="N28" s="236">
        <f t="shared" si="1"/>
        <v>9.7619761199999999</v>
      </c>
      <c r="O28" s="236">
        <f t="shared" si="2"/>
        <v>9.7619761199999999</v>
      </c>
      <c r="P28" s="232">
        <f t="shared" si="3"/>
        <v>34.166916420000007</v>
      </c>
    </row>
    <row r="29" spans="1:16">
      <c r="A29" s="27">
        <v>27</v>
      </c>
      <c r="B29" s="339" t="s">
        <v>335</v>
      </c>
      <c r="C29" s="327" t="s">
        <v>52</v>
      </c>
      <c r="D29" s="400">
        <v>103110239765</v>
      </c>
      <c r="E29" s="495">
        <v>5420075</v>
      </c>
      <c r="F29" s="294">
        <v>543.82000000000005</v>
      </c>
      <c r="G29" s="294">
        <f t="shared" si="5"/>
        <v>40.133916000000006</v>
      </c>
      <c r="H29" s="294">
        <v>58.43</v>
      </c>
      <c r="I29" s="293">
        <f t="shared" si="6"/>
        <v>445.25608400000004</v>
      </c>
      <c r="J29" s="329" t="s">
        <v>13</v>
      </c>
      <c r="K29" s="294" t="s">
        <v>17</v>
      </c>
      <c r="L29" s="293">
        <f t="shared" si="4"/>
        <v>66.788412600000001</v>
      </c>
      <c r="M29" s="293">
        <f t="shared" si="0"/>
        <v>17.810243360000001</v>
      </c>
      <c r="N29" s="296">
        <f t="shared" si="1"/>
        <v>8.9051216800000006</v>
      </c>
      <c r="O29" s="296">
        <f t="shared" si="2"/>
        <v>8.9051216800000006</v>
      </c>
      <c r="P29" s="294">
        <f t="shared" si="3"/>
        <v>31.167925879999999</v>
      </c>
    </row>
    <row r="30" spans="1:16">
      <c r="A30" s="27">
        <v>28</v>
      </c>
      <c r="B30" s="227" t="s">
        <v>336</v>
      </c>
      <c r="C30" s="240" t="s">
        <v>52</v>
      </c>
      <c r="D30" s="254">
        <v>2525695</v>
      </c>
      <c r="E30" s="268">
        <v>5414666</v>
      </c>
      <c r="F30" s="239">
        <v>569.84</v>
      </c>
      <c r="G30" s="232">
        <f t="shared" si="5"/>
        <v>42.054192000000008</v>
      </c>
      <c r="H30" s="239">
        <v>49.99</v>
      </c>
      <c r="I30" s="235">
        <f t="shared" si="6"/>
        <v>477.79580799999997</v>
      </c>
      <c r="J30" s="257" t="s">
        <v>16</v>
      </c>
      <c r="K30" s="239" t="s">
        <v>158</v>
      </c>
      <c r="L30" s="235">
        <f t="shared" si="4"/>
        <v>71.669371199999986</v>
      </c>
      <c r="M30" s="235">
        <f t="shared" si="0"/>
        <v>19.111832319999998</v>
      </c>
      <c r="N30" s="236">
        <f t="shared" si="1"/>
        <v>9.5559161599999989</v>
      </c>
      <c r="O30" s="236">
        <f t="shared" si="2"/>
        <v>9.5559161599999989</v>
      </c>
      <c r="P30" s="232">
        <f t="shared" si="3"/>
        <v>33.445706559999991</v>
      </c>
    </row>
    <row r="31" spans="1:16">
      <c r="A31" s="27">
        <v>29</v>
      </c>
      <c r="B31" s="227" t="s">
        <v>337</v>
      </c>
      <c r="C31" s="240" t="s">
        <v>18</v>
      </c>
      <c r="D31" s="254">
        <v>2526241</v>
      </c>
      <c r="E31" s="268">
        <v>5420540</v>
      </c>
      <c r="F31" s="239">
        <v>643.26</v>
      </c>
      <c r="G31" s="232">
        <f t="shared" si="5"/>
        <v>47.472588000000002</v>
      </c>
      <c r="H31" s="239">
        <v>75.680000000000007</v>
      </c>
      <c r="I31" s="235">
        <f t="shared" si="6"/>
        <v>520.10741200000007</v>
      </c>
      <c r="J31" s="257" t="s">
        <v>16</v>
      </c>
      <c r="K31" s="239" t="s">
        <v>321</v>
      </c>
      <c r="L31" s="235">
        <f t="shared" si="4"/>
        <v>78.016111800000004</v>
      </c>
      <c r="M31" s="235">
        <f t="shared" si="0"/>
        <v>20.804296480000001</v>
      </c>
      <c r="N31" s="236">
        <f t="shared" si="1"/>
        <v>10.402148240000001</v>
      </c>
      <c r="O31" s="236">
        <f t="shared" si="2"/>
        <v>10.402148240000001</v>
      </c>
      <c r="P31" s="232">
        <f t="shared" si="3"/>
        <v>36.407518839999994</v>
      </c>
    </row>
    <row r="32" spans="1:16">
      <c r="A32" s="27">
        <v>30</v>
      </c>
      <c r="B32" s="227" t="s">
        <v>338</v>
      </c>
      <c r="C32" s="240" t="s">
        <v>29</v>
      </c>
      <c r="D32" s="254">
        <v>2526756</v>
      </c>
      <c r="E32" s="280">
        <v>5412115</v>
      </c>
      <c r="F32" s="239">
        <v>622.72</v>
      </c>
      <c r="G32" s="232">
        <f t="shared" si="5"/>
        <v>45.956736000000006</v>
      </c>
      <c r="H32" s="239">
        <v>0</v>
      </c>
      <c r="I32" s="235">
        <f t="shared" si="6"/>
        <v>576.76326400000005</v>
      </c>
      <c r="J32" s="257" t="s">
        <v>13</v>
      </c>
      <c r="K32" s="239" t="s">
        <v>266</v>
      </c>
      <c r="L32" s="235">
        <f t="shared" si="4"/>
        <v>86.514489600000005</v>
      </c>
      <c r="M32" s="235">
        <f t="shared" si="0"/>
        <v>23.070530560000002</v>
      </c>
      <c r="N32" s="236">
        <f t="shared" si="1"/>
        <v>11.535265280000001</v>
      </c>
      <c r="O32" s="236">
        <f t="shared" si="2"/>
        <v>11.535265280000001</v>
      </c>
      <c r="P32" s="232">
        <f t="shared" si="3"/>
        <v>40.373428480000001</v>
      </c>
    </row>
    <row r="33" spans="1:16">
      <c r="A33" s="27">
        <v>31</v>
      </c>
      <c r="B33" s="227" t="s">
        <v>339</v>
      </c>
      <c r="C33" s="240" t="s">
        <v>340</v>
      </c>
      <c r="D33" s="254">
        <v>1003110246749</v>
      </c>
      <c r="E33" s="280">
        <v>5421897</v>
      </c>
      <c r="F33" s="239">
        <v>1636.89</v>
      </c>
      <c r="G33" s="232">
        <f t="shared" si="5"/>
        <v>120.80248200000001</v>
      </c>
      <c r="H33" s="239">
        <v>0</v>
      </c>
      <c r="I33" s="235">
        <f t="shared" si="6"/>
        <v>1516.087518</v>
      </c>
      <c r="J33" s="257" t="s">
        <v>13</v>
      </c>
      <c r="K33" s="239" t="s">
        <v>17</v>
      </c>
      <c r="L33" s="235">
        <f t="shared" si="4"/>
        <v>227.41312769999999</v>
      </c>
      <c r="M33" s="235">
        <f t="shared" si="0"/>
        <v>60.643500720000006</v>
      </c>
      <c r="N33" s="236">
        <f t="shared" si="1"/>
        <v>30.321750360000003</v>
      </c>
      <c r="O33" s="236">
        <f t="shared" si="2"/>
        <v>30.321750360000003</v>
      </c>
      <c r="P33" s="232">
        <f t="shared" si="3"/>
        <v>106.12612625999998</v>
      </c>
    </row>
    <row r="34" spans="1:16">
      <c r="A34" s="27">
        <v>32</v>
      </c>
      <c r="B34" s="227" t="s">
        <v>341</v>
      </c>
      <c r="C34" s="240" t="s">
        <v>300</v>
      </c>
      <c r="D34" s="254">
        <v>103110243232</v>
      </c>
      <c r="E34" s="280">
        <v>5414781</v>
      </c>
      <c r="F34" s="239">
        <v>516.57000000000005</v>
      </c>
      <c r="G34" s="232">
        <f t="shared" si="5"/>
        <v>38.122866000000009</v>
      </c>
      <c r="H34" s="239">
        <v>0</v>
      </c>
      <c r="I34" s="235">
        <f t="shared" si="6"/>
        <v>478.44713400000006</v>
      </c>
      <c r="J34" s="257" t="s">
        <v>13</v>
      </c>
      <c r="K34" s="239" t="s">
        <v>51</v>
      </c>
      <c r="L34" s="235">
        <f t="shared" si="4"/>
        <v>71.767070100000012</v>
      </c>
      <c r="M34" s="235">
        <f t="shared" si="0"/>
        <v>19.137885360000002</v>
      </c>
      <c r="N34" s="236">
        <f t="shared" si="1"/>
        <v>9.568942680000001</v>
      </c>
      <c r="O34" s="236">
        <f t="shared" si="2"/>
        <v>9.568942680000001</v>
      </c>
      <c r="P34" s="232">
        <f t="shared" si="3"/>
        <v>33.491299380000015</v>
      </c>
    </row>
    <row r="35" spans="1:16">
      <c r="A35" s="27">
        <v>33</v>
      </c>
      <c r="B35" s="227" t="s">
        <v>342</v>
      </c>
      <c r="C35" s="240" t="s">
        <v>300</v>
      </c>
      <c r="D35" s="280">
        <v>51772025423104</v>
      </c>
      <c r="E35" s="280" t="s">
        <v>343</v>
      </c>
      <c r="F35" s="239">
        <v>327.08999999999997</v>
      </c>
      <c r="G35" s="232">
        <f t="shared" si="5"/>
        <v>24.139241999999999</v>
      </c>
      <c r="H35" s="239">
        <v>0</v>
      </c>
      <c r="I35" s="235">
        <f t="shared" si="6"/>
        <v>302.95075799999995</v>
      </c>
      <c r="J35" s="257" t="s">
        <v>13</v>
      </c>
      <c r="K35" s="239" t="s">
        <v>17</v>
      </c>
      <c r="L35" s="235">
        <f t="shared" si="4"/>
        <v>45.442613699999988</v>
      </c>
      <c r="M35" s="235">
        <f t="shared" si="0"/>
        <v>12.118030319999999</v>
      </c>
      <c r="N35" s="236">
        <f t="shared" si="1"/>
        <v>6.0590151599999995</v>
      </c>
      <c r="O35" s="236">
        <f t="shared" si="2"/>
        <v>6.0590151599999995</v>
      </c>
      <c r="P35" s="232">
        <f t="shared" si="3"/>
        <v>21.20655305999999</v>
      </c>
    </row>
    <row r="36" spans="1:16">
      <c r="A36" s="27">
        <v>34</v>
      </c>
      <c r="B36" s="227" t="s">
        <v>344</v>
      </c>
      <c r="C36" s="240" t="s">
        <v>300</v>
      </c>
      <c r="D36" s="254">
        <v>1003110244387</v>
      </c>
      <c r="E36" s="280" t="s">
        <v>345</v>
      </c>
      <c r="F36" s="239">
        <v>471.88</v>
      </c>
      <c r="G36" s="232">
        <f t="shared" si="5"/>
        <v>34.824744000000003</v>
      </c>
      <c r="H36" s="239">
        <v>157.30000000000001</v>
      </c>
      <c r="I36" s="235">
        <f t="shared" si="6"/>
        <v>279.75525599999997</v>
      </c>
      <c r="J36" s="257" t="s">
        <v>13</v>
      </c>
      <c r="K36" s="239" t="s">
        <v>17</v>
      </c>
      <c r="L36" s="235">
        <f t="shared" si="4"/>
        <v>41.963288399999996</v>
      </c>
      <c r="M36" s="235">
        <f t="shared" si="0"/>
        <v>11.190210239999999</v>
      </c>
      <c r="N36" s="236">
        <f t="shared" si="1"/>
        <v>5.5951051199999995</v>
      </c>
      <c r="O36" s="236">
        <f t="shared" si="2"/>
        <v>5.5951051199999995</v>
      </c>
      <c r="P36" s="232">
        <f t="shared" si="3"/>
        <v>19.582867919999998</v>
      </c>
    </row>
    <row r="37" spans="1:16">
      <c r="A37" s="27">
        <v>35</v>
      </c>
      <c r="B37" s="227" t="s">
        <v>346</v>
      </c>
      <c r="C37" s="240" t="s">
        <v>234</v>
      </c>
      <c r="D37" s="254">
        <v>103110244721</v>
      </c>
      <c r="E37" s="280" t="s">
        <v>347</v>
      </c>
      <c r="F37" s="239">
        <v>863.52</v>
      </c>
      <c r="G37" s="232">
        <f t="shared" si="5"/>
        <v>63.727776000000006</v>
      </c>
      <c r="H37" s="239">
        <v>215.88</v>
      </c>
      <c r="I37" s="235">
        <f t="shared" si="6"/>
        <v>583.91222400000004</v>
      </c>
      <c r="J37" s="257" t="s">
        <v>13</v>
      </c>
      <c r="K37" s="239" t="s">
        <v>17</v>
      </c>
      <c r="L37" s="235">
        <f t="shared" si="4"/>
        <v>87.586833600000006</v>
      </c>
      <c r="M37" s="235">
        <f t="shared" si="0"/>
        <v>23.356488960000004</v>
      </c>
      <c r="N37" s="236">
        <f t="shared" si="1"/>
        <v>11.678244480000002</v>
      </c>
      <c r="O37" s="236">
        <f t="shared" si="2"/>
        <v>11.678244480000002</v>
      </c>
      <c r="P37" s="232">
        <f t="shared" si="3"/>
        <v>40.873855679999991</v>
      </c>
    </row>
    <row r="38" spans="1:16">
      <c r="A38" s="27">
        <v>36</v>
      </c>
      <c r="B38" s="227" t="s">
        <v>348</v>
      </c>
      <c r="C38" s="240" t="s">
        <v>12</v>
      </c>
      <c r="D38" s="254">
        <v>1003110252773</v>
      </c>
      <c r="E38" s="280">
        <v>5422802</v>
      </c>
      <c r="F38" s="239">
        <v>525.66999999999996</v>
      </c>
      <c r="G38" s="232">
        <f t="shared" si="5"/>
        <v>38.794446000000001</v>
      </c>
      <c r="H38" s="239">
        <v>648.29999999999995</v>
      </c>
      <c r="I38" s="235">
        <v>161.41999999999999</v>
      </c>
      <c r="J38" s="257" t="s">
        <v>13</v>
      </c>
      <c r="K38" s="239" t="s">
        <v>256</v>
      </c>
      <c r="L38" s="235">
        <v>24.21</v>
      </c>
      <c r="M38" s="235">
        <v>6.46</v>
      </c>
      <c r="N38" s="236">
        <v>3.23</v>
      </c>
      <c r="O38" s="236">
        <v>3.23</v>
      </c>
      <c r="P38" s="232">
        <f t="shared" si="3"/>
        <v>11.29</v>
      </c>
    </row>
    <row r="39" spans="1:16">
      <c r="A39" s="27">
        <v>37</v>
      </c>
      <c r="B39" s="227" t="s">
        <v>349</v>
      </c>
      <c r="C39" s="240" t="s">
        <v>12</v>
      </c>
      <c r="D39" s="254">
        <v>1003110252204</v>
      </c>
      <c r="E39" s="280">
        <v>5425618</v>
      </c>
      <c r="F39" s="239">
        <v>557.59</v>
      </c>
      <c r="G39" s="232">
        <f t="shared" si="5"/>
        <v>41.150142000000002</v>
      </c>
      <c r="H39" s="239">
        <v>59.91</v>
      </c>
      <c r="I39" s="235">
        <f t="shared" si="6"/>
        <v>456.5298580000001</v>
      </c>
      <c r="J39" s="257" t="s">
        <v>13</v>
      </c>
      <c r="K39" s="239" t="s">
        <v>211</v>
      </c>
      <c r="L39" s="235">
        <f t="shared" si="4"/>
        <v>68.479478700000016</v>
      </c>
      <c r="M39" s="235">
        <f t="shared" si="0"/>
        <v>18.261194320000005</v>
      </c>
      <c r="N39" s="236">
        <f t="shared" si="1"/>
        <v>9.1305971600000024</v>
      </c>
      <c r="O39" s="236">
        <f t="shared" si="2"/>
        <v>9.1305971600000024</v>
      </c>
      <c r="P39" s="232">
        <f t="shared" si="3"/>
        <v>31.957090060000013</v>
      </c>
    </row>
    <row r="40" spans="1:16">
      <c r="A40" s="27">
        <v>38</v>
      </c>
      <c r="B40" s="339" t="s">
        <v>350</v>
      </c>
      <c r="C40" s="327" t="s">
        <v>29</v>
      </c>
      <c r="D40" s="400">
        <v>1003110248204</v>
      </c>
      <c r="E40" s="401">
        <v>5423738</v>
      </c>
      <c r="F40" s="294">
        <v>646.96</v>
      </c>
      <c r="G40" s="294">
        <f t="shared" si="5"/>
        <v>47.745648000000003</v>
      </c>
      <c r="H40" s="294">
        <v>69.52</v>
      </c>
      <c r="I40" s="293">
        <f t="shared" si="6"/>
        <v>529.69435200000009</v>
      </c>
      <c r="J40" s="329" t="s">
        <v>13</v>
      </c>
      <c r="K40" s="294" t="s">
        <v>17</v>
      </c>
      <c r="L40" s="293">
        <f t="shared" si="4"/>
        <v>79.454152800000017</v>
      </c>
      <c r="M40" s="293">
        <f t="shared" si="0"/>
        <v>21.187774080000004</v>
      </c>
      <c r="N40" s="296">
        <f t="shared" si="1"/>
        <v>10.593887040000002</v>
      </c>
      <c r="O40" s="296">
        <f t="shared" si="2"/>
        <v>10.593887040000002</v>
      </c>
      <c r="P40" s="294">
        <f t="shared" si="3"/>
        <v>37.078604640000009</v>
      </c>
    </row>
    <row r="41" spans="1:16">
      <c r="A41" s="27">
        <v>39</v>
      </c>
      <c r="B41" s="227" t="s">
        <v>351</v>
      </c>
      <c r="C41" s="240" t="s">
        <v>300</v>
      </c>
      <c r="D41" s="254">
        <v>1003110255653</v>
      </c>
      <c r="E41" s="280">
        <v>5428282</v>
      </c>
      <c r="F41" s="239">
        <v>558.05999999999995</v>
      </c>
      <c r="G41" s="232">
        <f t="shared" si="5"/>
        <v>41.184827999999996</v>
      </c>
      <c r="H41" s="239">
        <v>68.83</v>
      </c>
      <c r="I41" s="235">
        <f t="shared" si="6"/>
        <v>448.04517199999992</v>
      </c>
      <c r="J41" s="257" t="s">
        <v>13</v>
      </c>
      <c r="K41" s="239" t="s">
        <v>321</v>
      </c>
      <c r="L41" s="235">
        <f t="shared" si="4"/>
        <v>67.206775799999988</v>
      </c>
      <c r="M41" s="235">
        <f t="shared" si="0"/>
        <v>17.921806879999998</v>
      </c>
      <c r="N41" s="236">
        <f t="shared" si="1"/>
        <v>8.9609034399999992</v>
      </c>
      <c r="O41" s="236">
        <f t="shared" si="2"/>
        <v>8.9609034399999992</v>
      </c>
      <c r="P41" s="232">
        <f t="shared" si="3"/>
        <v>31.363162039999988</v>
      </c>
    </row>
    <row r="42" spans="1:16">
      <c r="A42" s="27">
        <v>40</v>
      </c>
      <c r="B42" s="227" t="s">
        <v>352</v>
      </c>
      <c r="C42" s="240" t="s">
        <v>29</v>
      </c>
      <c r="D42" s="254">
        <v>2024571277</v>
      </c>
      <c r="E42" s="280">
        <v>5418264</v>
      </c>
      <c r="F42" s="239">
        <v>594.22</v>
      </c>
      <c r="G42" s="232">
        <f t="shared" si="5"/>
        <v>43.853436000000002</v>
      </c>
      <c r="H42" s="239">
        <v>59.42</v>
      </c>
      <c r="I42" s="235">
        <f t="shared" si="6"/>
        <v>490.94656400000002</v>
      </c>
      <c r="J42" s="257" t="s">
        <v>16</v>
      </c>
      <c r="K42" s="239" t="s">
        <v>353</v>
      </c>
      <c r="L42" s="235">
        <f t="shared" si="4"/>
        <v>73.641984600000001</v>
      </c>
      <c r="M42" s="235">
        <f t="shared" si="0"/>
        <v>19.637862560000002</v>
      </c>
      <c r="N42" s="236">
        <f t="shared" si="1"/>
        <v>9.818931280000001</v>
      </c>
      <c r="O42" s="236">
        <f t="shared" si="2"/>
        <v>9.818931280000001</v>
      </c>
      <c r="P42" s="232">
        <f t="shared" si="3"/>
        <v>34.366259479999997</v>
      </c>
    </row>
    <row r="43" spans="1:16">
      <c r="A43" s="27">
        <v>41</v>
      </c>
      <c r="B43" s="227" t="s">
        <v>354</v>
      </c>
      <c r="C43" s="240" t="s">
        <v>300</v>
      </c>
      <c r="D43" s="254">
        <v>2530427</v>
      </c>
      <c r="E43" s="280">
        <v>5426407</v>
      </c>
      <c r="F43" s="239">
        <v>459.7</v>
      </c>
      <c r="G43" s="232">
        <f t="shared" si="5"/>
        <v>33.92586</v>
      </c>
      <c r="H43" s="239">
        <v>45.97</v>
      </c>
      <c r="I43" s="235">
        <f t="shared" si="6"/>
        <v>379.80413999999996</v>
      </c>
      <c r="J43" s="257" t="s">
        <v>16</v>
      </c>
      <c r="K43" s="239" t="s">
        <v>17</v>
      </c>
      <c r="L43" s="235">
        <f t="shared" si="4"/>
        <v>56.970620999999994</v>
      </c>
      <c r="M43" s="235">
        <f t="shared" si="0"/>
        <v>15.192165599999999</v>
      </c>
      <c r="N43" s="236">
        <f t="shared" si="1"/>
        <v>7.5960827999999996</v>
      </c>
      <c r="O43" s="236">
        <f t="shared" si="2"/>
        <v>7.5960827999999996</v>
      </c>
      <c r="P43" s="232">
        <f t="shared" si="3"/>
        <v>26.586289800000003</v>
      </c>
    </row>
    <row r="44" spans="1:16">
      <c r="A44" s="27">
        <v>42</v>
      </c>
      <c r="B44" s="227" t="s">
        <v>355</v>
      </c>
      <c r="C44" s="240" t="s">
        <v>300</v>
      </c>
      <c r="D44" s="254">
        <v>1003110254025</v>
      </c>
      <c r="E44" s="280">
        <v>5427605</v>
      </c>
      <c r="F44" s="239">
        <v>506.53</v>
      </c>
      <c r="G44" s="232">
        <f t="shared" si="5"/>
        <v>37.381914000000002</v>
      </c>
      <c r="H44" s="239">
        <v>168.85</v>
      </c>
      <c r="I44" s="235">
        <f t="shared" si="6"/>
        <v>300.29808600000001</v>
      </c>
      <c r="J44" s="257" t="s">
        <v>13</v>
      </c>
      <c r="K44" s="239" t="s">
        <v>182</v>
      </c>
      <c r="L44" s="235">
        <f t="shared" si="4"/>
        <v>45.0447129</v>
      </c>
      <c r="M44" s="235">
        <f t="shared" si="0"/>
        <v>12.01192344</v>
      </c>
      <c r="N44" s="236">
        <f t="shared" si="1"/>
        <v>6.0059617200000002</v>
      </c>
      <c r="O44" s="236">
        <f t="shared" si="2"/>
        <v>6.0059617200000002</v>
      </c>
      <c r="P44" s="232">
        <f t="shared" si="3"/>
        <v>21.02086602</v>
      </c>
    </row>
    <row r="45" spans="1:16">
      <c r="A45" s="27">
        <v>43</v>
      </c>
      <c r="B45" s="227" t="s">
        <v>356</v>
      </c>
      <c r="C45" s="240" t="s">
        <v>300</v>
      </c>
      <c r="D45" s="280">
        <v>51772025423105</v>
      </c>
      <c r="E45" s="280">
        <v>5414285</v>
      </c>
      <c r="F45" s="239">
        <v>482.1</v>
      </c>
      <c r="G45" s="232">
        <f t="shared" si="5"/>
        <v>35.578980000000001</v>
      </c>
      <c r="H45" s="239">
        <v>48.21</v>
      </c>
      <c r="I45" s="235">
        <f t="shared" si="6"/>
        <v>398.31102000000004</v>
      </c>
      <c r="J45" s="257" t="s">
        <v>16</v>
      </c>
      <c r="K45" s="239" t="s">
        <v>211</v>
      </c>
      <c r="L45" s="235">
        <f t="shared" si="4"/>
        <v>59.746653000000002</v>
      </c>
      <c r="M45" s="235">
        <f t="shared" si="0"/>
        <v>15.932440800000002</v>
      </c>
      <c r="N45" s="236">
        <f t="shared" si="1"/>
        <v>7.966220400000001</v>
      </c>
      <c r="O45" s="236">
        <f t="shared" si="2"/>
        <v>7.966220400000001</v>
      </c>
      <c r="P45" s="232">
        <f t="shared" si="3"/>
        <v>27.881771400000002</v>
      </c>
    </row>
    <row r="46" spans="1:16">
      <c r="A46" s="27">
        <v>44</v>
      </c>
      <c r="B46" s="227" t="s">
        <v>357</v>
      </c>
      <c r="C46" s="240" t="s">
        <v>300</v>
      </c>
      <c r="D46" s="281">
        <v>1003110255545</v>
      </c>
      <c r="E46" s="280" t="s">
        <v>358</v>
      </c>
      <c r="F46" s="239">
        <v>455.86</v>
      </c>
      <c r="G46" s="232">
        <f t="shared" si="5"/>
        <v>33.642468000000001</v>
      </c>
      <c r="H46" s="239">
        <v>48.98</v>
      </c>
      <c r="I46" s="235">
        <f t="shared" si="6"/>
        <v>373.23753199999999</v>
      </c>
      <c r="J46" s="257" t="s">
        <v>13</v>
      </c>
      <c r="K46" s="239" t="s">
        <v>17</v>
      </c>
      <c r="L46" s="235">
        <f t="shared" si="4"/>
        <v>55.985629799999998</v>
      </c>
      <c r="M46" s="235">
        <f t="shared" si="0"/>
        <v>14.92950128</v>
      </c>
      <c r="N46" s="236">
        <f t="shared" si="1"/>
        <v>7.4647506400000001</v>
      </c>
      <c r="O46" s="236">
        <f t="shared" si="2"/>
        <v>7.4647506400000001</v>
      </c>
      <c r="P46" s="232">
        <f t="shared" si="3"/>
        <v>26.126627240000005</v>
      </c>
    </row>
    <row r="47" spans="1:16">
      <c r="A47" s="27">
        <v>45</v>
      </c>
      <c r="B47" s="339" t="s">
        <v>359</v>
      </c>
      <c r="C47" s="327" t="s">
        <v>300</v>
      </c>
      <c r="D47" s="400">
        <v>1003110256158</v>
      </c>
      <c r="E47" s="401">
        <v>5428454</v>
      </c>
      <c r="F47" s="294">
        <v>534.62</v>
      </c>
      <c r="G47" s="294">
        <f t="shared" si="5"/>
        <v>39.454956000000003</v>
      </c>
      <c r="H47" s="294">
        <v>57.45</v>
      </c>
      <c r="I47" s="293">
        <f t="shared" si="6"/>
        <v>437.71504400000003</v>
      </c>
      <c r="J47" s="329" t="s">
        <v>13</v>
      </c>
      <c r="K47" s="294" t="s">
        <v>17</v>
      </c>
      <c r="L47" s="293">
        <f t="shared" si="4"/>
        <v>65.657256599999997</v>
      </c>
      <c r="M47" s="293">
        <f t="shared" si="0"/>
        <v>17.508601760000001</v>
      </c>
      <c r="N47" s="296">
        <f t="shared" si="1"/>
        <v>8.7543008800000006</v>
      </c>
      <c r="O47" s="296">
        <f t="shared" si="2"/>
        <v>8.7543008800000006</v>
      </c>
      <c r="P47" s="294">
        <f t="shared" si="3"/>
        <v>30.640053079999987</v>
      </c>
    </row>
    <row r="48" spans="1:16">
      <c r="A48" s="27">
        <v>46</v>
      </c>
      <c r="B48" s="339" t="s">
        <v>360</v>
      </c>
      <c r="C48" s="327" t="s">
        <v>173</v>
      </c>
      <c r="D48" s="400">
        <v>1003110257394</v>
      </c>
      <c r="E48" s="401">
        <v>5425355</v>
      </c>
      <c r="F48" s="294">
        <v>662.42</v>
      </c>
      <c r="G48" s="294">
        <f t="shared" si="5"/>
        <v>48.886595999999997</v>
      </c>
      <c r="H48" s="294">
        <v>81.7</v>
      </c>
      <c r="I48" s="293">
        <f t="shared" si="6"/>
        <v>531.83340399999997</v>
      </c>
      <c r="J48" s="329" t="s">
        <v>13</v>
      </c>
      <c r="K48" s="294" t="s">
        <v>51</v>
      </c>
      <c r="L48" s="293">
        <f t="shared" si="4"/>
        <v>79.775010599999987</v>
      </c>
      <c r="M48" s="293">
        <f t="shared" si="0"/>
        <v>21.273336159999999</v>
      </c>
      <c r="N48" s="296">
        <f t="shared" si="1"/>
        <v>10.63666808</v>
      </c>
      <c r="O48" s="296">
        <f t="shared" si="2"/>
        <v>10.63666808</v>
      </c>
      <c r="P48" s="294">
        <f t="shared" si="3"/>
        <v>37.228338279999988</v>
      </c>
    </row>
    <row r="49" spans="1:16">
      <c r="A49" s="27">
        <v>47</v>
      </c>
      <c r="B49" s="227" t="s">
        <v>361</v>
      </c>
      <c r="C49" s="240" t="s">
        <v>234</v>
      </c>
      <c r="D49" s="254">
        <v>1003110262400</v>
      </c>
      <c r="E49" s="280">
        <v>5431519</v>
      </c>
      <c r="F49" s="239">
        <v>542.86</v>
      </c>
      <c r="G49" s="232">
        <f t="shared" si="5"/>
        <v>40.063068000000001</v>
      </c>
      <c r="H49" s="239">
        <v>180.95</v>
      </c>
      <c r="I49" s="235">
        <f t="shared" si="6"/>
        <v>321.84693200000004</v>
      </c>
      <c r="J49" s="257" t="s">
        <v>13</v>
      </c>
      <c r="K49" s="239" t="s">
        <v>362</v>
      </c>
      <c r="L49" s="235">
        <f t="shared" si="4"/>
        <v>48.277039800000004</v>
      </c>
      <c r="M49" s="235">
        <f t="shared" si="0"/>
        <v>12.873877280000002</v>
      </c>
      <c r="N49" s="236">
        <f t="shared" si="1"/>
        <v>6.436938640000001</v>
      </c>
      <c r="O49" s="236">
        <f t="shared" si="2"/>
        <v>6.436938640000001</v>
      </c>
      <c r="P49" s="232">
        <f t="shared" si="3"/>
        <v>22.52928524</v>
      </c>
    </row>
    <row r="50" spans="1:16">
      <c r="A50" s="27">
        <v>48</v>
      </c>
      <c r="B50" s="227" t="s">
        <v>363</v>
      </c>
      <c r="C50" s="240" t="s">
        <v>173</v>
      </c>
      <c r="D50" s="254">
        <v>1003110261635</v>
      </c>
      <c r="E50" s="280">
        <v>5431195</v>
      </c>
      <c r="F50" s="239">
        <v>601.53</v>
      </c>
      <c r="G50" s="232">
        <f t="shared" si="5"/>
        <v>44.392913999999998</v>
      </c>
      <c r="H50" s="239">
        <v>200.51</v>
      </c>
      <c r="I50" s="235">
        <f t="shared" si="6"/>
        <v>356.62708599999996</v>
      </c>
      <c r="J50" s="257" t="s">
        <v>13</v>
      </c>
      <c r="K50" s="239" t="s">
        <v>266</v>
      </c>
      <c r="L50" s="235">
        <f t="shared" si="4"/>
        <v>53.494062899999996</v>
      </c>
      <c r="M50" s="235">
        <f t="shared" si="0"/>
        <v>14.265083439999998</v>
      </c>
      <c r="N50" s="236">
        <f t="shared" si="1"/>
        <v>7.132541719999999</v>
      </c>
      <c r="O50" s="236">
        <f t="shared" si="2"/>
        <v>7.132541719999999</v>
      </c>
      <c r="P50" s="232">
        <f t="shared" si="3"/>
        <v>24.96389602</v>
      </c>
    </row>
    <row r="51" spans="1:16">
      <c r="A51" s="27">
        <v>49</v>
      </c>
      <c r="B51" s="227" t="s">
        <v>364</v>
      </c>
      <c r="C51" s="240" t="s">
        <v>300</v>
      </c>
      <c r="D51" s="254">
        <v>1003110259859</v>
      </c>
      <c r="E51" s="280">
        <v>5430395</v>
      </c>
      <c r="F51" s="239">
        <v>532.27</v>
      </c>
      <c r="G51" s="232">
        <f t="shared" si="5"/>
        <v>39.281525999999999</v>
      </c>
      <c r="H51" s="239">
        <v>65.650000000000006</v>
      </c>
      <c r="I51" s="235">
        <f t="shared" si="6"/>
        <v>427.33847400000002</v>
      </c>
      <c r="J51" s="257" t="s">
        <v>13</v>
      </c>
      <c r="K51" s="239" t="s">
        <v>174</v>
      </c>
      <c r="L51" s="235">
        <f t="shared" si="4"/>
        <v>64.100771100000003</v>
      </c>
      <c r="M51" s="235">
        <f t="shared" si="0"/>
        <v>17.09353896</v>
      </c>
      <c r="N51" s="236">
        <f t="shared" si="1"/>
        <v>8.54676948</v>
      </c>
      <c r="O51" s="236">
        <f t="shared" si="2"/>
        <v>8.54676948</v>
      </c>
      <c r="P51" s="232">
        <f t="shared" si="3"/>
        <v>29.913693179999996</v>
      </c>
    </row>
    <row r="52" spans="1:16">
      <c r="A52" s="27">
        <v>50</v>
      </c>
      <c r="B52" s="227" t="s">
        <v>365</v>
      </c>
      <c r="C52" s="240" t="s">
        <v>300</v>
      </c>
      <c r="D52" s="254">
        <v>100311059973</v>
      </c>
      <c r="E52" s="280">
        <v>5428971</v>
      </c>
      <c r="F52" s="239">
        <v>535.54999999999995</v>
      </c>
      <c r="G52" s="232">
        <f t="shared" si="5"/>
        <v>39.523589999999999</v>
      </c>
      <c r="H52" s="239">
        <v>57.55</v>
      </c>
      <c r="I52" s="235">
        <f t="shared" si="6"/>
        <v>438.47640999999993</v>
      </c>
      <c r="J52" s="257" t="s">
        <v>13</v>
      </c>
      <c r="K52" s="239" t="s">
        <v>235</v>
      </c>
      <c r="L52" s="235">
        <f t="shared" si="4"/>
        <v>65.771461499999987</v>
      </c>
      <c r="M52" s="235">
        <f t="shared" si="0"/>
        <v>17.539056399999996</v>
      </c>
      <c r="N52" s="236">
        <f t="shared" si="1"/>
        <v>8.7695281999999981</v>
      </c>
      <c r="O52" s="236">
        <f t="shared" si="2"/>
        <v>8.7695281999999981</v>
      </c>
      <c r="P52" s="232">
        <f t="shared" si="3"/>
        <v>30.693348700000001</v>
      </c>
    </row>
    <row r="53" spans="1:16">
      <c r="A53" s="27">
        <v>51</v>
      </c>
      <c r="B53" s="227" t="s">
        <v>366</v>
      </c>
      <c r="C53" s="240" t="s">
        <v>300</v>
      </c>
      <c r="D53" s="254">
        <v>1003112058458</v>
      </c>
      <c r="E53" s="280">
        <v>5428725</v>
      </c>
      <c r="F53" s="239">
        <v>519.38</v>
      </c>
      <c r="G53" s="232">
        <f t="shared" si="5"/>
        <v>38.330244</v>
      </c>
      <c r="H53" s="239">
        <v>0</v>
      </c>
      <c r="I53" s="235">
        <f t="shared" si="6"/>
        <v>481.049756</v>
      </c>
      <c r="J53" s="257" t="s">
        <v>13</v>
      </c>
      <c r="K53" s="239" t="s">
        <v>211</v>
      </c>
      <c r="L53" s="235">
        <f t="shared" si="4"/>
        <v>72.157463399999997</v>
      </c>
      <c r="M53" s="235">
        <f t="shared" si="0"/>
        <v>19.24199024</v>
      </c>
      <c r="N53" s="236">
        <f t="shared" si="1"/>
        <v>9.6209951199999999</v>
      </c>
      <c r="O53" s="236">
        <f t="shared" si="2"/>
        <v>9.6209951199999999</v>
      </c>
      <c r="P53" s="232">
        <f t="shared" si="3"/>
        <v>33.673482919999998</v>
      </c>
    </row>
    <row r="54" spans="1:16">
      <c r="A54" s="27">
        <v>52</v>
      </c>
      <c r="B54" s="227" t="s">
        <v>367</v>
      </c>
      <c r="C54" s="240" t="s">
        <v>368</v>
      </c>
      <c r="D54" s="254">
        <v>100311025889</v>
      </c>
      <c r="E54" s="280">
        <v>5428666</v>
      </c>
      <c r="F54" s="239">
        <v>655.26</v>
      </c>
      <c r="G54" s="232">
        <f t="shared" si="5"/>
        <v>48.358188000000006</v>
      </c>
      <c r="H54" s="239">
        <v>70.41</v>
      </c>
      <c r="I54" s="235">
        <f t="shared" si="6"/>
        <v>536.49181199999998</v>
      </c>
      <c r="J54" s="257" t="s">
        <v>13</v>
      </c>
      <c r="K54" s="239" t="s">
        <v>211</v>
      </c>
      <c r="L54" s="235">
        <f t="shared" si="4"/>
        <v>80.473771799999994</v>
      </c>
      <c r="M54" s="235">
        <f t="shared" si="0"/>
        <v>21.459672479999998</v>
      </c>
      <c r="N54" s="236">
        <f t="shared" si="1"/>
        <v>10.729836239999999</v>
      </c>
      <c r="O54" s="236">
        <f t="shared" si="2"/>
        <v>10.729836239999999</v>
      </c>
      <c r="P54" s="232">
        <f t="shared" si="3"/>
        <v>37.554426840000005</v>
      </c>
    </row>
    <row r="55" spans="1:16">
      <c r="A55" s="27">
        <v>53</v>
      </c>
      <c r="B55" s="227" t="s">
        <v>369</v>
      </c>
      <c r="C55" s="240" t="s">
        <v>370</v>
      </c>
      <c r="D55" s="282">
        <v>51772025423105</v>
      </c>
      <c r="E55" s="280">
        <v>5427499</v>
      </c>
      <c r="F55" s="239">
        <v>1602.38</v>
      </c>
      <c r="G55" s="232">
        <f t="shared" si="5"/>
        <v>118.25564400000002</v>
      </c>
      <c r="H55" s="239">
        <v>197.63</v>
      </c>
      <c r="I55" s="235">
        <f t="shared" si="6"/>
        <v>1286.4943560000002</v>
      </c>
      <c r="J55" s="257" t="s">
        <v>13</v>
      </c>
      <c r="K55" s="239" t="s">
        <v>14</v>
      </c>
      <c r="L55" s="235">
        <f t="shared" si="4"/>
        <v>192.97415340000001</v>
      </c>
      <c r="M55" s="235">
        <f t="shared" si="0"/>
        <v>51.459774240000009</v>
      </c>
      <c r="N55" s="236">
        <f t="shared" si="1"/>
        <v>25.729887120000004</v>
      </c>
      <c r="O55" s="236">
        <f t="shared" si="2"/>
        <v>25.729887120000004</v>
      </c>
      <c r="P55" s="232">
        <f t="shared" si="3"/>
        <v>90.054604920000003</v>
      </c>
    </row>
    <row r="56" spans="1:16">
      <c r="A56" s="27">
        <v>54</v>
      </c>
      <c r="B56" s="227" t="s">
        <v>371</v>
      </c>
      <c r="C56" s="240" t="s">
        <v>173</v>
      </c>
      <c r="D56" s="254">
        <v>51772025423105</v>
      </c>
      <c r="E56" s="280">
        <v>5432371</v>
      </c>
      <c r="F56" s="239">
        <v>1184.44</v>
      </c>
      <c r="G56" s="232">
        <f t="shared" si="5"/>
        <v>87.41167200000001</v>
      </c>
      <c r="H56" s="239">
        <v>296.11</v>
      </c>
      <c r="I56" s="235">
        <f t="shared" si="6"/>
        <v>800.91832800000009</v>
      </c>
      <c r="J56" s="257" t="s">
        <v>13</v>
      </c>
      <c r="K56" s="239" t="s">
        <v>164</v>
      </c>
      <c r="L56" s="235">
        <f t="shared" si="4"/>
        <v>120.1377492</v>
      </c>
      <c r="M56" s="235">
        <f t="shared" si="0"/>
        <v>32.036733120000001</v>
      </c>
      <c r="N56" s="236">
        <f t="shared" si="1"/>
        <v>16.01836656</v>
      </c>
      <c r="O56" s="236">
        <f t="shared" si="2"/>
        <v>16.01836656</v>
      </c>
      <c r="P56" s="232">
        <f t="shared" si="3"/>
        <v>56.064282959999986</v>
      </c>
    </row>
    <row r="57" spans="1:16">
      <c r="A57" s="27">
        <v>55</v>
      </c>
      <c r="B57" s="227" t="s">
        <v>372</v>
      </c>
      <c r="C57" s="240" t="s">
        <v>52</v>
      </c>
      <c r="D57" s="254">
        <v>35033620</v>
      </c>
      <c r="E57" s="280">
        <v>5433198</v>
      </c>
      <c r="F57" s="239">
        <v>697.78</v>
      </c>
      <c r="G57" s="232">
        <f t="shared" si="5"/>
        <v>51.496164</v>
      </c>
      <c r="H57" s="239">
        <v>174.41</v>
      </c>
      <c r="I57" s="235">
        <f t="shared" si="6"/>
        <v>471.87383599999998</v>
      </c>
      <c r="J57" s="257" t="s">
        <v>16</v>
      </c>
      <c r="K57" s="239" t="s">
        <v>211</v>
      </c>
      <c r="L57" s="235">
        <f t="shared" si="4"/>
        <v>70.781075399999992</v>
      </c>
      <c r="M57" s="235">
        <f t="shared" si="0"/>
        <v>18.874953439999999</v>
      </c>
      <c r="N57" s="236">
        <f t="shared" si="1"/>
        <v>9.4374767199999994</v>
      </c>
      <c r="O57" s="236">
        <f t="shared" si="2"/>
        <v>9.4374767199999994</v>
      </c>
      <c r="P57" s="232">
        <f t="shared" si="3"/>
        <v>33.031168519999994</v>
      </c>
    </row>
    <row r="58" spans="1:16">
      <c r="A58" s="27">
        <v>56</v>
      </c>
      <c r="B58" s="339" t="s">
        <v>373</v>
      </c>
      <c r="C58" s="327" t="s">
        <v>300</v>
      </c>
      <c r="D58" s="400">
        <v>1003110264779</v>
      </c>
      <c r="E58" s="401">
        <v>5432958</v>
      </c>
      <c r="F58" s="294">
        <v>517</v>
      </c>
      <c r="G58" s="294">
        <f t="shared" si="5"/>
        <v>38.154600000000002</v>
      </c>
      <c r="H58" s="294">
        <v>5561</v>
      </c>
      <c r="I58" s="293">
        <v>5082.1499999999996</v>
      </c>
      <c r="J58" s="329" t="s">
        <v>13</v>
      </c>
      <c r="K58" s="294" t="s">
        <v>216</v>
      </c>
      <c r="L58" s="293">
        <v>762.32</v>
      </c>
      <c r="M58" s="293">
        <v>203.29</v>
      </c>
      <c r="N58" s="296">
        <v>101.64</v>
      </c>
      <c r="O58" s="296">
        <v>101.64</v>
      </c>
      <c r="P58" s="294">
        <f t="shared" si="3"/>
        <v>355.75000000000011</v>
      </c>
    </row>
    <row r="59" spans="1:16">
      <c r="A59" s="27">
        <v>57</v>
      </c>
      <c r="B59" s="227" t="s">
        <v>374</v>
      </c>
      <c r="C59" s="240" t="s">
        <v>300</v>
      </c>
      <c r="D59" s="283">
        <v>1003110269960</v>
      </c>
      <c r="E59" s="280">
        <v>5436588</v>
      </c>
      <c r="F59" s="239">
        <v>513.83000000000004</v>
      </c>
      <c r="G59" s="232">
        <f t="shared" si="5"/>
        <v>37.920654000000006</v>
      </c>
      <c r="H59" s="239">
        <v>63.38</v>
      </c>
      <c r="I59" s="235">
        <f t="shared" si="6"/>
        <v>412.52934600000003</v>
      </c>
      <c r="J59" s="257" t="s">
        <v>13</v>
      </c>
      <c r="K59" s="239" t="s">
        <v>235</v>
      </c>
      <c r="L59" s="235">
        <f t="shared" si="4"/>
        <v>61.879401900000005</v>
      </c>
      <c r="M59" s="235">
        <f t="shared" si="0"/>
        <v>16.50117384</v>
      </c>
      <c r="N59" s="236">
        <f t="shared" si="1"/>
        <v>8.2505869199999999</v>
      </c>
      <c r="O59" s="236">
        <f t="shared" si="2"/>
        <v>8.2505869199999999</v>
      </c>
      <c r="P59" s="232">
        <f t="shared" si="3"/>
        <v>28.877054220000009</v>
      </c>
    </row>
    <row r="60" spans="1:16">
      <c r="A60" s="27">
        <v>58</v>
      </c>
      <c r="B60" s="227" t="s">
        <v>375</v>
      </c>
      <c r="C60" s="240" t="s">
        <v>173</v>
      </c>
      <c r="D60" s="284">
        <v>2535259</v>
      </c>
      <c r="E60" s="280" t="s">
        <v>376</v>
      </c>
      <c r="F60" s="239">
        <v>574.12</v>
      </c>
      <c r="G60" s="232">
        <f t="shared" si="5"/>
        <v>42.370056000000005</v>
      </c>
      <c r="H60" s="239">
        <v>57.41</v>
      </c>
      <c r="I60" s="235">
        <f t="shared" si="6"/>
        <v>474.33994400000006</v>
      </c>
      <c r="J60" s="257" t="s">
        <v>16</v>
      </c>
      <c r="K60" s="239" t="s">
        <v>17</v>
      </c>
      <c r="L60" s="235">
        <f t="shared" si="4"/>
        <v>71.150991600000012</v>
      </c>
      <c r="M60" s="235">
        <f t="shared" si="0"/>
        <v>18.973597760000004</v>
      </c>
      <c r="N60" s="236">
        <f t="shared" si="1"/>
        <v>9.486798880000002</v>
      </c>
      <c r="O60" s="236">
        <f t="shared" si="2"/>
        <v>9.486798880000002</v>
      </c>
      <c r="P60" s="232">
        <f t="shared" si="3"/>
        <v>33.203796080000004</v>
      </c>
    </row>
    <row r="61" spans="1:16">
      <c r="A61" s="27">
        <v>59</v>
      </c>
      <c r="B61" s="227" t="s">
        <v>377</v>
      </c>
      <c r="C61" s="240" t="s">
        <v>300</v>
      </c>
      <c r="D61" s="254">
        <v>103110267501</v>
      </c>
      <c r="E61" s="280">
        <v>5435922</v>
      </c>
      <c r="F61" s="239">
        <v>507.78</v>
      </c>
      <c r="G61" s="232">
        <f t="shared" si="5"/>
        <v>37.474164000000002</v>
      </c>
      <c r="H61" s="239">
        <v>134.13</v>
      </c>
      <c r="I61" s="235">
        <f t="shared" si="6"/>
        <v>336.175836</v>
      </c>
      <c r="J61" s="257" t="s">
        <v>13</v>
      </c>
      <c r="K61" s="239" t="s">
        <v>51</v>
      </c>
      <c r="L61" s="235">
        <f t="shared" si="4"/>
        <v>50.426375399999998</v>
      </c>
      <c r="M61" s="235">
        <f t="shared" si="0"/>
        <v>13.44703344</v>
      </c>
      <c r="N61" s="236">
        <f t="shared" si="1"/>
        <v>6.7235167200000001</v>
      </c>
      <c r="O61" s="236">
        <f t="shared" si="2"/>
        <v>6.7235167200000001</v>
      </c>
      <c r="P61" s="232">
        <f t="shared" si="3"/>
        <v>23.532308520000001</v>
      </c>
    </row>
    <row r="62" spans="1:16">
      <c r="A62" s="27">
        <v>60</v>
      </c>
      <c r="B62" s="227" t="s">
        <v>378</v>
      </c>
      <c r="C62" s="240" t="s">
        <v>300</v>
      </c>
      <c r="D62" s="254">
        <v>35035802</v>
      </c>
      <c r="E62" s="280">
        <v>5424997</v>
      </c>
      <c r="F62" s="239">
        <v>484.88</v>
      </c>
      <c r="G62" s="232">
        <f t="shared" si="5"/>
        <v>35.784144000000005</v>
      </c>
      <c r="H62" s="239">
        <v>96.95</v>
      </c>
      <c r="I62" s="235">
        <f t="shared" si="6"/>
        <v>352.14585599999998</v>
      </c>
      <c r="J62" s="257" t="s">
        <v>16</v>
      </c>
      <c r="K62" s="239" t="s">
        <v>158</v>
      </c>
      <c r="L62" s="235">
        <f t="shared" si="4"/>
        <v>52.821878399999996</v>
      </c>
      <c r="M62" s="235">
        <f t="shared" si="0"/>
        <v>14.085834239999999</v>
      </c>
      <c r="N62" s="236">
        <f t="shared" si="1"/>
        <v>7.0429171199999994</v>
      </c>
      <c r="O62" s="236">
        <f t="shared" si="2"/>
        <v>7.0429171199999994</v>
      </c>
      <c r="P62" s="232">
        <f t="shared" si="3"/>
        <v>24.650209920000002</v>
      </c>
    </row>
    <row r="63" spans="1:16">
      <c r="A63" s="27">
        <v>61</v>
      </c>
      <c r="B63" s="227" t="s">
        <v>379</v>
      </c>
      <c r="C63" s="240" t="s">
        <v>300</v>
      </c>
      <c r="D63" s="254">
        <v>1003110280391</v>
      </c>
      <c r="E63" s="280">
        <v>5424322</v>
      </c>
      <c r="F63" s="239">
        <v>485.28</v>
      </c>
      <c r="G63" s="232">
        <f t="shared" si="5"/>
        <v>35.813664000000003</v>
      </c>
      <c r="H63" s="239">
        <v>0</v>
      </c>
      <c r="I63" s="235">
        <f t="shared" si="6"/>
        <v>449.46633599999996</v>
      </c>
      <c r="J63" s="257" t="s">
        <v>13</v>
      </c>
      <c r="K63" s="239" t="s">
        <v>216</v>
      </c>
      <c r="L63" s="235">
        <f t="shared" si="4"/>
        <v>67.419950399999991</v>
      </c>
      <c r="M63" s="235">
        <f t="shared" si="0"/>
        <v>17.978653439999999</v>
      </c>
      <c r="N63" s="236">
        <f t="shared" si="1"/>
        <v>8.9893267199999993</v>
      </c>
      <c r="O63" s="236">
        <f t="shared" si="2"/>
        <v>8.9893267199999993</v>
      </c>
      <c r="P63" s="232">
        <f t="shared" si="3"/>
        <v>31.462643519999986</v>
      </c>
    </row>
    <row r="64" spans="1:16">
      <c r="A64" s="27">
        <v>62</v>
      </c>
      <c r="B64" s="227" t="s">
        <v>380</v>
      </c>
      <c r="C64" s="240" t="s">
        <v>173</v>
      </c>
      <c r="D64" s="254">
        <v>253089</v>
      </c>
      <c r="E64" s="280">
        <v>5388310</v>
      </c>
      <c r="F64" s="239">
        <v>665.65</v>
      </c>
      <c r="G64" s="232">
        <f t="shared" si="5"/>
        <v>49.124970000000005</v>
      </c>
      <c r="H64" s="239">
        <v>58.39</v>
      </c>
      <c r="I64" s="235">
        <f t="shared" si="6"/>
        <v>558.13503000000003</v>
      </c>
      <c r="J64" s="257" t="s">
        <v>16</v>
      </c>
      <c r="K64" s="239" t="s">
        <v>158</v>
      </c>
      <c r="L64" s="235">
        <f t="shared" si="4"/>
        <v>83.720254499999996</v>
      </c>
      <c r="M64" s="235">
        <f t="shared" si="0"/>
        <v>22.325401200000002</v>
      </c>
      <c r="N64" s="236">
        <f t="shared" si="1"/>
        <v>11.162700600000001</v>
      </c>
      <c r="O64" s="236">
        <f t="shared" si="2"/>
        <v>11.162700600000001</v>
      </c>
      <c r="P64" s="232">
        <f t="shared" si="3"/>
        <v>39.069452099999992</v>
      </c>
    </row>
    <row r="65" spans="1:16">
      <c r="A65" s="27">
        <v>63</v>
      </c>
      <c r="B65" s="227" t="s">
        <v>381</v>
      </c>
      <c r="C65" s="240" t="s">
        <v>173</v>
      </c>
      <c r="D65" s="254">
        <v>1003110266118</v>
      </c>
      <c r="E65" s="280">
        <v>5435220</v>
      </c>
      <c r="F65" s="239">
        <v>669.75</v>
      </c>
      <c r="G65" s="232">
        <f t="shared" si="5"/>
        <v>49.427550000000004</v>
      </c>
      <c r="H65" s="239">
        <v>71.97</v>
      </c>
      <c r="I65" s="235">
        <f t="shared" si="6"/>
        <v>548.35244999999998</v>
      </c>
      <c r="J65" s="257" t="s">
        <v>13</v>
      </c>
      <c r="K65" s="239" t="s">
        <v>164</v>
      </c>
      <c r="L65" s="235">
        <f t="shared" si="4"/>
        <v>82.252867499999994</v>
      </c>
      <c r="M65" s="235">
        <f t="shared" si="0"/>
        <v>21.934097999999999</v>
      </c>
      <c r="N65" s="236">
        <f t="shared" si="1"/>
        <v>10.967048999999999</v>
      </c>
      <c r="O65" s="236">
        <f t="shared" si="2"/>
        <v>10.967048999999999</v>
      </c>
      <c r="P65" s="232">
        <f t="shared" si="3"/>
        <v>38.384671499999996</v>
      </c>
    </row>
    <row r="66" spans="1:16">
      <c r="A66" s="27">
        <v>64</v>
      </c>
      <c r="B66" s="227" t="s">
        <v>382</v>
      </c>
      <c r="C66" s="240" t="s">
        <v>300</v>
      </c>
      <c r="D66" s="254">
        <v>2310553180</v>
      </c>
      <c r="E66" s="280" t="s">
        <v>383</v>
      </c>
      <c r="F66" s="239">
        <v>343.43</v>
      </c>
      <c r="G66" s="232">
        <f t="shared" si="5"/>
        <v>25.345134000000002</v>
      </c>
      <c r="H66" s="239">
        <v>34.340000000000003</v>
      </c>
      <c r="I66" s="235">
        <f t="shared" si="6"/>
        <v>283.744866</v>
      </c>
      <c r="J66" s="257" t="s">
        <v>16</v>
      </c>
      <c r="K66" s="239" t="s">
        <v>17</v>
      </c>
      <c r="L66" s="235">
        <f t="shared" si="4"/>
        <v>42.561729899999996</v>
      </c>
      <c r="M66" s="235">
        <f t="shared" si="0"/>
        <v>11.349794640000001</v>
      </c>
      <c r="N66" s="236">
        <f t="shared" si="1"/>
        <v>5.6748973200000004</v>
      </c>
      <c r="O66" s="236">
        <f t="shared" si="2"/>
        <v>5.6748973200000004</v>
      </c>
      <c r="P66" s="232">
        <f t="shared" si="3"/>
        <v>19.862140619999998</v>
      </c>
    </row>
    <row r="67" spans="1:16">
      <c r="A67" s="27">
        <v>65</v>
      </c>
      <c r="B67" s="227" t="s">
        <v>384</v>
      </c>
      <c r="C67" s="240" t="s">
        <v>52</v>
      </c>
      <c r="D67" s="254">
        <v>1003110274210</v>
      </c>
      <c r="E67" s="280">
        <v>5438693</v>
      </c>
      <c r="F67" s="239">
        <v>560.26</v>
      </c>
      <c r="G67" s="232">
        <f t="shared" si="5"/>
        <v>41.347188000000003</v>
      </c>
      <c r="H67" s="239">
        <v>0</v>
      </c>
      <c r="I67" s="235">
        <f t="shared" si="6"/>
        <v>518.91281200000003</v>
      </c>
      <c r="J67" s="257" t="s">
        <v>13</v>
      </c>
      <c r="K67" s="239" t="s">
        <v>50</v>
      </c>
      <c r="L67" s="235">
        <f t="shared" si="4"/>
        <v>77.836921799999999</v>
      </c>
      <c r="M67" s="235">
        <f t="shared" ref="M67:M130" si="7">I67*4%</f>
        <v>20.756512480000001</v>
      </c>
      <c r="N67" s="236">
        <f t="shared" ref="N67:N130" si="8">I67*2%</f>
        <v>10.378256240000001</v>
      </c>
      <c r="O67" s="236">
        <f t="shared" ref="O67:O130" si="9">I67*2%</f>
        <v>10.378256240000001</v>
      </c>
      <c r="P67" s="232">
        <f t="shared" ref="P67:P130" si="10">L67-M67-N67-O67</f>
        <v>36.323896840000003</v>
      </c>
    </row>
    <row r="68" spans="1:16">
      <c r="A68" s="27">
        <v>66</v>
      </c>
      <c r="B68" s="227" t="s">
        <v>385</v>
      </c>
      <c r="C68" s="240" t="s">
        <v>18</v>
      </c>
      <c r="D68" s="254">
        <v>1003110271706</v>
      </c>
      <c r="E68" s="280">
        <v>5431764</v>
      </c>
      <c r="F68" s="239">
        <v>688.24</v>
      </c>
      <c r="G68" s="232">
        <f t="shared" si="5"/>
        <v>50.792112000000003</v>
      </c>
      <c r="H68" s="239">
        <v>172.06</v>
      </c>
      <c r="I68" s="235">
        <f t="shared" si="6"/>
        <v>465.38788800000003</v>
      </c>
      <c r="J68" s="257" t="s">
        <v>13</v>
      </c>
      <c r="K68" s="239" t="s">
        <v>23</v>
      </c>
      <c r="L68" s="235">
        <f t="shared" ref="L68:L130" si="11">I68*15%</f>
        <v>69.808183200000002</v>
      </c>
      <c r="M68" s="235">
        <f t="shared" si="7"/>
        <v>18.615515520000002</v>
      </c>
      <c r="N68" s="285">
        <f t="shared" si="8"/>
        <v>9.3077577600000012</v>
      </c>
      <c r="O68" s="285">
        <f t="shared" si="9"/>
        <v>9.3077577600000012</v>
      </c>
      <c r="P68" s="286">
        <f t="shared" si="10"/>
        <v>32.577152159999997</v>
      </c>
    </row>
    <row r="69" spans="1:16">
      <c r="A69" s="27">
        <v>67</v>
      </c>
      <c r="B69" s="227" t="s">
        <v>386</v>
      </c>
      <c r="C69" s="240" t="s">
        <v>52</v>
      </c>
      <c r="D69" s="254">
        <v>2544185</v>
      </c>
      <c r="E69" s="280">
        <v>5438925</v>
      </c>
      <c r="F69" s="239">
        <v>504.79</v>
      </c>
      <c r="G69" s="286">
        <f t="shared" ref="G69:G130" si="12">F69*7.38%</f>
        <v>37.253502000000005</v>
      </c>
      <c r="H69" s="239">
        <v>0</v>
      </c>
      <c r="I69" s="287">
        <f t="shared" ref="I69:I130" si="13">F69-G69-H69</f>
        <v>467.53649799999999</v>
      </c>
      <c r="J69" s="257" t="s">
        <v>13</v>
      </c>
      <c r="K69" s="239" t="s">
        <v>250</v>
      </c>
      <c r="L69" s="235">
        <f t="shared" si="11"/>
        <v>70.130474699999994</v>
      </c>
      <c r="M69" s="235">
        <f t="shared" si="7"/>
        <v>18.701459920000001</v>
      </c>
      <c r="N69" s="285">
        <f t="shared" si="8"/>
        <v>9.3507299600000007</v>
      </c>
      <c r="O69" s="285">
        <f t="shared" si="9"/>
        <v>9.3507299600000007</v>
      </c>
      <c r="P69" s="286">
        <f t="shared" si="10"/>
        <v>32.727554859999984</v>
      </c>
    </row>
    <row r="70" spans="1:16">
      <c r="A70" s="27">
        <v>68</v>
      </c>
      <c r="B70" s="227" t="s">
        <v>387</v>
      </c>
      <c r="C70" s="240" t="s">
        <v>234</v>
      </c>
      <c r="D70" s="254">
        <v>2536581</v>
      </c>
      <c r="E70" s="280">
        <v>5438423</v>
      </c>
      <c r="F70" s="239">
        <v>1168.79</v>
      </c>
      <c r="G70" s="232">
        <f t="shared" si="12"/>
        <v>86.256702000000004</v>
      </c>
      <c r="H70" s="239">
        <v>102.53</v>
      </c>
      <c r="I70" s="235">
        <f t="shared" si="13"/>
        <v>980.00329800000009</v>
      </c>
      <c r="J70" s="257" t="s">
        <v>16</v>
      </c>
      <c r="K70" s="239" t="s">
        <v>321</v>
      </c>
      <c r="L70" s="235">
        <f t="shared" si="11"/>
        <v>147.00049470000002</v>
      </c>
      <c r="M70" s="235">
        <f t="shared" si="7"/>
        <v>39.200131920000004</v>
      </c>
      <c r="N70" s="236">
        <f t="shared" si="8"/>
        <v>19.600065960000002</v>
      </c>
      <c r="O70" s="236">
        <f t="shared" si="9"/>
        <v>19.600065960000002</v>
      </c>
      <c r="P70" s="232">
        <f t="shared" si="10"/>
        <v>68.600230860000011</v>
      </c>
    </row>
    <row r="71" spans="1:16">
      <c r="A71" s="27">
        <v>69</v>
      </c>
      <c r="B71" s="227" t="s">
        <v>388</v>
      </c>
      <c r="C71" s="240" t="s">
        <v>29</v>
      </c>
      <c r="D71" s="254">
        <v>2536450</v>
      </c>
      <c r="E71" s="280">
        <v>5438232</v>
      </c>
      <c r="F71" s="239">
        <v>892.93</v>
      </c>
      <c r="G71" s="232">
        <f t="shared" si="12"/>
        <v>65.898234000000002</v>
      </c>
      <c r="H71" s="239">
        <v>78.33</v>
      </c>
      <c r="I71" s="235">
        <f t="shared" si="13"/>
        <v>748.70176599999991</v>
      </c>
      <c r="J71" s="257" t="s">
        <v>16</v>
      </c>
      <c r="K71" s="239" t="s">
        <v>50</v>
      </c>
      <c r="L71" s="235">
        <f t="shared" si="11"/>
        <v>112.30526489999998</v>
      </c>
      <c r="M71" s="235">
        <f t="shared" si="7"/>
        <v>29.948070639999997</v>
      </c>
      <c r="N71" s="236">
        <f t="shared" si="8"/>
        <v>14.974035319999999</v>
      </c>
      <c r="O71" s="236">
        <f t="shared" si="9"/>
        <v>14.974035319999999</v>
      </c>
      <c r="P71" s="232">
        <f t="shared" si="10"/>
        <v>52.409123619999988</v>
      </c>
    </row>
    <row r="72" spans="1:16">
      <c r="A72" s="27">
        <v>70</v>
      </c>
      <c r="B72" s="227" t="s">
        <v>389</v>
      </c>
      <c r="C72" s="240" t="s">
        <v>390</v>
      </c>
      <c r="D72" s="254">
        <v>2538150</v>
      </c>
      <c r="E72" s="280">
        <v>5385664</v>
      </c>
      <c r="F72" s="239">
        <v>1462.69</v>
      </c>
      <c r="G72" s="232">
        <f t="shared" si="12"/>
        <v>107.94652200000002</v>
      </c>
      <c r="H72" s="239">
        <v>143.71</v>
      </c>
      <c r="I72" s="235">
        <f t="shared" si="13"/>
        <v>1211.0334780000001</v>
      </c>
      <c r="J72" s="257" t="s">
        <v>16</v>
      </c>
      <c r="K72" s="239" t="s">
        <v>330</v>
      </c>
      <c r="L72" s="235">
        <f t="shared" si="11"/>
        <v>181.65502169999999</v>
      </c>
      <c r="M72" s="235">
        <f t="shared" si="7"/>
        <v>48.441339120000002</v>
      </c>
      <c r="N72" s="236">
        <f t="shared" si="8"/>
        <v>24.220669560000001</v>
      </c>
      <c r="O72" s="236">
        <f t="shared" si="9"/>
        <v>24.220669560000001</v>
      </c>
      <c r="P72" s="232">
        <f t="shared" si="10"/>
        <v>84.772343459999973</v>
      </c>
    </row>
    <row r="73" spans="1:16">
      <c r="A73" s="27">
        <v>71</v>
      </c>
      <c r="B73" s="227" t="s">
        <v>391</v>
      </c>
      <c r="C73" s="240" t="s">
        <v>300</v>
      </c>
      <c r="D73" s="254">
        <v>1003110278107</v>
      </c>
      <c r="E73" s="280">
        <v>5441351</v>
      </c>
      <c r="F73" s="239">
        <v>513.97</v>
      </c>
      <c r="G73" s="232">
        <f t="shared" si="12"/>
        <v>37.930986000000004</v>
      </c>
      <c r="H73" s="239">
        <v>55.23</v>
      </c>
      <c r="I73" s="235">
        <f t="shared" si="13"/>
        <v>420.80901399999999</v>
      </c>
      <c r="J73" s="257" t="s">
        <v>13</v>
      </c>
      <c r="K73" s="239" t="s">
        <v>17</v>
      </c>
      <c r="L73" s="235">
        <f t="shared" si="11"/>
        <v>63.121352099999996</v>
      </c>
      <c r="M73" s="235">
        <f t="shared" si="7"/>
        <v>16.832360560000001</v>
      </c>
      <c r="N73" s="236">
        <f t="shared" si="8"/>
        <v>8.4161802800000007</v>
      </c>
      <c r="O73" s="236">
        <f t="shared" si="9"/>
        <v>8.4161802800000007</v>
      </c>
      <c r="P73" s="232">
        <f t="shared" si="10"/>
        <v>29.45663098</v>
      </c>
    </row>
    <row r="74" spans="1:16">
      <c r="A74" s="27">
        <v>72</v>
      </c>
      <c r="B74" s="227" t="s">
        <v>392</v>
      </c>
      <c r="C74" s="240" t="s">
        <v>29</v>
      </c>
      <c r="D74" s="288">
        <v>1003110286699</v>
      </c>
      <c r="E74" s="280">
        <v>5445072</v>
      </c>
      <c r="F74" s="239">
        <v>676.5</v>
      </c>
      <c r="G74" s="232">
        <f t="shared" si="12"/>
        <v>49.925700000000006</v>
      </c>
      <c r="H74" s="239">
        <v>225.5</v>
      </c>
      <c r="I74" s="235">
        <f t="shared" si="13"/>
        <v>401.07429999999999</v>
      </c>
      <c r="J74" s="257" t="s">
        <v>13</v>
      </c>
      <c r="K74" s="239" t="s">
        <v>353</v>
      </c>
      <c r="L74" s="235">
        <f t="shared" si="11"/>
        <v>60.161144999999998</v>
      </c>
      <c r="M74" s="235">
        <f t="shared" si="7"/>
        <v>16.042971999999999</v>
      </c>
      <c r="N74" s="236">
        <f t="shared" si="8"/>
        <v>8.0214859999999994</v>
      </c>
      <c r="O74" s="236">
        <f t="shared" si="9"/>
        <v>8.0214859999999994</v>
      </c>
      <c r="P74" s="232">
        <f t="shared" si="10"/>
        <v>28.075201000000003</v>
      </c>
    </row>
    <row r="75" spans="1:16">
      <c r="A75" s="27">
        <v>73</v>
      </c>
      <c r="B75" s="227" t="s">
        <v>393</v>
      </c>
      <c r="C75" s="240" t="s">
        <v>394</v>
      </c>
      <c r="D75" s="254">
        <v>1003110286431</v>
      </c>
      <c r="E75" s="280">
        <v>5444575</v>
      </c>
      <c r="F75" s="239">
        <v>639.51</v>
      </c>
      <c r="G75" s="232">
        <f t="shared" si="12"/>
        <v>47.195838000000002</v>
      </c>
      <c r="H75" s="239">
        <v>68.72</v>
      </c>
      <c r="I75" s="235">
        <f t="shared" si="13"/>
        <v>523.59416199999998</v>
      </c>
      <c r="J75" s="257" t="s">
        <v>13</v>
      </c>
      <c r="K75" s="239" t="s">
        <v>238</v>
      </c>
      <c r="L75" s="235">
        <f t="shared" si="11"/>
        <v>78.539124299999997</v>
      </c>
      <c r="M75" s="235">
        <f t="shared" si="7"/>
        <v>20.943766480000001</v>
      </c>
      <c r="N75" s="236">
        <f t="shared" si="8"/>
        <v>10.47188324</v>
      </c>
      <c r="O75" s="236">
        <f t="shared" si="9"/>
        <v>10.47188324</v>
      </c>
      <c r="P75" s="232">
        <f t="shared" si="10"/>
        <v>36.651591339999996</v>
      </c>
    </row>
    <row r="76" spans="1:16">
      <c r="A76" s="27">
        <v>74</v>
      </c>
      <c r="B76" s="227" t="s">
        <v>395</v>
      </c>
      <c r="C76" s="240" t="s">
        <v>300</v>
      </c>
      <c r="D76" s="254">
        <v>1003110281940</v>
      </c>
      <c r="E76" s="280">
        <v>5436791</v>
      </c>
      <c r="F76" s="239">
        <v>558.30999999999995</v>
      </c>
      <c r="G76" s="232">
        <f t="shared" si="12"/>
        <v>41.203277999999997</v>
      </c>
      <c r="H76" s="239">
        <v>58.66</v>
      </c>
      <c r="I76" s="235">
        <f t="shared" si="13"/>
        <v>458.44672200000002</v>
      </c>
      <c r="J76" s="257" t="s">
        <v>13</v>
      </c>
      <c r="K76" s="239" t="s">
        <v>216</v>
      </c>
      <c r="L76" s="235">
        <f t="shared" si="11"/>
        <v>68.767008300000001</v>
      </c>
      <c r="M76" s="235">
        <f t="shared" si="7"/>
        <v>18.337868880000002</v>
      </c>
      <c r="N76" s="236">
        <f t="shared" si="8"/>
        <v>9.168934440000001</v>
      </c>
      <c r="O76" s="236">
        <f t="shared" si="9"/>
        <v>9.168934440000001</v>
      </c>
      <c r="P76" s="232">
        <f t="shared" si="10"/>
        <v>32.091270539999996</v>
      </c>
    </row>
    <row r="77" spans="1:16">
      <c r="A77" s="27">
        <v>75</v>
      </c>
      <c r="B77" s="227" t="s">
        <v>396</v>
      </c>
      <c r="C77" s="240" t="s">
        <v>397</v>
      </c>
      <c r="D77" s="254">
        <v>1003110282931</v>
      </c>
      <c r="E77" s="280">
        <v>5443867</v>
      </c>
      <c r="F77" s="239">
        <v>628.83000000000004</v>
      </c>
      <c r="G77" s="232">
        <f t="shared" si="12"/>
        <v>46.407654000000008</v>
      </c>
      <c r="H77" s="239">
        <v>209.61</v>
      </c>
      <c r="I77" s="235">
        <f t="shared" si="13"/>
        <v>372.81234600000005</v>
      </c>
      <c r="J77" s="257" t="s">
        <v>13</v>
      </c>
      <c r="K77" s="239" t="s">
        <v>266</v>
      </c>
      <c r="L77" s="235">
        <f t="shared" si="11"/>
        <v>55.921851900000007</v>
      </c>
      <c r="M77" s="235">
        <f t="shared" si="7"/>
        <v>14.912493840000002</v>
      </c>
      <c r="N77" s="236">
        <f t="shared" si="8"/>
        <v>7.4562469200000008</v>
      </c>
      <c r="O77" s="236">
        <f t="shared" si="9"/>
        <v>7.4562469200000008</v>
      </c>
      <c r="P77" s="232">
        <f t="shared" si="10"/>
        <v>26.096864220000004</v>
      </c>
    </row>
    <row r="78" spans="1:16">
      <c r="A78" s="27">
        <v>76</v>
      </c>
      <c r="B78" s="227" t="s">
        <v>398</v>
      </c>
      <c r="C78" s="240" t="s">
        <v>29</v>
      </c>
      <c r="D78" s="254">
        <v>1003110282738</v>
      </c>
      <c r="E78" s="280">
        <v>5443706</v>
      </c>
      <c r="F78" s="239">
        <v>754.01</v>
      </c>
      <c r="G78" s="232">
        <f t="shared" si="12"/>
        <v>55.645938000000001</v>
      </c>
      <c r="H78" s="239">
        <v>199.18</v>
      </c>
      <c r="I78" s="235">
        <f t="shared" si="13"/>
        <v>499.18406199999998</v>
      </c>
      <c r="J78" s="257" t="s">
        <v>13</v>
      </c>
      <c r="K78" s="239" t="s">
        <v>266</v>
      </c>
      <c r="L78" s="235">
        <f t="shared" si="11"/>
        <v>74.877609299999989</v>
      </c>
      <c r="M78" s="235">
        <f t="shared" si="7"/>
        <v>19.967362479999998</v>
      </c>
      <c r="N78" s="236">
        <f t="shared" si="8"/>
        <v>9.9836812399999992</v>
      </c>
      <c r="O78" s="236">
        <f t="shared" si="9"/>
        <v>9.9836812399999992</v>
      </c>
      <c r="P78" s="232">
        <f t="shared" si="10"/>
        <v>34.942884339999992</v>
      </c>
    </row>
    <row r="79" spans="1:16">
      <c r="A79" s="27">
        <v>77</v>
      </c>
      <c r="B79" s="227" t="s">
        <v>399</v>
      </c>
      <c r="C79" s="240" t="s">
        <v>12</v>
      </c>
      <c r="D79" s="254">
        <v>2539688</v>
      </c>
      <c r="E79" s="280">
        <v>5443616</v>
      </c>
      <c r="F79" s="239">
        <v>661.74</v>
      </c>
      <c r="G79" s="232">
        <f t="shared" si="12"/>
        <v>48.836412000000003</v>
      </c>
      <c r="H79" s="239">
        <v>58.05</v>
      </c>
      <c r="I79" s="235">
        <f t="shared" si="13"/>
        <v>554.85358800000006</v>
      </c>
      <c r="J79" s="257" t="s">
        <v>16</v>
      </c>
      <c r="K79" s="239" t="s">
        <v>238</v>
      </c>
      <c r="L79" s="235">
        <f t="shared" si="11"/>
        <v>83.2280382</v>
      </c>
      <c r="M79" s="235">
        <f t="shared" si="7"/>
        <v>22.194143520000004</v>
      </c>
      <c r="N79" s="236">
        <f t="shared" si="8"/>
        <v>11.097071760000002</v>
      </c>
      <c r="O79" s="236">
        <f t="shared" si="9"/>
        <v>11.097071760000002</v>
      </c>
      <c r="P79" s="232">
        <f t="shared" si="10"/>
        <v>38.839751159999992</v>
      </c>
    </row>
    <row r="80" spans="1:16">
      <c r="A80" s="27">
        <v>78</v>
      </c>
      <c r="B80" s="227" t="s">
        <v>400</v>
      </c>
      <c r="C80" s="240" t="s">
        <v>300</v>
      </c>
      <c r="D80" s="254">
        <v>2310579677</v>
      </c>
      <c r="E80" s="280">
        <v>5425286</v>
      </c>
      <c r="F80" s="239">
        <v>482.1</v>
      </c>
      <c r="G80" s="232">
        <f t="shared" si="12"/>
        <v>35.578980000000001</v>
      </c>
      <c r="H80" s="239">
        <v>48.21</v>
      </c>
      <c r="I80" s="235">
        <f t="shared" si="13"/>
        <v>398.31102000000004</v>
      </c>
      <c r="J80" s="257" t="s">
        <v>16</v>
      </c>
      <c r="K80" s="239" t="s">
        <v>14</v>
      </c>
      <c r="L80" s="235">
        <f t="shared" si="11"/>
        <v>59.746653000000002</v>
      </c>
      <c r="M80" s="235">
        <f t="shared" si="7"/>
        <v>15.932440800000002</v>
      </c>
      <c r="N80" s="236">
        <f t="shared" si="8"/>
        <v>7.966220400000001</v>
      </c>
      <c r="O80" s="236">
        <f t="shared" si="9"/>
        <v>7.966220400000001</v>
      </c>
      <c r="P80" s="232">
        <f t="shared" si="10"/>
        <v>27.881771400000002</v>
      </c>
    </row>
    <row r="81" spans="1:16">
      <c r="A81" s="27">
        <v>79</v>
      </c>
      <c r="B81" s="227" t="s">
        <v>401</v>
      </c>
      <c r="C81" s="240" t="s">
        <v>12</v>
      </c>
      <c r="D81" s="254">
        <v>1003110291600</v>
      </c>
      <c r="E81" s="280">
        <v>5429022</v>
      </c>
      <c r="F81" s="239">
        <v>649.1</v>
      </c>
      <c r="G81" s="232">
        <f t="shared" si="12"/>
        <v>47.903580000000005</v>
      </c>
      <c r="H81" s="239">
        <v>70.91</v>
      </c>
      <c r="I81" s="235">
        <f t="shared" si="13"/>
        <v>530.28642000000002</v>
      </c>
      <c r="J81" s="257" t="s">
        <v>13</v>
      </c>
      <c r="K81" s="239" t="s">
        <v>23</v>
      </c>
      <c r="L81" s="235">
        <f t="shared" si="11"/>
        <v>79.542963</v>
      </c>
      <c r="M81" s="235">
        <f t="shared" si="7"/>
        <v>21.211456800000001</v>
      </c>
      <c r="N81" s="236">
        <f t="shared" si="8"/>
        <v>10.6057284</v>
      </c>
      <c r="O81" s="236">
        <f t="shared" si="9"/>
        <v>10.6057284</v>
      </c>
      <c r="P81" s="232">
        <f t="shared" si="10"/>
        <v>37.120049399999999</v>
      </c>
    </row>
    <row r="82" spans="1:16">
      <c r="A82" s="27">
        <v>80</v>
      </c>
      <c r="B82" s="227" t="s">
        <v>402</v>
      </c>
      <c r="C82" s="240" t="s">
        <v>234</v>
      </c>
      <c r="D82" s="254">
        <v>1003110291838</v>
      </c>
      <c r="E82" s="280">
        <v>5446850</v>
      </c>
      <c r="F82" s="239">
        <v>683.96</v>
      </c>
      <c r="G82" s="232">
        <f t="shared" si="12"/>
        <v>50.476248000000005</v>
      </c>
      <c r="H82" s="239">
        <v>73.489999999999995</v>
      </c>
      <c r="I82" s="235">
        <f t="shared" si="13"/>
        <v>559.99375199999997</v>
      </c>
      <c r="J82" s="257" t="s">
        <v>13</v>
      </c>
      <c r="K82" s="239" t="s">
        <v>23</v>
      </c>
      <c r="L82" s="235">
        <f t="shared" si="11"/>
        <v>83.99906279999999</v>
      </c>
      <c r="M82" s="235">
        <f t="shared" si="7"/>
        <v>22.39975008</v>
      </c>
      <c r="N82" s="236">
        <f t="shared" si="8"/>
        <v>11.19987504</v>
      </c>
      <c r="O82" s="236">
        <f t="shared" si="9"/>
        <v>11.19987504</v>
      </c>
      <c r="P82" s="232">
        <f t="shared" si="10"/>
        <v>39.199562639999982</v>
      </c>
    </row>
    <row r="83" spans="1:16">
      <c r="A83" s="27">
        <v>81</v>
      </c>
      <c r="B83" s="339" t="s">
        <v>403</v>
      </c>
      <c r="C83" s="327" t="s">
        <v>29</v>
      </c>
      <c r="D83" s="400">
        <v>1003110324066</v>
      </c>
      <c r="E83" s="401">
        <v>5446955</v>
      </c>
      <c r="F83" s="294">
        <v>689.71</v>
      </c>
      <c r="G83" s="294">
        <f t="shared" si="12"/>
        <v>50.900598000000002</v>
      </c>
      <c r="H83" s="294">
        <v>74.11</v>
      </c>
      <c r="I83" s="293">
        <f t="shared" si="13"/>
        <v>564.69940200000008</v>
      </c>
      <c r="J83" s="329" t="s">
        <v>13</v>
      </c>
      <c r="K83" s="294" t="s">
        <v>216</v>
      </c>
      <c r="L83" s="293">
        <f t="shared" si="11"/>
        <v>84.704910300000009</v>
      </c>
      <c r="M83" s="293">
        <f t="shared" si="7"/>
        <v>22.587976080000004</v>
      </c>
      <c r="N83" s="296">
        <f t="shared" si="8"/>
        <v>11.293988040000002</v>
      </c>
      <c r="O83" s="296">
        <f t="shared" si="9"/>
        <v>11.293988040000002</v>
      </c>
      <c r="P83" s="294">
        <f t="shared" si="10"/>
        <v>39.52895814</v>
      </c>
    </row>
    <row r="84" spans="1:16">
      <c r="A84" s="27">
        <v>82</v>
      </c>
      <c r="B84" s="227" t="s">
        <v>404</v>
      </c>
      <c r="C84" s="240" t="s">
        <v>173</v>
      </c>
      <c r="D84" s="254">
        <v>1003110288123</v>
      </c>
      <c r="E84" s="280">
        <v>5446505</v>
      </c>
      <c r="F84" s="239">
        <v>621.08000000000004</v>
      </c>
      <c r="G84" s="232">
        <f t="shared" si="12"/>
        <v>45.835704000000007</v>
      </c>
      <c r="H84" s="239">
        <v>0</v>
      </c>
      <c r="I84" s="235">
        <f t="shared" si="13"/>
        <v>575.24429600000008</v>
      </c>
      <c r="J84" s="257" t="s">
        <v>13</v>
      </c>
      <c r="K84" s="239" t="s">
        <v>51</v>
      </c>
      <c r="L84" s="235">
        <f t="shared" si="11"/>
        <v>86.286644400000014</v>
      </c>
      <c r="M84" s="235">
        <f t="shared" si="7"/>
        <v>23.009771840000003</v>
      </c>
      <c r="N84" s="236">
        <f t="shared" si="8"/>
        <v>11.504885920000001</v>
      </c>
      <c r="O84" s="236">
        <f t="shared" si="9"/>
        <v>11.504885920000001</v>
      </c>
      <c r="P84" s="232">
        <f t="shared" si="10"/>
        <v>40.267100720000016</v>
      </c>
    </row>
    <row r="85" spans="1:16">
      <c r="A85" s="27">
        <v>83</v>
      </c>
      <c r="B85" s="339" t="s">
        <v>405</v>
      </c>
      <c r="C85" s="327" t="s">
        <v>52</v>
      </c>
      <c r="D85" s="400">
        <v>1003110293756</v>
      </c>
      <c r="E85" s="401">
        <v>5435736</v>
      </c>
      <c r="F85" s="294">
        <v>557.01</v>
      </c>
      <c r="G85" s="294">
        <f t="shared" si="12"/>
        <v>41.107337999999999</v>
      </c>
      <c r="H85" s="294">
        <v>59.75</v>
      </c>
      <c r="I85" s="293">
        <f t="shared" si="13"/>
        <v>456.15266199999996</v>
      </c>
      <c r="J85" s="329" t="s">
        <v>13</v>
      </c>
      <c r="K85" s="294" t="s">
        <v>14</v>
      </c>
      <c r="L85" s="293">
        <f t="shared" si="11"/>
        <v>68.422899299999997</v>
      </c>
      <c r="M85" s="293">
        <f t="shared" si="7"/>
        <v>18.246106479999998</v>
      </c>
      <c r="N85" s="296">
        <f t="shared" si="8"/>
        <v>9.1230532399999991</v>
      </c>
      <c r="O85" s="296">
        <f t="shared" si="9"/>
        <v>9.1230532399999991</v>
      </c>
      <c r="P85" s="294">
        <f t="shared" si="10"/>
        <v>31.930686340000008</v>
      </c>
    </row>
    <row r="86" spans="1:16">
      <c r="A86" s="27">
        <v>84</v>
      </c>
      <c r="B86" s="227" t="s">
        <v>406</v>
      </c>
      <c r="C86" s="240" t="s">
        <v>407</v>
      </c>
      <c r="D86" s="254">
        <v>1003110293701</v>
      </c>
      <c r="E86" s="280">
        <v>5449898</v>
      </c>
      <c r="F86" s="239">
        <v>935.69</v>
      </c>
      <c r="G86" s="232">
        <f t="shared" si="12"/>
        <v>69.053922000000014</v>
      </c>
      <c r="H86" s="239">
        <v>100.54</v>
      </c>
      <c r="I86" s="235">
        <f t="shared" si="13"/>
        <v>766.09607800000003</v>
      </c>
      <c r="J86" s="257" t="s">
        <v>13</v>
      </c>
      <c r="K86" s="239" t="s">
        <v>238</v>
      </c>
      <c r="L86" s="235">
        <f t="shared" si="11"/>
        <v>114.9144117</v>
      </c>
      <c r="M86" s="235">
        <f t="shared" si="7"/>
        <v>30.643843120000003</v>
      </c>
      <c r="N86" s="236">
        <f t="shared" si="8"/>
        <v>15.321921560000002</v>
      </c>
      <c r="O86" s="236">
        <f t="shared" si="9"/>
        <v>15.321921560000002</v>
      </c>
      <c r="P86" s="232">
        <f t="shared" si="10"/>
        <v>53.626725459999996</v>
      </c>
    </row>
    <row r="87" spans="1:16">
      <c r="A87" s="27">
        <v>85</v>
      </c>
      <c r="B87" s="339" t="s">
        <v>408</v>
      </c>
      <c r="C87" s="327" t="s">
        <v>173</v>
      </c>
      <c r="D87" s="400">
        <v>1003110293548</v>
      </c>
      <c r="E87" s="401">
        <v>5448936</v>
      </c>
      <c r="F87" s="294">
        <v>575.22</v>
      </c>
      <c r="G87" s="294">
        <f t="shared" si="12"/>
        <v>42.451236000000002</v>
      </c>
      <c r="H87" s="294">
        <v>61.81</v>
      </c>
      <c r="I87" s="293">
        <f t="shared" si="13"/>
        <v>470.95876400000003</v>
      </c>
      <c r="J87" s="329" t="s">
        <v>13</v>
      </c>
      <c r="K87" s="294" t="s">
        <v>250</v>
      </c>
      <c r="L87" s="293">
        <f t="shared" si="11"/>
        <v>70.643814599999999</v>
      </c>
      <c r="M87" s="293">
        <f t="shared" si="7"/>
        <v>18.838350560000002</v>
      </c>
      <c r="N87" s="296">
        <f t="shared" si="8"/>
        <v>9.419175280000001</v>
      </c>
      <c r="O87" s="296">
        <f t="shared" si="9"/>
        <v>9.419175280000001</v>
      </c>
      <c r="P87" s="294">
        <f t="shared" si="10"/>
        <v>32.967113479999995</v>
      </c>
    </row>
    <row r="88" spans="1:16">
      <c r="A88" s="27">
        <v>86</v>
      </c>
      <c r="B88" s="227" t="s">
        <v>409</v>
      </c>
      <c r="C88" s="240" t="s">
        <v>12</v>
      </c>
      <c r="D88" s="254">
        <v>25429956</v>
      </c>
      <c r="E88" s="280">
        <v>5449559</v>
      </c>
      <c r="F88" s="239">
        <v>944.93</v>
      </c>
      <c r="G88" s="232">
        <f t="shared" si="12"/>
        <v>69.735833999999997</v>
      </c>
      <c r="H88" s="239">
        <v>0</v>
      </c>
      <c r="I88" s="235">
        <f t="shared" si="13"/>
        <v>875.194166</v>
      </c>
      <c r="J88" s="257" t="s">
        <v>16</v>
      </c>
      <c r="K88" s="239" t="s">
        <v>410</v>
      </c>
      <c r="L88" s="235">
        <f t="shared" si="11"/>
        <v>131.2791249</v>
      </c>
      <c r="M88" s="235">
        <f t="shared" si="7"/>
        <v>35.00776664</v>
      </c>
      <c r="N88" s="236">
        <f t="shared" si="8"/>
        <v>17.50388332</v>
      </c>
      <c r="O88" s="236">
        <f t="shared" si="9"/>
        <v>17.50388332</v>
      </c>
      <c r="P88" s="232">
        <f t="shared" si="10"/>
        <v>61.26359162</v>
      </c>
    </row>
    <row r="89" spans="1:16">
      <c r="A89" s="27">
        <v>87</v>
      </c>
      <c r="B89" s="227" t="s">
        <v>411</v>
      </c>
      <c r="C89" s="240" t="s">
        <v>300</v>
      </c>
      <c r="D89" s="254">
        <v>1003110299776</v>
      </c>
      <c r="E89" s="280">
        <v>5454028</v>
      </c>
      <c r="F89" s="239">
        <v>538.51</v>
      </c>
      <c r="G89" s="232">
        <f t="shared" si="12"/>
        <v>39.742038000000001</v>
      </c>
      <c r="H89" s="239">
        <v>57.86</v>
      </c>
      <c r="I89" s="235">
        <f t="shared" si="13"/>
        <v>440.907962</v>
      </c>
      <c r="J89" s="257" t="s">
        <v>13</v>
      </c>
      <c r="K89" s="239" t="s">
        <v>211</v>
      </c>
      <c r="L89" s="235">
        <f t="shared" si="11"/>
        <v>66.1361943</v>
      </c>
      <c r="M89" s="235">
        <f t="shared" si="7"/>
        <v>17.63631848</v>
      </c>
      <c r="N89" s="236">
        <f t="shared" si="8"/>
        <v>8.81815924</v>
      </c>
      <c r="O89" s="236">
        <f t="shared" si="9"/>
        <v>8.81815924</v>
      </c>
      <c r="P89" s="232">
        <f t="shared" si="10"/>
        <v>30.86355734</v>
      </c>
    </row>
    <row r="90" spans="1:16">
      <c r="A90" s="27">
        <v>88</v>
      </c>
      <c r="B90" s="227" t="s">
        <v>412</v>
      </c>
      <c r="C90" s="240" t="s">
        <v>12</v>
      </c>
      <c r="D90" s="254">
        <v>1003110316008</v>
      </c>
      <c r="E90" s="280">
        <v>5452476</v>
      </c>
      <c r="F90" s="239">
        <v>603</v>
      </c>
      <c r="G90" s="232">
        <f t="shared" si="12"/>
        <v>44.501400000000004</v>
      </c>
      <c r="H90" s="239">
        <v>74.37</v>
      </c>
      <c r="I90" s="235">
        <f t="shared" si="13"/>
        <v>484.12860000000001</v>
      </c>
      <c r="J90" s="257" t="s">
        <v>413</v>
      </c>
      <c r="K90" s="239" t="s">
        <v>166</v>
      </c>
      <c r="L90" s="235">
        <f t="shared" si="11"/>
        <v>72.619289999999992</v>
      </c>
      <c r="M90" s="235">
        <f t="shared" si="7"/>
        <v>19.365144000000001</v>
      </c>
      <c r="N90" s="236">
        <f t="shared" si="8"/>
        <v>9.6825720000000004</v>
      </c>
      <c r="O90" s="236">
        <f t="shared" si="9"/>
        <v>9.6825720000000004</v>
      </c>
      <c r="P90" s="232">
        <f t="shared" si="10"/>
        <v>33.889001999999991</v>
      </c>
    </row>
    <row r="91" spans="1:16">
      <c r="A91" s="27">
        <v>89</v>
      </c>
      <c r="B91" s="227" t="s">
        <v>414</v>
      </c>
      <c r="C91" s="240" t="s">
        <v>300</v>
      </c>
      <c r="D91" s="254">
        <v>1003110298807</v>
      </c>
      <c r="E91" s="280">
        <v>5453599</v>
      </c>
      <c r="F91" s="239">
        <v>566.09</v>
      </c>
      <c r="G91" s="232">
        <f t="shared" si="12"/>
        <v>41.777442000000008</v>
      </c>
      <c r="H91" s="239">
        <v>69.819999999999993</v>
      </c>
      <c r="I91" s="235">
        <f t="shared" si="13"/>
        <v>454.49255800000009</v>
      </c>
      <c r="J91" s="257" t="s">
        <v>13</v>
      </c>
      <c r="K91" s="239" t="s">
        <v>14</v>
      </c>
      <c r="L91" s="235">
        <f t="shared" si="11"/>
        <v>68.173883700000005</v>
      </c>
      <c r="M91" s="235">
        <f t="shared" si="7"/>
        <v>18.179702320000004</v>
      </c>
      <c r="N91" s="236">
        <f t="shared" si="8"/>
        <v>9.089851160000002</v>
      </c>
      <c r="O91" s="236">
        <f t="shared" si="9"/>
        <v>9.089851160000002</v>
      </c>
      <c r="P91" s="232">
        <f t="shared" si="10"/>
        <v>31.814479059999996</v>
      </c>
    </row>
    <row r="92" spans="1:16">
      <c r="A92" s="27">
        <v>90</v>
      </c>
      <c r="B92" s="227" t="s">
        <v>415</v>
      </c>
      <c r="C92" s="240" t="s">
        <v>173</v>
      </c>
      <c r="D92" s="254">
        <v>51772025423105</v>
      </c>
      <c r="E92" s="280">
        <v>5452657</v>
      </c>
      <c r="F92" s="239">
        <v>735.88</v>
      </c>
      <c r="G92" s="232">
        <f t="shared" si="12"/>
        <v>54.307944000000006</v>
      </c>
      <c r="H92" s="239">
        <v>245.29</v>
      </c>
      <c r="I92" s="235">
        <f t="shared" si="13"/>
        <v>436.28205600000001</v>
      </c>
      <c r="J92" s="257" t="s">
        <v>13</v>
      </c>
      <c r="K92" s="239" t="s">
        <v>166</v>
      </c>
      <c r="L92" s="235">
        <f t="shared" si="11"/>
        <v>65.442308400000002</v>
      </c>
      <c r="M92" s="235">
        <f t="shared" si="7"/>
        <v>17.451282240000001</v>
      </c>
      <c r="N92" s="236">
        <f t="shared" si="8"/>
        <v>8.7256411200000006</v>
      </c>
      <c r="O92" s="236">
        <f t="shared" si="9"/>
        <v>8.7256411200000006</v>
      </c>
      <c r="P92" s="232">
        <f t="shared" si="10"/>
        <v>30.539743920000006</v>
      </c>
    </row>
    <row r="93" spans="1:16">
      <c r="A93" s="27">
        <v>91</v>
      </c>
      <c r="B93" s="227" t="s">
        <v>416</v>
      </c>
      <c r="C93" s="240" t="s">
        <v>29</v>
      </c>
      <c r="D93" s="254">
        <v>1003110294880</v>
      </c>
      <c r="E93" s="280">
        <v>5451894</v>
      </c>
      <c r="F93" s="239">
        <v>781.09</v>
      </c>
      <c r="G93" s="232">
        <f t="shared" si="12"/>
        <v>57.644442000000005</v>
      </c>
      <c r="H93" s="239">
        <v>83.93</v>
      </c>
      <c r="I93" s="235">
        <f t="shared" si="13"/>
        <v>639.51555800000006</v>
      </c>
      <c r="J93" s="257" t="s">
        <v>13</v>
      </c>
      <c r="K93" s="239" t="s">
        <v>321</v>
      </c>
      <c r="L93" s="235">
        <f t="shared" si="11"/>
        <v>95.927333700000005</v>
      </c>
      <c r="M93" s="235">
        <f t="shared" si="7"/>
        <v>25.580622320000003</v>
      </c>
      <c r="N93" s="236">
        <f t="shared" si="8"/>
        <v>12.790311160000002</v>
      </c>
      <c r="O93" s="236">
        <f t="shared" si="9"/>
        <v>12.790311160000002</v>
      </c>
      <c r="P93" s="232">
        <f t="shared" si="10"/>
        <v>44.766089059999999</v>
      </c>
    </row>
    <row r="94" spans="1:16">
      <c r="A94" s="27">
        <v>92</v>
      </c>
      <c r="B94" s="339" t="s">
        <v>417</v>
      </c>
      <c r="C94" s="327" t="s">
        <v>173</v>
      </c>
      <c r="D94" s="400">
        <v>1003110294802</v>
      </c>
      <c r="E94" s="401">
        <v>5451121</v>
      </c>
      <c r="F94" s="294">
        <v>619.73</v>
      </c>
      <c r="G94" s="294">
        <f t="shared" si="12"/>
        <v>45.736074000000002</v>
      </c>
      <c r="H94" s="294">
        <v>66.59</v>
      </c>
      <c r="I94" s="293">
        <f t="shared" si="13"/>
        <v>507.40392599999996</v>
      </c>
      <c r="J94" s="329" t="s">
        <v>13</v>
      </c>
      <c r="K94" s="294" t="s">
        <v>164</v>
      </c>
      <c r="L94" s="293">
        <f t="shared" si="11"/>
        <v>76.110588899999996</v>
      </c>
      <c r="M94" s="293">
        <f t="shared" si="7"/>
        <v>20.296157039999997</v>
      </c>
      <c r="N94" s="296">
        <f t="shared" si="8"/>
        <v>10.148078519999999</v>
      </c>
      <c r="O94" s="296">
        <f t="shared" si="9"/>
        <v>10.148078519999999</v>
      </c>
      <c r="P94" s="294">
        <f t="shared" si="10"/>
        <v>35.518274820000002</v>
      </c>
    </row>
    <row r="95" spans="1:16">
      <c r="A95" s="27">
        <v>93</v>
      </c>
      <c r="B95" s="261" t="s">
        <v>418</v>
      </c>
      <c r="C95" s="240" t="s">
        <v>300</v>
      </c>
      <c r="D95" s="254">
        <v>20629532</v>
      </c>
      <c r="E95" s="280" t="s">
        <v>419</v>
      </c>
      <c r="F95" s="239">
        <v>479.34</v>
      </c>
      <c r="G95" s="232">
        <f t="shared" si="12"/>
        <v>35.375292000000002</v>
      </c>
      <c r="H95" s="239">
        <v>239.67</v>
      </c>
      <c r="I95" s="235">
        <f t="shared" si="13"/>
        <v>204.29470799999999</v>
      </c>
      <c r="J95" s="257" t="s">
        <v>13</v>
      </c>
      <c r="K95" s="239" t="s">
        <v>17</v>
      </c>
      <c r="L95" s="235">
        <f t="shared" si="11"/>
        <v>30.644206199999996</v>
      </c>
      <c r="M95" s="235">
        <f t="shared" si="7"/>
        <v>8.1717883199999992</v>
      </c>
      <c r="N95" s="236">
        <f t="shared" si="8"/>
        <v>4.0858941599999996</v>
      </c>
      <c r="O95" s="236">
        <f t="shared" si="9"/>
        <v>4.0858941599999996</v>
      </c>
      <c r="P95" s="232">
        <f t="shared" si="10"/>
        <v>14.300629559999997</v>
      </c>
    </row>
    <row r="96" spans="1:16">
      <c r="A96" s="27">
        <v>94</v>
      </c>
      <c r="B96" s="339" t="s">
        <v>420</v>
      </c>
      <c r="C96" s="327" t="s">
        <v>52</v>
      </c>
      <c r="D96" s="400">
        <v>1003110298606</v>
      </c>
      <c r="E96" s="401" t="s">
        <v>421</v>
      </c>
      <c r="F96" s="294">
        <v>471.13</v>
      </c>
      <c r="G96" s="294">
        <f t="shared" si="12"/>
        <v>34.769393999999998</v>
      </c>
      <c r="H96" s="294">
        <v>58.11</v>
      </c>
      <c r="I96" s="293">
        <f t="shared" si="13"/>
        <v>378.250606</v>
      </c>
      <c r="J96" s="329" t="s">
        <v>13</v>
      </c>
      <c r="K96" s="294" t="s">
        <v>17</v>
      </c>
      <c r="L96" s="293">
        <f t="shared" si="11"/>
        <v>56.737590900000001</v>
      </c>
      <c r="M96" s="293">
        <f t="shared" si="7"/>
        <v>15.130024240000001</v>
      </c>
      <c r="N96" s="296">
        <f t="shared" si="8"/>
        <v>7.5650121200000005</v>
      </c>
      <c r="O96" s="296">
        <f t="shared" si="9"/>
        <v>7.5650121200000005</v>
      </c>
      <c r="P96" s="294">
        <f t="shared" si="10"/>
        <v>26.477542420000006</v>
      </c>
    </row>
    <row r="97" spans="1:16">
      <c r="A97" s="27">
        <v>95</v>
      </c>
      <c r="B97" s="339" t="s">
        <v>422</v>
      </c>
      <c r="C97" s="327" t="s">
        <v>12</v>
      </c>
      <c r="D97" s="400">
        <v>1003110304883</v>
      </c>
      <c r="E97" s="401">
        <v>5456873</v>
      </c>
      <c r="F97" s="294">
        <v>570.92999999999995</v>
      </c>
      <c r="G97" s="294">
        <f t="shared" si="12"/>
        <v>42.134633999999998</v>
      </c>
      <c r="H97" s="294">
        <v>70.42</v>
      </c>
      <c r="I97" s="293">
        <f t="shared" si="13"/>
        <v>458.37536599999993</v>
      </c>
      <c r="J97" s="329" t="s">
        <v>13</v>
      </c>
      <c r="K97" s="294" t="s">
        <v>238</v>
      </c>
      <c r="L97" s="293">
        <f t="shared" si="11"/>
        <v>68.756304899999989</v>
      </c>
      <c r="M97" s="293">
        <f t="shared" si="7"/>
        <v>18.335014639999997</v>
      </c>
      <c r="N97" s="296">
        <f t="shared" si="8"/>
        <v>9.1675073199999986</v>
      </c>
      <c r="O97" s="296">
        <f t="shared" si="9"/>
        <v>9.1675073199999986</v>
      </c>
      <c r="P97" s="294">
        <f t="shared" si="10"/>
        <v>32.086275619999995</v>
      </c>
    </row>
    <row r="98" spans="1:16">
      <c r="A98" s="27">
        <v>96</v>
      </c>
      <c r="B98" s="227" t="s">
        <v>423</v>
      </c>
      <c r="C98" s="240" t="s">
        <v>31</v>
      </c>
      <c r="D98" s="254">
        <v>1003110304838</v>
      </c>
      <c r="E98" s="280">
        <v>5455566</v>
      </c>
      <c r="F98" s="239">
        <v>594.98</v>
      </c>
      <c r="G98" s="232">
        <f t="shared" si="12"/>
        <v>43.909524000000005</v>
      </c>
      <c r="H98" s="239">
        <v>157.16999999999999</v>
      </c>
      <c r="I98" s="235">
        <f t="shared" si="13"/>
        <v>393.90047600000003</v>
      </c>
      <c r="J98" s="257" t="s">
        <v>16</v>
      </c>
      <c r="K98" s="239" t="s">
        <v>166</v>
      </c>
      <c r="L98" s="235">
        <f t="shared" si="11"/>
        <v>59.085071400000004</v>
      </c>
      <c r="M98" s="235">
        <f t="shared" si="7"/>
        <v>15.756019040000002</v>
      </c>
      <c r="N98" s="236">
        <f t="shared" si="8"/>
        <v>7.8780095200000009</v>
      </c>
      <c r="O98" s="236">
        <f t="shared" si="9"/>
        <v>7.8780095200000009</v>
      </c>
      <c r="P98" s="232">
        <f t="shared" si="10"/>
        <v>27.573033320000008</v>
      </c>
    </row>
    <row r="99" spans="1:16">
      <c r="A99" s="27">
        <v>97</v>
      </c>
      <c r="B99" s="227" t="s">
        <v>424</v>
      </c>
      <c r="C99" s="240" t="s">
        <v>173</v>
      </c>
      <c r="D99" s="254">
        <v>100311030938</v>
      </c>
      <c r="E99" s="280">
        <v>5453392</v>
      </c>
      <c r="F99" s="239">
        <v>598.79999999999995</v>
      </c>
      <c r="G99" s="232">
        <f t="shared" si="12"/>
        <v>44.19144</v>
      </c>
      <c r="H99" s="239">
        <v>0</v>
      </c>
      <c r="I99" s="235">
        <f t="shared" si="13"/>
        <v>554.6085599999999</v>
      </c>
      <c r="J99" s="257" t="s">
        <v>13</v>
      </c>
      <c r="K99" s="239" t="s">
        <v>332</v>
      </c>
      <c r="L99" s="235">
        <f t="shared" si="11"/>
        <v>83.191283999999982</v>
      </c>
      <c r="M99" s="235">
        <f t="shared" si="7"/>
        <v>22.184342399999995</v>
      </c>
      <c r="N99" s="236">
        <f t="shared" si="8"/>
        <v>11.092171199999997</v>
      </c>
      <c r="O99" s="236">
        <f t="shared" si="9"/>
        <v>11.092171199999997</v>
      </c>
      <c r="P99" s="232">
        <f t="shared" si="10"/>
        <v>38.822599199999999</v>
      </c>
    </row>
    <row r="100" spans="1:16">
      <c r="A100" s="27">
        <v>98</v>
      </c>
      <c r="B100" s="227" t="s">
        <v>425</v>
      </c>
      <c r="C100" s="240" t="s">
        <v>29</v>
      </c>
      <c r="D100" s="254">
        <v>2554180</v>
      </c>
      <c r="E100" s="280">
        <v>5440885</v>
      </c>
      <c r="F100" s="239">
        <v>730.85</v>
      </c>
      <c r="G100" s="232">
        <f t="shared" si="12"/>
        <v>53.936730000000004</v>
      </c>
      <c r="H100" s="239">
        <v>61.1</v>
      </c>
      <c r="I100" s="235">
        <f t="shared" si="13"/>
        <v>615.81326999999999</v>
      </c>
      <c r="J100" s="257" t="s">
        <v>16</v>
      </c>
      <c r="K100" s="239" t="s">
        <v>332</v>
      </c>
      <c r="L100" s="235">
        <f t="shared" si="11"/>
        <v>92.371990499999995</v>
      </c>
      <c r="M100" s="235">
        <f t="shared" si="7"/>
        <v>24.632530800000001</v>
      </c>
      <c r="N100" s="236">
        <f t="shared" si="8"/>
        <v>12.316265400000001</v>
      </c>
      <c r="O100" s="236">
        <f t="shared" si="9"/>
        <v>12.316265400000001</v>
      </c>
      <c r="P100" s="232">
        <f t="shared" si="10"/>
        <v>43.1069289</v>
      </c>
    </row>
    <row r="101" spans="1:16">
      <c r="A101" s="27">
        <v>99</v>
      </c>
      <c r="B101" s="227" t="s">
        <v>426</v>
      </c>
      <c r="C101" s="240" t="s">
        <v>300</v>
      </c>
      <c r="D101" s="254">
        <v>1003110311397</v>
      </c>
      <c r="E101" s="280">
        <v>5453266</v>
      </c>
      <c r="F101" s="239">
        <v>541.38</v>
      </c>
      <c r="G101" s="232">
        <f t="shared" si="12"/>
        <v>39.953844000000004</v>
      </c>
      <c r="H101" s="239">
        <v>66.77</v>
      </c>
      <c r="I101" s="235">
        <f t="shared" si="13"/>
        <v>434.65615600000001</v>
      </c>
      <c r="J101" s="257" t="s">
        <v>16</v>
      </c>
      <c r="K101" s="239" t="s">
        <v>14</v>
      </c>
      <c r="L101" s="235">
        <f t="shared" si="11"/>
        <v>65.198423399999996</v>
      </c>
      <c r="M101" s="235">
        <f t="shared" si="7"/>
        <v>17.386246240000002</v>
      </c>
      <c r="N101" s="236">
        <f t="shared" si="8"/>
        <v>8.693123120000001</v>
      </c>
      <c r="O101" s="236">
        <f t="shared" si="9"/>
        <v>8.693123120000001</v>
      </c>
      <c r="P101" s="232">
        <f t="shared" si="10"/>
        <v>30.425930919999985</v>
      </c>
    </row>
    <row r="102" spans="1:16">
      <c r="A102" s="27">
        <v>100</v>
      </c>
      <c r="B102" s="227" t="s">
        <v>427</v>
      </c>
      <c r="C102" s="240" t="s">
        <v>300</v>
      </c>
      <c r="D102" s="254">
        <v>2547605</v>
      </c>
      <c r="E102" s="280">
        <v>5457147</v>
      </c>
      <c r="F102" s="239">
        <v>481.61</v>
      </c>
      <c r="G102" s="232">
        <f t="shared" si="12"/>
        <v>35.542818000000004</v>
      </c>
      <c r="H102" s="239">
        <v>42.25</v>
      </c>
      <c r="I102" s="235">
        <f t="shared" si="13"/>
        <v>403.817182</v>
      </c>
      <c r="J102" s="257" t="s">
        <v>16</v>
      </c>
      <c r="K102" s="239" t="s">
        <v>158</v>
      </c>
      <c r="L102" s="235">
        <f t="shared" si="11"/>
        <v>60.572577299999999</v>
      </c>
      <c r="M102" s="235">
        <f t="shared" si="7"/>
        <v>16.152687280000002</v>
      </c>
      <c r="N102" s="236">
        <f t="shared" si="8"/>
        <v>8.076343640000001</v>
      </c>
      <c r="O102" s="236">
        <f t="shared" si="9"/>
        <v>8.076343640000001</v>
      </c>
      <c r="P102" s="232">
        <f t="shared" si="10"/>
        <v>28.267202739999991</v>
      </c>
    </row>
    <row r="103" spans="1:16">
      <c r="A103" s="27">
        <v>101</v>
      </c>
      <c r="B103" s="339" t="s">
        <v>428</v>
      </c>
      <c r="C103" s="327" t="s">
        <v>173</v>
      </c>
      <c r="D103" s="400">
        <v>1003110310857</v>
      </c>
      <c r="E103" s="401">
        <v>5458663</v>
      </c>
      <c r="F103" s="294">
        <v>550.83000000000004</v>
      </c>
      <c r="G103" s="294">
        <f t="shared" si="12"/>
        <v>40.651254000000009</v>
      </c>
      <c r="H103" s="294">
        <v>59.19</v>
      </c>
      <c r="I103" s="293">
        <f t="shared" si="13"/>
        <v>450.98874600000005</v>
      </c>
      <c r="J103" s="329" t="s">
        <v>16</v>
      </c>
      <c r="K103" s="294" t="s">
        <v>17</v>
      </c>
      <c r="L103" s="293">
        <f t="shared" si="11"/>
        <v>67.64831190000001</v>
      </c>
      <c r="M103" s="293">
        <f t="shared" si="7"/>
        <v>18.039549840000003</v>
      </c>
      <c r="N103" s="296">
        <f t="shared" si="8"/>
        <v>9.0197749200000015</v>
      </c>
      <c r="O103" s="296">
        <f t="shared" si="9"/>
        <v>9.0197749200000015</v>
      </c>
      <c r="P103" s="294">
        <f t="shared" si="10"/>
        <v>31.569212219999997</v>
      </c>
    </row>
    <row r="104" spans="1:16">
      <c r="A104" s="27">
        <v>102</v>
      </c>
      <c r="B104" s="227" t="s">
        <v>429</v>
      </c>
      <c r="C104" s="240" t="s">
        <v>29</v>
      </c>
      <c r="D104" s="254">
        <v>2552200</v>
      </c>
      <c r="E104" s="280">
        <v>5458086</v>
      </c>
      <c r="F104" s="239">
        <v>559.41</v>
      </c>
      <c r="G104" s="232">
        <f t="shared" si="12"/>
        <v>41.284458000000001</v>
      </c>
      <c r="H104" s="239">
        <v>58.89</v>
      </c>
      <c r="I104" s="235">
        <f t="shared" si="13"/>
        <v>459.23554200000001</v>
      </c>
      <c r="J104" s="257" t="s">
        <v>16</v>
      </c>
      <c r="K104" s="239" t="s">
        <v>17</v>
      </c>
      <c r="L104" s="235">
        <f t="shared" si="11"/>
        <v>68.885331300000004</v>
      </c>
      <c r="M104" s="235">
        <f t="shared" si="7"/>
        <v>18.369421680000002</v>
      </c>
      <c r="N104" s="236">
        <f t="shared" si="8"/>
        <v>9.184710840000001</v>
      </c>
      <c r="O104" s="236">
        <f t="shared" si="9"/>
        <v>9.184710840000001</v>
      </c>
      <c r="P104" s="232">
        <f t="shared" si="10"/>
        <v>32.14648794</v>
      </c>
    </row>
    <row r="105" spans="1:16">
      <c r="A105" s="27">
        <v>103</v>
      </c>
      <c r="B105" s="227" t="s">
        <v>430</v>
      </c>
      <c r="C105" s="240" t="s">
        <v>300</v>
      </c>
      <c r="D105" s="254">
        <v>10031103106490</v>
      </c>
      <c r="E105" s="280">
        <v>5463079</v>
      </c>
      <c r="F105" s="239">
        <v>504.71</v>
      </c>
      <c r="G105" s="232">
        <f t="shared" si="12"/>
        <v>37.247598000000004</v>
      </c>
      <c r="H105" s="239">
        <v>54.23</v>
      </c>
      <c r="I105" s="235">
        <f t="shared" si="13"/>
        <v>413.23240199999998</v>
      </c>
      <c r="J105" s="257" t="s">
        <v>13</v>
      </c>
      <c r="K105" s="239" t="s">
        <v>158</v>
      </c>
      <c r="L105" s="235">
        <f t="shared" si="11"/>
        <v>61.984860299999994</v>
      </c>
      <c r="M105" s="235">
        <f t="shared" si="7"/>
        <v>16.529296079999998</v>
      </c>
      <c r="N105" s="236">
        <f t="shared" si="8"/>
        <v>8.2646480399999991</v>
      </c>
      <c r="O105" s="236">
        <f t="shared" si="9"/>
        <v>8.2646480399999991</v>
      </c>
      <c r="P105" s="232">
        <f t="shared" si="10"/>
        <v>28.926268140000005</v>
      </c>
    </row>
    <row r="106" spans="1:16">
      <c r="A106" s="27">
        <v>104</v>
      </c>
      <c r="B106" s="339" t="s">
        <v>431</v>
      </c>
      <c r="C106" s="327" t="s">
        <v>173</v>
      </c>
      <c r="D106" s="400">
        <v>1003110315966</v>
      </c>
      <c r="E106" s="401">
        <v>5424659</v>
      </c>
      <c r="F106" s="294">
        <v>696.17</v>
      </c>
      <c r="G106" s="294">
        <f t="shared" si="12"/>
        <v>51.377346000000003</v>
      </c>
      <c r="H106" s="294">
        <v>74.81</v>
      </c>
      <c r="I106" s="293">
        <f t="shared" si="13"/>
        <v>569.98265399999991</v>
      </c>
      <c r="J106" s="329" t="s">
        <v>13</v>
      </c>
      <c r="K106" s="294" t="s">
        <v>158</v>
      </c>
      <c r="L106" s="293">
        <f t="shared" si="11"/>
        <v>85.497398099999984</v>
      </c>
      <c r="M106" s="293">
        <f t="shared" si="7"/>
        <v>22.799306159999997</v>
      </c>
      <c r="N106" s="296">
        <f t="shared" si="8"/>
        <v>11.399653079999998</v>
      </c>
      <c r="O106" s="296">
        <f t="shared" si="9"/>
        <v>11.399653079999998</v>
      </c>
      <c r="P106" s="294">
        <f t="shared" si="10"/>
        <v>39.898785779999983</v>
      </c>
    </row>
    <row r="107" spans="1:16">
      <c r="A107" s="27">
        <v>105</v>
      </c>
      <c r="B107" s="227" t="s">
        <v>432</v>
      </c>
      <c r="C107" s="240" t="s">
        <v>300</v>
      </c>
      <c r="D107" s="254">
        <v>619128</v>
      </c>
      <c r="E107" s="280">
        <v>5461253</v>
      </c>
      <c r="F107" s="239">
        <v>429.03</v>
      </c>
      <c r="G107" s="232">
        <f t="shared" si="12"/>
        <v>31.662413999999998</v>
      </c>
      <c r="H107" s="239">
        <v>0</v>
      </c>
      <c r="I107" s="235">
        <f t="shared" si="13"/>
        <v>397.36758599999996</v>
      </c>
      <c r="J107" s="257" t="s">
        <v>16</v>
      </c>
      <c r="K107" s="239" t="s">
        <v>211</v>
      </c>
      <c r="L107" s="235">
        <f t="shared" si="11"/>
        <v>59.605137899999988</v>
      </c>
      <c r="M107" s="235">
        <f t="shared" si="7"/>
        <v>15.894703439999999</v>
      </c>
      <c r="N107" s="236">
        <f t="shared" si="8"/>
        <v>7.9473517199999995</v>
      </c>
      <c r="O107" s="236">
        <f t="shared" si="9"/>
        <v>7.9473517199999995</v>
      </c>
      <c r="P107" s="232">
        <f t="shared" si="10"/>
        <v>27.815731019999987</v>
      </c>
    </row>
    <row r="108" spans="1:16">
      <c r="A108" s="27">
        <v>106</v>
      </c>
      <c r="B108" s="227" t="s">
        <v>433</v>
      </c>
      <c r="C108" s="240" t="s">
        <v>434</v>
      </c>
      <c r="D108" s="254">
        <v>1003110315221</v>
      </c>
      <c r="E108" s="280" t="s">
        <v>435</v>
      </c>
      <c r="F108" s="239">
        <v>498.37</v>
      </c>
      <c r="G108" s="232">
        <f t="shared" si="12"/>
        <v>36.779706000000004</v>
      </c>
      <c r="H108" s="239">
        <v>53.55</v>
      </c>
      <c r="I108" s="235">
        <f t="shared" si="13"/>
        <v>408.04029399999996</v>
      </c>
      <c r="J108" s="257" t="s">
        <v>16</v>
      </c>
      <c r="K108" s="239" t="s">
        <v>332</v>
      </c>
      <c r="L108" s="235">
        <f t="shared" si="11"/>
        <v>61.206044099999993</v>
      </c>
      <c r="M108" s="235">
        <f t="shared" si="7"/>
        <v>16.32161176</v>
      </c>
      <c r="N108" s="236">
        <f t="shared" si="8"/>
        <v>8.1608058799999998</v>
      </c>
      <c r="O108" s="236">
        <f t="shared" si="9"/>
        <v>8.1608058799999998</v>
      </c>
      <c r="P108" s="232">
        <f t="shared" si="10"/>
        <v>28.562820579999993</v>
      </c>
    </row>
    <row r="109" spans="1:16">
      <c r="A109" s="27">
        <v>107</v>
      </c>
      <c r="B109" s="227" t="s">
        <v>436</v>
      </c>
      <c r="C109" s="240" t="s">
        <v>234</v>
      </c>
      <c r="D109" s="254">
        <v>1003110312201</v>
      </c>
      <c r="E109" s="280" t="s">
        <v>437</v>
      </c>
      <c r="F109" s="239">
        <v>506.64</v>
      </c>
      <c r="G109" s="232">
        <f t="shared" si="12"/>
        <v>37.390031999999998</v>
      </c>
      <c r="H109" s="239">
        <v>60.28</v>
      </c>
      <c r="I109" s="235">
        <f t="shared" si="13"/>
        <v>408.96996799999999</v>
      </c>
      <c r="J109" s="257" t="s">
        <v>13</v>
      </c>
      <c r="K109" s="239" t="s">
        <v>17</v>
      </c>
      <c r="L109" s="235">
        <f t="shared" si="11"/>
        <v>61.345495199999995</v>
      </c>
      <c r="M109" s="235">
        <f t="shared" si="7"/>
        <v>16.358798719999999</v>
      </c>
      <c r="N109" s="236">
        <f t="shared" si="8"/>
        <v>8.1793993599999997</v>
      </c>
      <c r="O109" s="236">
        <f t="shared" si="9"/>
        <v>8.1793993599999997</v>
      </c>
      <c r="P109" s="232">
        <f t="shared" si="10"/>
        <v>28.627897759999996</v>
      </c>
    </row>
    <row r="110" spans="1:16">
      <c r="A110" s="27">
        <v>108</v>
      </c>
      <c r="B110" s="227" t="s">
        <v>438</v>
      </c>
      <c r="C110" s="240" t="s">
        <v>300</v>
      </c>
      <c r="D110" s="254">
        <v>1003110313857</v>
      </c>
      <c r="E110" s="280">
        <v>5461839</v>
      </c>
      <c r="F110" s="239">
        <v>526.41999999999996</v>
      </c>
      <c r="G110" s="232">
        <f t="shared" si="12"/>
        <v>38.849795999999998</v>
      </c>
      <c r="H110" s="239">
        <v>175.47</v>
      </c>
      <c r="I110" s="235">
        <f t="shared" si="13"/>
        <v>312.10020399999996</v>
      </c>
      <c r="J110" s="257" t="s">
        <v>13</v>
      </c>
      <c r="K110" s="239" t="s">
        <v>17</v>
      </c>
      <c r="L110" s="235">
        <f t="shared" si="11"/>
        <v>46.815030599999993</v>
      </c>
      <c r="M110" s="235">
        <f t="shared" si="7"/>
        <v>12.484008159999998</v>
      </c>
      <c r="N110" s="236">
        <f t="shared" si="8"/>
        <v>6.2420040799999992</v>
      </c>
      <c r="O110" s="236">
        <f t="shared" si="9"/>
        <v>6.2420040799999992</v>
      </c>
      <c r="P110" s="232">
        <f t="shared" si="10"/>
        <v>21.847014279999996</v>
      </c>
    </row>
    <row r="111" spans="1:16">
      <c r="A111" s="27">
        <v>109</v>
      </c>
      <c r="B111" s="227" t="s">
        <v>439</v>
      </c>
      <c r="C111" s="240" t="s">
        <v>300</v>
      </c>
      <c r="D111" s="254">
        <v>51772025423106</v>
      </c>
      <c r="E111" s="280">
        <v>5457628</v>
      </c>
      <c r="F111" s="239">
        <v>434.44</v>
      </c>
      <c r="G111" s="232">
        <f t="shared" si="12"/>
        <v>32.061672000000002</v>
      </c>
      <c r="H111" s="239">
        <v>108.61</v>
      </c>
      <c r="I111" s="235">
        <f t="shared" si="13"/>
        <v>293.768328</v>
      </c>
      <c r="J111" s="257" t="s">
        <v>16</v>
      </c>
      <c r="K111" s="239" t="s">
        <v>17</v>
      </c>
      <c r="L111" s="235">
        <f t="shared" si="11"/>
        <v>44.065249199999997</v>
      </c>
      <c r="M111" s="235">
        <f t="shared" si="7"/>
        <v>11.75073312</v>
      </c>
      <c r="N111" s="236">
        <f t="shared" si="8"/>
        <v>5.8753665599999998</v>
      </c>
      <c r="O111" s="236">
        <f t="shared" si="9"/>
        <v>5.8753665599999998</v>
      </c>
      <c r="P111" s="232">
        <f t="shared" si="10"/>
        <v>20.563782959999998</v>
      </c>
    </row>
    <row r="112" spans="1:16">
      <c r="A112" s="27">
        <v>110</v>
      </c>
      <c r="B112" s="339" t="s">
        <v>440</v>
      </c>
      <c r="C112" s="327" t="s">
        <v>12</v>
      </c>
      <c r="D112" s="400">
        <v>1003110312944</v>
      </c>
      <c r="E112" s="401">
        <v>5461084</v>
      </c>
      <c r="F112" s="294">
        <v>649.28</v>
      </c>
      <c r="G112" s="294">
        <f t="shared" si="12"/>
        <v>47.916864000000004</v>
      </c>
      <c r="H112" s="294">
        <v>69.77</v>
      </c>
      <c r="I112" s="293">
        <f t="shared" si="13"/>
        <v>531.59313599999996</v>
      </c>
      <c r="J112" s="329" t="s">
        <v>13</v>
      </c>
      <c r="K112" s="294" t="s">
        <v>14</v>
      </c>
      <c r="L112" s="293">
        <f t="shared" si="11"/>
        <v>79.738970399999985</v>
      </c>
      <c r="M112" s="293">
        <f t="shared" si="7"/>
        <v>21.263725439999998</v>
      </c>
      <c r="N112" s="296">
        <f t="shared" si="8"/>
        <v>10.631862719999999</v>
      </c>
      <c r="O112" s="296">
        <f t="shared" si="9"/>
        <v>10.631862719999999</v>
      </c>
      <c r="P112" s="294">
        <f t="shared" si="10"/>
        <v>37.211519519999982</v>
      </c>
    </row>
    <row r="113" spans="1:16">
      <c r="A113" s="27">
        <v>111</v>
      </c>
      <c r="B113" s="227" t="s">
        <v>441</v>
      </c>
      <c r="C113" s="240" t="s">
        <v>12</v>
      </c>
      <c r="D113" s="254">
        <v>2550940</v>
      </c>
      <c r="E113" s="280">
        <v>5462626</v>
      </c>
      <c r="F113" s="239">
        <v>1007.15</v>
      </c>
      <c r="G113" s="232">
        <f t="shared" si="12"/>
        <v>74.327669999999998</v>
      </c>
      <c r="H113" s="239">
        <v>88.35</v>
      </c>
      <c r="I113" s="235">
        <f t="shared" si="13"/>
        <v>844.47232999999994</v>
      </c>
      <c r="J113" s="257" t="s">
        <v>16</v>
      </c>
      <c r="K113" s="239" t="s">
        <v>211</v>
      </c>
      <c r="L113" s="235">
        <f t="shared" si="11"/>
        <v>126.67084949999999</v>
      </c>
      <c r="M113" s="235">
        <f t="shared" si="7"/>
        <v>33.778893199999999</v>
      </c>
      <c r="N113" s="236">
        <f t="shared" si="8"/>
        <v>16.889446599999999</v>
      </c>
      <c r="O113" s="236">
        <f t="shared" si="9"/>
        <v>16.889446599999999</v>
      </c>
      <c r="P113" s="232">
        <f t="shared" si="10"/>
        <v>59.113063099999991</v>
      </c>
    </row>
    <row r="114" spans="1:16">
      <c r="A114" s="27">
        <v>112</v>
      </c>
      <c r="B114" s="227" t="s">
        <v>442</v>
      </c>
      <c r="C114" s="240" t="s">
        <v>300</v>
      </c>
      <c r="D114" s="254">
        <v>51772025423</v>
      </c>
      <c r="E114" s="280">
        <v>5464476</v>
      </c>
      <c r="F114" s="239">
        <v>451.57</v>
      </c>
      <c r="G114" s="232">
        <f t="shared" si="12"/>
        <v>33.325866000000005</v>
      </c>
      <c r="H114" s="239">
        <v>55.7</v>
      </c>
      <c r="I114" s="235">
        <f t="shared" si="13"/>
        <v>362.54413399999999</v>
      </c>
      <c r="J114" s="257" t="s">
        <v>13</v>
      </c>
      <c r="K114" s="239" t="s">
        <v>17</v>
      </c>
      <c r="L114" s="235">
        <f t="shared" si="11"/>
        <v>54.381620099999999</v>
      </c>
      <c r="M114" s="235">
        <f t="shared" si="7"/>
        <v>14.50176536</v>
      </c>
      <c r="N114" s="236">
        <f t="shared" si="8"/>
        <v>7.2508826800000001</v>
      </c>
      <c r="O114" s="236">
        <f t="shared" si="9"/>
        <v>7.2508826800000001</v>
      </c>
      <c r="P114" s="232">
        <f t="shared" si="10"/>
        <v>25.378089379999995</v>
      </c>
    </row>
    <row r="115" spans="1:16">
      <c r="A115" s="27">
        <v>113</v>
      </c>
      <c r="B115" s="227" t="s">
        <v>443</v>
      </c>
      <c r="C115" s="240" t="s">
        <v>52</v>
      </c>
      <c r="D115" s="254">
        <v>2557260</v>
      </c>
      <c r="E115" s="280">
        <v>5415158</v>
      </c>
      <c r="F115" s="239">
        <v>482.35</v>
      </c>
      <c r="G115" s="232">
        <f t="shared" si="12"/>
        <v>35.597430000000003</v>
      </c>
      <c r="H115" s="239">
        <v>101.55</v>
      </c>
      <c r="I115" s="235">
        <f t="shared" si="13"/>
        <v>345.20256999999998</v>
      </c>
      <c r="J115" s="257" t="s">
        <v>16</v>
      </c>
      <c r="K115" s="239" t="s">
        <v>17</v>
      </c>
      <c r="L115" s="235">
        <f t="shared" si="11"/>
        <v>51.780385499999994</v>
      </c>
      <c r="M115" s="235">
        <f t="shared" si="7"/>
        <v>13.8081028</v>
      </c>
      <c r="N115" s="236">
        <f t="shared" si="8"/>
        <v>6.9040514000000002</v>
      </c>
      <c r="O115" s="236">
        <f t="shared" si="9"/>
        <v>6.9040514000000002</v>
      </c>
      <c r="P115" s="232">
        <f t="shared" si="10"/>
        <v>24.164179899999993</v>
      </c>
    </row>
    <row r="116" spans="1:16">
      <c r="A116" s="27">
        <v>114</v>
      </c>
      <c r="B116" s="339" t="s">
        <v>444</v>
      </c>
      <c r="C116" s="327" t="s">
        <v>300</v>
      </c>
      <c r="D116" s="400">
        <v>1003110317700</v>
      </c>
      <c r="E116" s="401">
        <v>5463867</v>
      </c>
      <c r="F116" s="294">
        <v>537.36</v>
      </c>
      <c r="G116" s="294">
        <f t="shared" si="12"/>
        <v>39.657168000000006</v>
      </c>
      <c r="H116" s="294">
        <v>179.12</v>
      </c>
      <c r="I116" s="293">
        <f t="shared" si="13"/>
        <v>318.582832</v>
      </c>
      <c r="J116" s="329" t="s">
        <v>13</v>
      </c>
      <c r="K116" s="294" t="s">
        <v>321</v>
      </c>
      <c r="L116" s="293">
        <f t="shared" si="11"/>
        <v>47.787424799999997</v>
      </c>
      <c r="M116" s="293">
        <f t="shared" si="7"/>
        <v>12.743313280000001</v>
      </c>
      <c r="N116" s="296">
        <f t="shared" si="8"/>
        <v>6.3716566400000003</v>
      </c>
      <c r="O116" s="296">
        <f t="shared" si="9"/>
        <v>6.3716566400000003</v>
      </c>
      <c r="P116" s="294">
        <f t="shared" si="10"/>
        <v>22.300798239999992</v>
      </c>
    </row>
    <row r="117" spans="1:16">
      <c r="A117" s="27">
        <v>115</v>
      </c>
      <c r="B117" s="227" t="s">
        <v>445</v>
      </c>
      <c r="C117" s="240" t="s">
        <v>300</v>
      </c>
      <c r="D117" s="254">
        <v>1003110321989</v>
      </c>
      <c r="E117" s="280" t="s">
        <v>446</v>
      </c>
      <c r="F117" s="239">
        <v>477.42</v>
      </c>
      <c r="G117" s="232">
        <f t="shared" si="12"/>
        <v>35.233596000000006</v>
      </c>
      <c r="H117" s="239">
        <v>58.88</v>
      </c>
      <c r="I117" s="235">
        <f t="shared" si="13"/>
        <v>383.30640400000004</v>
      </c>
      <c r="J117" s="257" t="s">
        <v>13</v>
      </c>
      <c r="K117" s="239" t="s">
        <v>158</v>
      </c>
      <c r="L117" s="235">
        <f t="shared" si="11"/>
        <v>57.495960600000004</v>
      </c>
      <c r="M117" s="235">
        <f t="shared" si="7"/>
        <v>15.332256160000002</v>
      </c>
      <c r="N117" s="236">
        <f t="shared" si="8"/>
        <v>7.6661280800000009</v>
      </c>
      <c r="O117" s="236">
        <f t="shared" si="9"/>
        <v>7.6661280800000009</v>
      </c>
      <c r="P117" s="232">
        <f t="shared" si="10"/>
        <v>26.831448280000004</v>
      </c>
    </row>
    <row r="118" spans="1:16">
      <c r="A118" s="27">
        <v>116</v>
      </c>
      <c r="B118" s="227" t="s">
        <v>447</v>
      </c>
      <c r="C118" s="240" t="s">
        <v>29</v>
      </c>
      <c r="D118" s="254">
        <v>1003110321488</v>
      </c>
      <c r="E118" s="280">
        <v>5455765</v>
      </c>
      <c r="F118" s="239">
        <v>725.67</v>
      </c>
      <c r="G118" s="232">
        <f t="shared" si="12"/>
        <v>53.554445999999999</v>
      </c>
      <c r="H118" s="239">
        <v>241.89</v>
      </c>
      <c r="I118" s="235">
        <f t="shared" si="13"/>
        <v>430.22555399999999</v>
      </c>
      <c r="J118" s="257" t="s">
        <v>13</v>
      </c>
      <c r="K118" s="239" t="s">
        <v>17</v>
      </c>
      <c r="L118" s="235">
        <f t="shared" si="11"/>
        <v>64.533833099999995</v>
      </c>
      <c r="M118" s="235">
        <f t="shared" si="7"/>
        <v>17.20902216</v>
      </c>
      <c r="N118" s="236">
        <f t="shared" si="8"/>
        <v>8.60451108</v>
      </c>
      <c r="O118" s="236">
        <f t="shared" si="9"/>
        <v>8.60451108</v>
      </c>
      <c r="P118" s="232">
        <f t="shared" si="10"/>
        <v>30.115788779999988</v>
      </c>
    </row>
    <row r="119" spans="1:16">
      <c r="A119" s="27">
        <v>117</v>
      </c>
      <c r="B119" s="227" t="s">
        <v>448</v>
      </c>
      <c r="C119" s="240" t="s">
        <v>300</v>
      </c>
      <c r="D119" s="254">
        <v>1003110280391</v>
      </c>
      <c r="E119" s="280">
        <v>5439829</v>
      </c>
      <c r="F119" s="239">
        <v>544.89</v>
      </c>
      <c r="G119" s="232">
        <f t="shared" si="12"/>
        <v>40.212882</v>
      </c>
      <c r="H119" s="239">
        <v>143.4</v>
      </c>
      <c r="I119" s="235">
        <f t="shared" si="13"/>
        <v>361.27711799999997</v>
      </c>
      <c r="J119" s="257" t="s">
        <v>16</v>
      </c>
      <c r="K119" s="239" t="s">
        <v>17</v>
      </c>
      <c r="L119" s="235">
        <f t="shared" si="11"/>
        <v>54.191567699999993</v>
      </c>
      <c r="M119" s="235">
        <f t="shared" si="7"/>
        <v>14.451084719999999</v>
      </c>
      <c r="N119" s="236">
        <f t="shared" si="8"/>
        <v>7.2255423599999995</v>
      </c>
      <c r="O119" s="236">
        <f t="shared" si="9"/>
        <v>7.2255423599999995</v>
      </c>
      <c r="P119" s="232">
        <f t="shared" si="10"/>
        <v>25.289398259999999</v>
      </c>
    </row>
    <row r="120" spans="1:16">
      <c r="A120" s="27">
        <v>118</v>
      </c>
      <c r="B120" s="227" t="s">
        <v>449</v>
      </c>
      <c r="C120" s="240" t="s">
        <v>234</v>
      </c>
      <c r="D120" s="254">
        <v>1003110318813</v>
      </c>
      <c r="E120" s="280">
        <v>5459599</v>
      </c>
      <c r="F120" s="239">
        <v>600.1</v>
      </c>
      <c r="G120" s="232">
        <f t="shared" si="12"/>
        <v>44.287380000000006</v>
      </c>
      <c r="H120" s="239">
        <v>158.52000000000001</v>
      </c>
      <c r="I120" s="235">
        <f t="shared" si="13"/>
        <v>397.29262000000006</v>
      </c>
      <c r="J120" s="257" t="s">
        <v>13</v>
      </c>
      <c r="K120" s="239" t="s">
        <v>158</v>
      </c>
      <c r="L120" s="235">
        <f t="shared" si="11"/>
        <v>59.593893000000008</v>
      </c>
      <c r="M120" s="235">
        <f t="shared" si="7"/>
        <v>15.891704800000003</v>
      </c>
      <c r="N120" s="236">
        <f t="shared" si="8"/>
        <v>7.9458524000000015</v>
      </c>
      <c r="O120" s="236">
        <f t="shared" si="9"/>
        <v>7.9458524000000015</v>
      </c>
      <c r="P120" s="232">
        <f t="shared" si="10"/>
        <v>27.81048340000001</v>
      </c>
    </row>
    <row r="121" spans="1:16">
      <c r="A121" s="27">
        <v>119</v>
      </c>
      <c r="B121" s="227" t="s">
        <v>450</v>
      </c>
      <c r="C121" s="240" t="s">
        <v>300</v>
      </c>
      <c r="D121" s="254">
        <v>1003110317842</v>
      </c>
      <c r="E121" s="280" t="s">
        <v>451</v>
      </c>
      <c r="F121" s="239">
        <v>469.69</v>
      </c>
      <c r="G121" s="232">
        <f t="shared" si="12"/>
        <v>34.663122000000001</v>
      </c>
      <c r="H121" s="239">
        <v>0</v>
      </c>
      <c r="I121" s="235">
        <f t="shared" si="13"/>
        <v>435.02687800000001</v>
      </c>
      <c r="J121" s="257" t="s">
        <v>13</v>
      </c>
      <c r="K121" s="239" t="s">
        <v>158</v>
      </c>
      <c r="L121" s="232">
        <f t="shared" si="11"/>
        <v>65.254031699999999</v>
      </c>
      <c r="M121" s="235">
        <f t="shared" si="7"/>
        <v>17.401075120000002</v>
      </c>
      <c r="N121" s="236">
        <f t="shared" si="8"/>
        <v>8.7005375600000008</v>
      </c>
      <c r="O121" s="236">
        <f t="shared" si="9"/>
        <v>8.7005375600000008</v>
      </c>
      <c r="P121" s="232">
        <f t="shared" si="10"/>
        <v>30.451881459999996</v>
      </c>
    </row>
    <row r="122" spans="1:16">
      <c r="A122" s="27">
        <v>120</v>
      </c>
      <c r="B122" s="227" t="s">
        <v>452</v>
      </c>
      <c r="C122" s="240" t="s">
        <v>300</v>
      </c>
      <c r="D122" s="254">
        <v>3508806</v>
      </c>
      <c r="E122" s="280">
        <v>5467615</v>
      </c>
      <c r="F122" s="239">
        <v>407.35</v>
      </c>
      <c r="G122" s="232">
        <f t="shared" si="12"/>
        <v>30.062430000000003</v>
      </c>
      <c r="H122" s="239">
        <v>40.71</v>
      </c>
      <c r="I122" s="235">
        <f t="shared" si="13"/>
        <v>336.57757000000004</v>
      </c>
      <c r="J122" s="257" t="s">
        <v>16</v>
      </c>
      <c r="K122" s="239" t="s">
        <v>211</v>
      </c>
      <c r="L122" s="232">
        <f t="shared" si="11"/>
        <v>50.486635500000006</v>
      </c>
      <c r="M122" s="235">
        <f t="shared" si="7"/>
        <v>13.463102800000001</v>
      </c>
      <c r="N122" s="236">
        <f t="shared" si="8"/>
        <v>6.7315514000000007</v>
      </c>
      <c r="O122" s="236">
        <f t="shared" si="9"/>
        <v>6.7315514000000007</v>
      </c>
      <c r="P122" s="232">
        <f t="shared" si="10"/>
        <v>23.560429900000003</v>
      </c>
    </row>
    <row r="123" spans="1:16">
      <c r="A123" s="27">
        <v>121</v>
      </c>
      <c r="B123" s="227" t="s">
        <v>453</v>
      </c>
      <c r="C123" s="240" t="s">
        <v>300</v>
      </c>
      <c r="D123" s="254">
        <v>1003110323292</v>
      </c>
      <c r="E123" s="280">
        <v>5467320</v>
      </c>
      <c r="F123" s="239">
        <v>532.70000000000005</v>
      </c>
      <c r="G123" s="232">
        <f t="shared" si="12"/>
        <v>39.313260000000007</v>
      </c>
      <c r="H123" s="239">
        <v>140.72</v>
      </c>
      <c r="I123" s="235">
        <f t="shared" si="13"/>
        <v>352.66674</v>
      </c>
      <c r="J123" s="257" t="s">
        <v>13</v>
      </c>
      <c r="K123" s="239" t="s">
        <v>211</v>
      </c>
      <c r="L123" s="232">
        <f t="shared" si="11"/>
        <v>52.900010999999999</v>
      </c>
      <c r="M123" s="235">
        <f t="shared" si="7"/>
        <v>14.1066696</v>
      </c>
      <c r="N123" s="236">
        <f t="shared" si="8"/>
        <v>7.0533348</v>
      </c>
      <c r="O123" s="236">
        <f t="shared" si="9"/>
        <v>7.0533348</v>
      </c>
      <c r="P123" s="232">
        <f t="shared" si="10"/>
        <v>24.686671799999999</v>
      </c>
    </row>
    <row r="124" spans="1:16">
      <c r="A124" s="27">
        <v>122</v>
      </c>
      <c r="B124" s="339" t="s">
        <v>454</v>
      </c>
      <c r="C124" s="327" t="s">
        <v>173</v>
      </c>
      <c r="D124" s="400">
        <v>1003110323301</v>
      </c>
      <c r="E124" s="401">
        <v>5467245</v>
      </c>
      <c r="F124" s="294">
        <v>641.57000000000005</v>
      </c>
      <c r="G124" s="294">
        <f t="shared" si="12"/>
        <v>47.347866000000003</v>
      </c>
      <c r="H124" s="294">
        <v>68.94</v>
      </c>
      <c r="I124" s="293">
        <f t="shared" si="13"/>
        <v>525.28213400000004</v>
      </c>
      <c r="J124" s="329" t="s">
        <v>13</v>
      </c>
      <c r="K124" s="294" t="s">
        <v>14</v>
      </c>
      <c r="L124" s="294">
        <f t="shared" si="11"/>
        <v>78.792320099999998</v>
      </c>
      <c r="M124" s="293">
        <f t="shared" si="7"/>
        <v>21.011285360000002</v>
      </c>
      <c r="N124" s="296">
        <f t="shared" si="8"/>
        <v>10.505642680000001</v>
      </c>
      <c r="O124" s="296">
        <f t="shared" si="9"/>
        <v>10.505642680000001</v>
      </c>
      <c r="P124" s="294">
        <f t="shared" si="10"/>
        <v>36.769749379999993</v>
      </c>
    </row>
    <row r="125" spans="1:16">
      <c r="A125" s="27">
        <v>123</v>
      </c>
      <c r="B125" s="384" t="s">
        <v>455</v>
      </c>
      <c r="C125" s="380" t="s">
        <v>234</v>
      </c>
      <c r="D125" s="379">
        <v>1003110431337</v>
      </c>
      <c r="E125" s="379">
        <v>5465678</v>
      </c>
      <c r="F125" s="239">
        <v>593.9</v>
      </c>
      <c r="G125" s="232">
        <f t="shared" si="12"/>
        <v>43.829819999999998</v>
      </c>
      <c r="H125" s="239">
        <v>156.88</v>
      </c>
      <c r="I125" s="235">
        <f t="shared" si="13"/>
        <v>393.19017999999994</v>
      </c>
      <c r="J125" s="257" t="s">
        <v>13</v>
      </c>
      <c r="K125" s="239" t="s">
        <v>158</v>
      </c>
      <c r="L125" s="232">
        <f t="shared" si="11"/>
        <v>58.978526999999985</v>
      </c>
      <c r="M125" s="235">
        <f t="shared" si="7"/>
        <v>15.727607199999998</v>
      </c>
      <c r="N125" s="236">
        <f t="shared" si="8"/>
        <v>7.8638035999999989</v>
      </c>
      <c r="O125" s="236">
        <f t="shared" si="9"/>
        <v>7.8638035999999989</v>
      </c>
      <c r="P125" s="232">
        <f t="shared" si="10"/>
        <v>27.523312599999997</v>
      </c>
    </row>
    <row r="126" spans="1:16">
      <c r="A126" s="27">
        <v>124</v>
      </c>
      <c r="B126" s="227" t="s">
        <v>456</v>
      </c>
      <c r="C126" s="240" t="s">
        <v>300</v>
      </c>
      <c r="D126" s="254">
        <v>1003110323577</v>
      </c>
      <c r="E126" s="280">
        <v>5467862</v>
      </c>
      <c r="F126" s="239">
        <v>539.22</v>
      </c>
      <c r="G126" s="232">
        <f t="shared" si="12"/>
        <v>39.794436000000005</v>
      </c>
      <c r="H126" s="239">
        <v>142.44</v>
      </c>
      <c r="I126" s="235">
        <f t="shared" si="13"/>
        <v>356.98556400000001</v>
      </c>
      <c r="J126" s="257" t="s">
        <v>13</v>
      </c>
      <c r="K126" s="239" t="s">
        <v>321</v>
      </c>
      <c r="L126" s="232">
        <f t="shared" si="11"/>
        <v>53.547834600000002</v>
      </c>
      <c r="M126" s="235">
        <f t="shared" si="7"/>
        <v>14.27942256</v>
      </c>
      <c r="N126" s="236">
        <f t="shared" si="8"/>
        <v>7.1397112800000002</v>
      </c>
      <c r="O126" s="236">
        <f t="shared" si="9"/>
        <v>7.1397112800000002</v>
      </c>
      <c r="P126" s="232">
        <f t="shared" si="10"/>
        <v>24.988989480000001</v>
      </c>
    </row>
    <row r="127" spans="1:16">
      <c r="A127" s="27">
        <v>125</v>
      </c>
      <c r="B127" s="227" t="s">
        <v>457</v>
      </c>
      <c r="C127" s="240" t="s">
        <v>300</v>
      </c>
      <c r="D127" s="254">
        <v>51772025423106</v>
      </c>
      <c r="E127" s="280" t="s">
        <v>458</v>
      </c>
      <c r="F127" s="239">
        <v>331.8</v>
      </c>
      <c r="G127" s="232">
        <f t="shared" si="12"/>
        <v>24.486840000000001</v>
      </c>
      <c r="H127" s="239">
        <v>0</v>
      </c>
      <c r="I127" s="235">
        <f t="shared" si="13"/>
        <v>307.31316000000004</v>
      </c>
      <c r="J127" s="257" t="s">
        <v>13</v>
      </c>
      <c r="K127" s="239" t="s">
        <v>362</v>
      </c>
      <c r="L127" s="232">
        <f t="shared" si="11"/>
        <v>46.096974000000003</v>
      </c>
      <c r="M127" s="235">
        <f t="shared" si="7"/>
        <v>12.292526400000002</v>
      </c>
      <c r="N127" s="236">
        <f t="shared" si="8"/>
        <v>6.1462632000000008</v>
      </c>
      <c r="O127" s="236">
        <f t="shared" si="9"/>
        <v>6.1462632000000008</v>
      </c>
      <c r="P127" s="232">
        <f t="shared" si="10"/>
        <v>21.511921200000003</v>
      </c>
    </row>
    <row r="128" spans="1:16">
      <c r="A128" s="27">
        <v>126</v>
      </c>
      <c r="B128" s="227" t="s">
        <v>459</v>
      </c>
      <c r="C128" s="240" t="s">
        <v>300</v>
      </c>
      <c r="D128" s="254">
        <v>51772025423</v>
      </c>
      <c r="E128" s="280" t="s">
        <v>460</v>
      </c>
      <c r="F128" s="239">
        <v>387.05</v>
      </c>
      <c r="G128" s="232">
        <f t="shared" si="12"/>
        <v>28.564290000000003</v>
      </c>
      <c r="H128" s="239">
        <v>38.700000000000003</v>
      </c>
      <c r="I128" s="235">
        <f t="shared" si="13"/>
        <v>319.78570999999999</v>
      </c>
      <c r="J128" s="257" t="s">
        <v>16</v>
      </c>
      <c r="K128" s="239" t="s">
        <v>211</v>
      </c>
      <c r="L128" s="232">
        <f t="shared" si="11"/>
        <v>47.967856499999996</v>
      </c>
      <c r="M128" s="235">
        <f t="shared" si="7"/>
        <v>12.791428400000001</v>
      </c>
      <c r="N128" s="236">
        <f t="shared" si="8"/>
        <v>6.3957142000000005</v>
      </c>
      <c r="O128" s="236">
        <f t="shared" si="9"/>
        <v>6.3957142000000005</v>
      </c>
      <c r="P128" s="232">
        <f t="shared" si="10"/>
        <v>22.384999699999995</v>
      </c>
    </row>
    <row r="129" spans="1:16">
      <c r="A129" s="27">
        <v>127</v>
      </c>
      <c r="B129" s="227" t="s">
        <v>461</v>
      </c>
      <c r="C129" s="240" t="s">
        <v>29</v>
      </c>
      <c r="D129" s="254">
        <v>1003110325301</v>
      </c>
      <c r="E129" s="280">
        <v>5470025</v>
      </c>
      <c r="F129" s="239">
        <v>735.24</v>
      </c>
      <c r="G129" s="232">
        <f t="shared" si="12"/>
        <v>54.260712000000005</v>
      </c>
      <c r="H129" s="239">
        <v>245.08</v>
      </c>
      <c r="I129" s="235">
        <f t="shared" si="13"/>
        <v>435.89928799999996</v>
      </c>
      <c r="J129" s="257" t="s">
        <v>13</v>
      </c>
      <c r="K129" s="239" t="s">
        <v>362</v>
      </c>
      <c r="L129" s="232">
        <f t="shared" si="11"/>
        <v>65.384893199999993</v>
      </c>
      <c r="M129" s="235">
        <f t="shared" si="7"/>
        <v>17.435971519999999</v>
      </c>
      <c r="N129" s="236">
        <f t="shared" si="8"/>
        <v>8.7179857599999995</v>
      </c>
      <c r="O129" s="236">
        <f t="shared" si="9"/>
        <v>8.7179857599999995</v>
      </c>
      <c r="P129" s="232">
        <f t="shared" si="10"/>
        <v>30.512950160000003</v>
      </c>
    </row>
    <row r="130" spans="1:16">
      <c r="A130" s="27">
        <v>128</v>
      </c>
      <c r="B130" s="381" t="s">
        <v>462</v>
      </c>
      <c r="C130" s="165" t="s">
        <v>29</v>
      </c>
      <c r="D130" s="382" t="s">
        <v>32</v>
      </c>
      <c r="E130" s="383">
        <v>5437241</v>
      </c>
      <c r="F130" s="168">
        <v>671.84</v>
      </c>
      <c r="G130" s="169">
        <f t="shared" si="12"/>
        <v>49.581792000000007</v>
      </c>
      <c r="H130" s="168">
        <v>0</v>
      </c>
      <c r="I130" s="170">
        <f t="shared" si="13"/>
        <v>622.25820799999997</v>
      </c>
      <c r="J130" s="167" t="s">
        <v>13</v>
      </c>
      <c r="K130" s="168" t="s">
        <v>353</v>
      </c>
      <c r="L130" s="169">
        <f t="shared" si="11"/>
        <v>93.338731199999998</v>
      </c>
      <c r="M130" s="170">
        <f t="shared" si="7"/>
        <v>24.890328319999998</v>
      </c>
      <c r="N130" s="171">
        <f t="shared" si="8"/>
        <v>12.445164159999999</v>
      </c>
      <c r="O130" s="171">
        <f t="shared" si="9"/>
        <v>12.445164159999999</v>
      </c>
      <c r="P130" s="169">
        <f t="shared" si="10"/>
        <v>43.558074560000009</v>
      </c>
    </row>
    <row r="131" spans="1:16">
      <c r="A131" s="27"/>
      <c r="B131" s="35"/>
      <c r="C131" s="35"/>
      <c r="D131" s="44"/>
      <c r="E131" s="35"/>
      <c r="F131" s="34">
        <v>0</v>
      </c>
      <c r="G131" s="29">
        <f t="shared" ref="G131:G134" si="14">F131*7.38%</f>
        <v>0</v>
      </c>
      <c r="H131" s="34">
        <v>0</v>
      </c>
      <c r="I131" s="31">
        <f t="shared" ref="I131:I134" si="15">F131-G131-H131</f>
        <v>0</v>
      </c>
      <c r="J131" s="46"/>
      <c r="K131" s="34"/>
      <c r="L131" s="29">
        <f t="shared" ref="L131:L134" si="16">I131*15%</f>
        <v>0</v>
      </c>
      <c r="M131" s="31">
        <f t="shared" ref="M131:M134" si="17">I131*4%</f>
        <v>0</v>
      </c>
      <c r="N131" s="32">
        <f t="shared" ref="N131:N134" si="18">I131*2%</f>
        <v>0</v>
      </c>
      <c r="O131" s="32">
        <f t="shared" ref="O131:O134" si="19">I131*2%</f>
        <v>0</v>
      </c>
      <c r="P131" s="29">
        <f t="shared" ref="P131:P134" si="20">L131-M131-N131-O131</f>
        <v>0</v>
      </c>
    </row>
    <row r="132" spans="1:16">
      <c r="A132" s="27"/>
      <c r="B132" s="35"/>
      <c r="C132" s="35"/>
      <c r="D132" s="44"/>
      <c r="E132" s="35"/>
      <c r="F132" s="34">
        <v>0</v>
      </c>
      <c r="G132" s="29">
        <f t="shared" si="14"/>
        <v>0</v>
      </c>
      <c r="H132" s="34">
        <v>0</v>
      </c>
      <c r="I132" s="31">
        <f t="shared" si="15"/>
        <v>0</v>
      </c>
      <c r="J132" s="46"/>
      <c r="K132" s="34"/>
      <c r="L132" s="29">
        <f t="shared" si="16"/>
        <v>0</v>
      </c>
      <c r="M132" s="31">
        <f t="shared" si="17"/>
        <v>0</v>
      </c>
      <c r="N132" s="32">
        <f t="shared" si="18"/>
        <v>0</v>
      </c>
      <c r="O132" s="32">
        <f t="shared" si="19"/>
        <v>0</v>
      </c>
      <c r="P132" s="29">
        <f t="shared" si="20"/>
        <v>0</v>
      </c>
    </row>
    <row r="133" spans="1:16">
      <c r="A133" s="27"/>
      <c r="B133" s="35"/>
      <c r="C133" s="35"/>
      <c r="D133" s="44"/>
      <c r="E133" s="35"/>
      <c r="F133" s="34">
        <v>0</v>
      </c>
      <c r="G133" s="29">
        <f t="shared" si="14"/>
        <v>0</v>
      </c>
      <c r="H133" s="34">
        <v>0</v>
      </c>
      <c r="I133" s="31">
        <f t="shared" si="15"/>
        <v>0</v>
      </c>
      <c r="J133" s="46"/>
      <c r="K133" s="34"/>
      <c r="L133" s="29">
        <f t="shared" si="16"/>
        <v>0</v>
      </c>
      <c r="M133" s="31">
        <f t="shared" si="17"/>
        <v>0</v>
      </c>
      <c r="N133" s="32">
        <f t="shared" si="18"/>
        <v>0</v>
      </c>
      <c r="O133" s="32">
        <f t="shared" si="19"/>
        <v>0</v>
      </c>
      <c r="P133" s="29">
        <f t="shared" si="20"/>
        <v>0</v>
      </c>
    </row>
    <row r="134" spans="1:16">
      <c r="A134" s="27"/>
      <c r="B134" s="35"/>
      <c r="C134" s="35"/>
      <c r="D134" s="44"/>
      <c r="E134" s="35"/>
      <c r="F134" s="34">
        <v>0</v>
      </c>
      <c r="G134" s="29">
        <f t="shared" si="14"/>
        <v>0</v>
      </c>
      <c r="H134" s="34">
        <v>0</v>
      </c>
      <c r="I134" s="31">
        <f t="shared" si="15"/>
        <v>0</v>
      </c>
      <c r="J134" s="46"/>
      <c r="K134" s="34"/>
      <c r="L134" s="29">
        <f t="shared" si="16"/>
        <v>0</v>
      </c>
      <c r="M134" s="31">
        <f t="shared" si="17"/>
        <v>0</v>
      </c>
      <c r="N134" s="32">
        <f t="shared" si="18"/>
        <v>0</v>
      </c>
      <c r="O134" s="32">
        <f t="shared" si="19"/>
        <v>0</v>
      </c>
      <c r="P134" s="29">
        <f t="shared" si="20"/>
        <v>0</v>
      </c>
    </row>
    <row r="135" spans="1:16">
      <c r="A135" s="3"/>
      <c r="B135" s="66"/>
      <c r="C135" s="66"/>
      <c r="D135" s="67"/>
      <c r="E135" s="66"/>
      <c r="F135" s="68"/>
      <c r="G135" s="68"/>
      <c r="H135" s="68"/>
      <c r="I135" s="68"/>
      <c r="J135" s="66"/>
      <c r="K135" s="69"/>
      <c r="L135" s="69"/>
      <c r="M135" s="69"/>
      <c r="N135" s="7"/>
      <c r="O135" s="7"/>
      <c r="P135" s="8"/>
    </row>
    <row r="136" spans="1:16" ht="15.6">
      <c r="A136" s="3"/>
      <c r="B136" s="4"/>
      <c r="C136" s="4"/>
      <c r="D136" s="13"/>
      <c r="E136" s="5" t="s">
        <v>11</v>
      </c>
      <c r="F136" s="6">
        <f>SUM(F3:F134)</f>
        <v>78766.880000000019</v>
      </c>
      <c r="G136" s="6">
        <f>SUM(G3:G134)</f>
        <v>5812.9957440000017</v>
      </c>
      <c r="H136" s="6">
        <f>SUM(H3:H134)</f>
        <v>16945.789999999997</v>
      </c>
      <c r="I136" s="6">
        <f>SUM(I3:I134)</f>
        <v>66495.243301999988</v>
      </c>
      <c r="J136" s="4"/>
      <c r="K136" s="9"/>
      <c r="L136" s="6">
        <f>SUM(L3:L134)</f>
        <v>9974.280995299996</v>
      </c>
      <c r="M136" s="6">
        <f>SUM(M3:M134)</f>
        <v>2659.8169320799989</v>
      </c>
      <c r="N136" s="6">
        <f>SUM(N3:N134)</f>
        <v>1329.9034660399993</v>
      </c>
      <c r="O136" s="6">
        <f>SUM(O3:O134)</f>
        <v>1329.9034660399993</v>
      </c>
      <c r="P136" s="6">
        <f>SUM(P3:P134)</f>
        <v>4654.6571311399994</v>
      </c>
    </row>
  </sheetData>
  <autoFilter ref="A2:P134" xr:uid="{44C40988-4C1D-4E06-BCCA-CAD1E935D513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2DCF-F653-4E2C-AD91-DDB7F1948B9D}">
  <dimension ref="A1:Q129"/>
  <sheetViews>
    <sheetView topLeftCell="C23" zoomScaleNormal="100" workbookViewId="0">
      <selection activeCell="C39" sqref="C39"/>
    </sheetView>
  </sheetViews>
  <sheetFormatPr defaultRowHeight="14.4"/>
  <cols>
    <col min="2" max="2" width="35.5546875" customWidth="1"/>
    <col min="3" max="3" width="15.109375" bestFit="1" customWidth="1"/>
    <col min="4" max="4" width="16.6640625" customWidth="1"/>
    <col min="5" max="5" width="16" bestFit="1" customWidth="1"/>
    <col min="6" max="6" width="13.21875" customWidth="1"/>
    <col min="7" max="7" width="12.88671875" customWidth="1"/>
    <col min="8" max="8" width="13.5546875" customWidth="1"/>
    <col min="9" max="9" width="12.5546875" customWidth="1"/>
    <col min="11" max="11" width="15.33203125" customWidth="1"/>
    <col min="12" max="12" width="11.77734375" customWidth="1"/>
    <col min="13" max="13" width="11.88671875" customWidth="1"/>
    <col min="14" max="14" width="11.77734375" customWidth="1"/>
    <col min="15" max="15" width="12.77734375" customWidth="1"/>
    <col min="16" max="16" width="12.88671875" customWidth="1"/>
    <col min="17" max="17" width="8.88671875" hidden="1" customWidth="1"/>
  </cols>
  <sheetData>
    <row r="1" spans="1:17" ht="23.4">
      <c r="B1" s="742" t="s">
        <v>298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1.6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305">
        <v>1</v>
      </c>
      <c r="B3" s="330" t="s">
        <v>463</v>
      </c>
      <c r="C3" s="385" t="s">
        <v>173</v>
      </c>
      <c r="D3" s="229">
        <v>1003110335744</v>
      </c>
      <c r="E3" s="230">
        <v>5474887</v>
      </c>
      <c r="F3" s="307">
        <v>692.68</v>
      </c>
      <c r="G3" s="308">
        <f>F3*7.38%</f>
        <v>51.119784000000003</v>
      </c>
      <c r="H3" s="309">
        <v>74.430000000000007</v>
      </c>
      <c r="I3" s="308">
        <f>F3-G3-H3</f>
        <v>567.13021600000002</v>
      </c>
      <c r="J3" s="305" t="s">
        <v>68</v>
      </c>
      <c r="K3" s="309" t="s">
        <v>321</v>
      </c>
      <c r="L3" s="310">
        <f>I3*15%</f>
        <v>85.0695324</v>
      </c>
      <c r="M3" s="310">
        <f t="shared" ref="M3:M66" si="0">I3*4%</f>
        <v>22.685208640000003</v>
      </c>
      <c r="N3" s="311">
        <f t="shared" ref="N3:N66" si="1">I3*2%</f>
        <v>11.342604320000001</v>
      </c>
      <c r="O3" s="311">
        <f t="shared" ref="O3:O66" si="2">I3*2%</f>
        <v>11.342604320000001</v>
      </c>
      <c r="P3" s="308">
        <f t="shared" ref="P3:P66" si="3">L3-M3-N3-O3</f>
        <v>39.699115120000002</v>
      </c>
    </row>
    <row r="4" spans="1:17">
      <c r="A4" s="305">
        <v>2</v>
      </c>
      <c r="B4" s="330" t="s">
        <v>464</v>
      </c>
      <c r="C4" s="386" t="s">
        <v>42</v>
      </c>
      <c r="D4" s="238">
        <v>1003110335444</v>
      </c>
      <c r="E4" s="230">
        <v>5474737</v>
      </c>
      <c r="F4" s="307">
        <v>1209.74</v>
      </c>
      <c r="G4" s="308">
        <f>F4*7.38%</f>
        <v>89.278812000000002</v>
      </c>
      <c r="H4" s="312">
        <v>129.99</v>
      </c>
      <c r="I4" s="308">
        <f>F4-G4-H4</f>
        <v>990.47118799999998</v>
      </c>
      <c r="J4" s="313" t="s">
        <v>68</v>
      </c>
      <c r="K4" s="312" t="s">
        <v>321</v>
      </c>
      <c r="L4" s="310">
        <f t="shared" ref="L4:L67" si="4">I4*15%</f>
        <v>148.5706782</v>
      </c>
      <c r="M4" s="310">
        <f t="shared" si="0"/>
        <v>39.618847520000003</v>
      </c>
      <c r="N4" s="311">
        <f t="shared" si="1"/>
        <v>19.809423760000001</v>
      </c>
      <c r="O4" s="311">
        <f t="shared" si="2"/>
        <v>19.809423760000001</v>
      </c>
      <c r="P4" s="308">
        <f t="shared" si="3"/>
        <v>69.332983159999998</v>
      </c>
    </row>
    <row r="5" spans="1:17">
      <c r="A5" s="305">
        <v>3</v>
      </c>
      <c r="B5" s="391" t="s">
        <v>465</v>
      </c>
      <c r="C5" s="392" t="s">
        <v>466</v>
      </c>
      <c r="D5" s="393" t="s">
        <v>32</v>
      </c>
      <c r="E5" s="394" t="s">
        <v>467</v>
      </c>
      <c r="F5" s="395">
        <v>492.42</v>
      </c>
      <c r="G5" s="169">
        <f t="shared" ref="G5:G68" si="5">F5*7.38%</f>
        <v>36.340596000000005</v>
      </c>
      <c r="H5" s="396">
        <v>130.43</v>
      </c>
      <c r="I5" s="169">
        <f t="shared" ref="I5:I68" si="6">F5-G5-H5</f>
        <v>325.649404</v>
      </c>
      <c r="J5" s="392" t="s">
        <v>68</v>
      </c>
      <c r="K5" s="397" t="s">
        <v>25</v>
      </c>
      <c r="L5" s="170">
        <f t="shared" si="4"/>
        <v>48.847410599999996</v>
      </c>
      <c r="M5" s="170">
        <f t="shared" si="0"/>
        <v>13.025976160000001</v>
      </c>
      <c r="N5" s="171">
        <f t="shared" si="1"/>
        <v>6.5129880800000004</v>
      </c>
      <c r="O5" s="171">
        <f t="shared" si="2"/>
        <v>6.5129880800000004</v>
      </c>
      <c r="P5" s="169">
        <f t="shared" si="3"/>
        <v>22.795458279999998</v>
      </c>
    </row>
    <row r="6" spans="1:17">
      <c r="A6" s="305">
        <v>4</v>
      </c>
      <c r="B6" s="339" t="s">
        <v>468</v>
      </c>
      <c r="C6" s="327" t="s">
        <v>469</v>
      </c>
      <c r="D6" s="506">
        <v>1003110334675</v>
      </c>
      <c r="E6" s="507">
        <v>5471450</v>
      </c>
      <c r="F6" s="342">
        <v>567.74</v>
      </c>
      <c r="G6" s="294">
        <f t="shared" si="5"/>
        <v>41.899212000000006</v>
      </c>
      <c r="H6" s="294">
        <v>60.77</v>
      </c>
      <c r="I6" s="294">
        <f t="shared" si="6"/>
        <v>465.07078799999999</v>
      </c>
      <c r="J6" s="327" t="s">
        <v>68</v>
      </c>
      <c r="K6" s="294" t="s">
        <v>14</v>
      </c>
      <c r="L6" s="293">
        <f t="shared" si="4"/>
        <v>69.760618199999996</v>
      </c>
      <c r="M6" s="293">
        <f t="shared" si="0"/>
        <v>18.602831519999999</v>
      </c>
      <c r="N6" s="296">
        <f t="shared" si="1"/>
        <v>9.3014157599999994</v>
      </c>
      <c r="O6" s="296">
        <f t="shared" si="2"/>
        <v>9.3014157599999994</v>
      </c>
      <c r="P6" s="294">
        <f t="shared" si="3"/>
        <v>32.554955160000006</v>
      </c>
    </row>
    <row r="7" spans="1:17">
      <c r="A7" s="305">
        <v>5</v>
      </c>
      <c r="B7" s="331" t="s">
        <v>470</v>
      </c>
      <c r="C7" s="387" t="s">
        <v>469</v>
      </c>
      <c r="D7" s="246">
        <v>1003110341822</v>
      </c>
      <c r="E7" s="191">
        <v>5478938</v>
      </c>
      <c r="F7" s="309">
        <v>611.91999999999996</v>
      </c>
      <c r="G7" s="314">
        <f t="shared" si="5"/>
        <v>45.159695999999997</v>
      </c>
      <c r="H7" s="309">
        <v>74.19</v>
      </c>
      <c r="I7" s="314">
        <f t="shared" si="6"/>
        <v>492.57030399999991</v>
      </c>
      <c r="J7" s="305" t="s">
        <v>68</v>
      </c>
      <c r="K7" s="309" t="s">
        <v>51</v>
      </c>
      <c r="L7" s="310">
        <f t="shared" si="4"/>
        <v>73.885545599999986</v>
      </c>
      <c r="M7" s="310">
        <f t="shared" si="0"/>
        <v>19.702812159999997</v>
      </c>
      <c r="N7" s="311">
        <f t="shared" si="1"/>
        <v>9.8514060799999985</v>
      </c>
      <c r="O7" s="311">
        <f t="shared" si="2"/>
        <v>9.8514060799999985</v>
      </c>
      <c r="P7" s="308">
        <f t="shared" si="3"/>
        <v>34.479921279999999</v>
      </c>
    </row>
    <row r="8" spans="1:17">
      <c r="A8" s="305">
        <v>6</v>
      </c>
      <c r="B8" s="339" t="s">
        <v>471</v>
      </c>
      <c r="C8" s="327" t="s">
        <v>472</v>
      </c>
      <c r="D8" s="549">
        <v>1003110341664</v>
      </c>
      <c r="E8" s="495">
        <v>5474478</v>
      </c>
      <c r="F8" s="294">
        <v>526.32000000000005</v>
      </c>
      <c r="G8" s="294">
        <f t="shared" si="5"/>
        <v>38.842416000000007</v>
      </c>
      <c r="H8" s="294">
        <v>56.55</v>
      </c>
      <c r="I8" s="294">
        <f>F8-G8-H8</f>
        <v>430.92758400000002</v>
      </c>
      <c r="J8" s="327" t="s">
        <v>68</v>
      </c>
      <c r="K8" s="294" t="s">
        <v>25</v>
      </c>
      <c r="L8" s="293">
        <f t="shared" si="4"/>
        <v>64.639137599999998</v>
      </c>
      <c r="M8" s="293">
        <f t="shared" si="0"/>
        <v>17.237103360000003</v>
      </c>
      <c r="N8" s="296">
        <f t="shared" si="1"/>
        <v>8.6185516800000013</v>
      </c>
      <c r="O8" s="296">
        <f t="shared" si="2"/>
        <v>8.6185516800000013</v>
      </c>
      <c r="P8" s="294">
        <f t="shared" si="3"/>
        <v>30.164930879999986</v>
      </c>
    </row>
    <row r="9" spans="1:17">
      <c r="A9" s="305">
        <v>7</v>
      </c>
      <c r="B9" s="645" t="s">
        <v>473</v>
      </c>
      <c r="C9" s="295" t="s">
        <v>29</v>
      </c>
      <c r="D9" s="403">
        <v>1003110343893</v>
      </c>
      <c r="E9" s="507">
        <v>5480189</v>
      </c>
      <c r="F9" s="683">
        <v>662.06</v>
      </c>
      <c r="G9" s="294">
        <f t="shared" si="5"/>
        <v>48.860028</v>
      </c>
      <c r="H9" s="293">
        <v>71.14</v>
      </c>
      <c r="I9" s="294">
        <f>F9-G9-H9</f>
        <v>542.0599719999999</v>
      </c>
      <c r="J9" s="295" t="s">
        <v>68</v>
      </c>
      <c r="K9" s="293" t="s">
        <v>238</v>
      </c>
      <c r="L9" s="293">
        <f t="shared" si="4"/>
        <v>81.308995799999977</v>
      </c>
      <c r="M9" s="293">
        <f t="shared" si="0"/>
        <v>21.682398879999997</v>
      </c>
      <c r="N9" s="296">
        <f>I9*2%</f>
        <v>10.841199439999999</v>
      </c>
      <c r="O9" s="296">
        <f t="shared" si="2"/>
        <v>10.841199439999999</v>
      </c>
      <c r="P9" s="294">
        <f t="shared" si="3"/>
        <v>37.944198039999989</v>
      </c>
    </row>
    <row r="10" spans="1:17">
      <c r="A10" s="305">
        <v>8</v>
      </c>
      <c r="B10" s="332" t="s">
        <v>474</v>
      </c>
      <c r="C10" s="388" t="s">
        <v>475</v>
      </c>
      <c r="D10" s="254">
        <v>51772025423106</v>
      </c>
      <c r="E10" s="255">
        <v>5480044</v>
      </c>
      <c r="F10" s="315">
        <v>506.81</v>
      </c>
      <c r="G10" s="314">
        <f t="shared" si="5"/>
        <v>37.402578000000005</v>
      </c>
      <c r="H10" s="312">
        <v>126.7</v>
      </c>
      <c r="I10" s="314">
        <f t="shared" si="6"/>
        <v>342.70742200000001</v>
      </c>
      <c r="J10" s="316" t="s">
        <v>68</v>
      </c>
      <c r="K10" s="312" t="s">
        <v>17</v>
      </c>
      <c r="L10" s="310">
        <f t="shared" si="4"/>
        <v>51.406113300000001</v>
      </c>
      <c r="M10" s="310">
        <f t="shared" si="0"/>
        <v>13.708296880000001</v>
      </c>
      <c r="N10" s="311">
        <f t="shared" si="1"/>
        <v>6.8541484400000003</v>
      </c>
      <c r="O10" s="311">
        <f t="shared" si="2"/>
        <v>6.8541484400000003</v>
      </c>
      <c r="P10" s="308">
        <f t="shared" si="3"/>
        <v>23.989519540000003</v>
      </c>
    </row>
    <row r="11" spans="1:17">
      <c r="A11" s="305">
        <v>9</v>
      </c>
      <c r="B11" s="332" t="s">
        <v>474</v>
      </c>
      <c r="C11" s="387" t="s">
        <v>234</v>
      </c>
      <c r="D11" s="251">
        <v>51772025423106</v>
      </c>
      <c r="E11" s="191">
        <v>5479970</v>
      </c>
      <c r="F11" s="317">
        <v>1139.68</v>
      </c>
      <c r="G11" s="314">
        <f t="shared" si="5"/>
        <v>84.108384000000015</v>
      </c>
      <c r="H11" s="309">
        <v>284.92</v>
      </c>
      <c r="I11" s="318">
        <f t="shared" si="6"/>
        <v>770.65161599999988</v>
      </c>
      <c r="J11" s="319" t="s">
        <v>68</v>
      </c>
      <c r="K11" s="309" t="s">
        <v>17</v>
      </c>
      <c r="L11" s="310">
        <f t="shared" si="4"/>
        <v>115.59774239999997</v>
      </c>
      <c r="M11" s="310">
        <f t="shared" si="0"/>
        <v>30.826064639999995</v>
      </c>
      <c r="N11" s="311">
        <f t="shared" si="1"/>
        <v>15.413032319999997</v>
      </c>
      <c r="O11" s="320">
        <f t="shared" si="2"/>
        <v>15.413032319999997</v>
      </c>
      <c r="P11" s="310">
        <f t="shared" si="3"/>
        <v>53.945613119999976</v>
      </c>
    </row>
    <row r="12" spans="1:17">
      <c r="A12" s="305">
        <v>10</v>
      </c>
      <c r="B12" s="333" t="s">
        <v>476</v>
      </c>
      <c r="C12" s="160" t="s">
        <v>52</v>
      </c>
      <c r="D12" s="254">
        <v>2556671</v>
      </c>
      <c r="E12" s="262">
        <v>5479491</v>
      </c>
      <c r="F12" s="321">
        <v>677.2</v>
      </c>
      <c r="G12" s="314">
        <f t="shared" si="5"/>
        <v>49.977360000000004</v>
      </c>
      <c r="H12" s="312">
        <v>71.290000000000006</v>
      </c>
      <c r="I12" s="314">
        <f t="shared" si="6"/>
        <v>555.93264000000011</v>
      </c>
      <c r="J12" s="319" t="s">
        <v>38</v>
      </c>
      <c r="K12" s="312" t="s">
        <v>51</v>
      </c>
      <c r="L12" s="310">
        <f t="shared" si="4"/>
        <v>83.389896000000007</v>
      </c>
      <c r="M12" s="310">
        <f t="shared" si="0"/>
        <v>22.237305600000006</v>
      </c>
      <c r="N12" s="311">
        <f t="shared" si="1"/>
        <v>11.118652800000003</v>
      </c>
      <c r="O12" s="311">
        <f t="shared" si="2"/>
        <v>11.118652800000003</v>
      </c>
      <c r="P12" s="308">
        <f t="shared" si="3"/>
        <v>38.915284799999995</v>
      </c>
    </row>
    <row r="13" spans="1:17">
      <c r="A13" s="305">
        <v>11</v>
      </c>
      <c r="B13" s="332" t="s">
        <v>477</v>
      </c>
      <c r="C13" s="387" t="s">
        <v>475</v>
      </c>
      <c r="D13" s="251">
        <v>2559425</v>
      </c>
      <c r="E13" s="191">
        <v>5480416</v>
      </c>
      <c r="F13" s="321">
        <v>436.7</v>
      </c>
      <c r="G13" s="318">
        <f t="shared" si="5"/>
        <v>32.228459999999998</v>
      </c>
      <c r="H13" s="309">
        <v>123.59</v>
      </c>
      <c r="I13" s="318">
        <f t="shared" si="6"/>
        <v>280.88153999999997</v>
      </c>
      <c r="J13" s="319" t="s">
        <v>68</v>
      </c>
      <c r="K13" s="309" t="s">
        <v>14</v>
      </c>
      <c r="L13" s="310">
        <f t="shared" si="4"/>
        <v>42.132230999999997</v>
      </c>
      <c r="M13" s="310">
        <f t="shared" si="0"/>
        <v>11.235261599999999</v>
      </c>
      <c r="N13" s="311">
        <f t="shared" si="1"/>
        <v>5.6176307999999997</v>
      </c>
      <c r="O13" s="320">
        <f t="shared" si="2"/>
        <v>5.6176307999999997</v>
      </c>
      <c r="P13" s="310">
        <f t="shared" si="3"/>
        <v>19.661707799999995</v>
      </c>
    </row>
    <row r="14" spans="1:17">
      <c r="A14" s="305">
        <v>12</v>
      </c>
      <c r="B14" s="159" t="s">
        <v>478</v>
      </c>
      <c r="C14" s="388" t="s">
        <v>29</v>
      </c>
      <c r="D14" s="264">
        <v>35058617</v>
      </c>
      <c r="E14" s="262" t="s">
        <v>479</v>
      </c>
      <c r="F14" s="321">
        <v>746.4</v>
      </c>
      <c r="G14" s="314">
        <f t="shared" si="5"/>
        <v>55.084319999999998</v>
      </c>
      <c r="H14" s="312">
        <v>62.2</v>
      </c>
      <c r="I14" s="314">
        <f t="shared" si="6"/>
        <v>629.11567999999988</v>
      </c>
      <c r="J14" s="316" t="s">
        <v>38</v>
      </c>
      <c r="K14" s="312" t="s">
        <v>17</v>
      </c>
      <c r="L14" s="310">
        <f t="shared" si="4"/>
        <v>94.367351999999983</v>
      </c>
      <c r="M14" s="310">
        <f t="shared" si="0"/>
        <v>25.164627199999995</v>
      </c>
      <c r="N14" s="311">
        <f t="shared" si="1"/>
        <v>12.582313599999997</v>
      </c>
      <c r="O14" s="311">
        <f t="shared" si="2"/>
        <v>12.582313599999997</v>
      </c>
      <c r="P14" s="308">
        <f t="shared" si="3"/>
        <v>44.038097599999986</v>
      </c>
    </row>
    <row r="15" spans="1:17">
      <c r="A15" s="305">
        <v>13</v>
      </c>
      <c r="B15" s="402" t="s">
        <v>480</v>
      </c>
      <c r="C15" s="295" t="s">
        <v>173</v>
      </c>
      <c r="D15" s="546">
        <v>1003110350481</v>
      </c>
      <c r="E15" s="547" t="s">
        <v>481</v>
      </c>
      <c r="F15" s="548">
        <v>535.4</v>
      </c>
      <c r="G15" s="293">
        <f t="shared" si="5"/>
        <v>39.512520000000002</v>
      </c>
      <c r="H15" s="294">
        <v>57.53</v>
      </c>
      <c r="I15" s="293">
        <f t="shared" si="6"/>
        <v>438.35748000000001</v>
      </c>
      <c r="J15" s="405" t="s">
        <v>68</v>
      </c>
      <c r="K15" s="293" t="s">
        <v>216</v>
      </c>
      <c r="L15" s="293">
        <f t="shared" si="4"/>
        <v>65.753621999999993</v>
      </c>
      <c r="M15" s="293">
        <f t="shared" si="0"/>
        <v>17.5342992</v>
      </c>
      <c r="N15" s="296">
        <f t="shared" si="1"/>
        <v>8.7671495999999998</v>
      </c>
      <c r="O15" s="406">
        <f t="shared" si="2"/>
        <v>8.7671495999999998</v>
      </c>
      <c r="P15" s="293">
        <f t="shared" si="3"/>
        <v>30.68502359999999</v>
      </c>
    </row>
    <row r="16" spans="1:17">
      <c r="A16" s="305">
        <v>14</v>
      </c>
      <c r="B16" s="333" t="s">
        <v>482</v>
      </c>
      <c r="C16" s="386" t="s">
        <v>29</v>
      </c>
      <c r="D16" s="251">
        <v>2558011</v>
      </c>
      <c r="E16" s="268" t="s">
        <v>483</v>
      </c>
      <c r="F16" s="321">
        <v>813.76</v>
      </c>
      <c r="G16" s="314">
        <f t="shared" si="5"/>
        <v>60.055488000000004</v>
      </c>
      <c r="H16" s="312">
        <v>81.37</v>
      </c>
      <c r="I16" s="314">
        <f t="shared" si="6"/>
        <v>672.33451200000002</v>
      </c>
      <c r="J16" s="316" t="s">
        <v>38</v>
      </c>
      <c r="K16" s="312" t="s">
        <v>17</v>
      </c>
      <c r="L16" s="310">
        <f t="shared" si="4"/>
        <v>100.8501768</v>
      </c>
      <c r="M16" s="310">
        <f t="shared" si="0"/>
        <v>26.893380480000001</v>
      </c>
      <c r="N16" s="311">
        <f t="shared" si="1"/>
        <v>13.446690240000001</v>
      </c>
      <c r="O16" s="311">
        <f t="shared" si="2"/>
        <v>13.446690240000001</v>
      </c>
      <c r="P16" s="308">
        <f t="shared" si="3"/>
        <v>47.06341583999999</v>
      </c>
    </row>
    <row r="17" spans="1:16">
      <c r="A17" s="305">
        <v>15</v>
      </c>
      <c r="B17" s="334" t="s">
        <v>484</v>
      </c>
      <c r="C17" s="389" t="s">
        <v>475</v>
      </c>
      <c r="D17" s="246">
        <v>1003110346282</v>
      </c>
      <c r="E17" s="270">
        <v>5482127</v>
      </c>
      <c r="F17" s="309">
        <v>576.74</v>
      </c>
      <c r="G17" s="318">
        <f t="shared" si="5"/>
        <v>42.563412000000007</v>
      </c>
      <c r="H17" s="312">
        <v>61.97</v>
      </c>
      <c r="I17" s="318">
        <f t="shared" si="6"/>
        <v>472.20658800000001</v>
      </c>
      <c r="J17" s="319" t="s">
        <v>68</v>
      </c>
      <c r="K17" s="309" t="s">
        <v>321</v>
      </c>
      <c r="L17" s="310">
        <f t="shared" si="4"/>
        <v>70.830988199999993</v>
      </c>
      <c r="M17" s="310">
        <f t="shared" si="0"/>
        <v>18.888263520000002</v>
      </c>
      <c r="N17" s="311">
        <f t="shared" si="1"/>
        <v>9.4441317600000012</v>
      </c>
      <c r="O17" s="320">
        <f t="shared" si="2"/>
        <v>9.4441317600000012</v>
      </c>
      <c r="P17" s="310">
        <f t="shared" si="3"/>
        <v>33.054461159999988</v>
      </c>
    </row>
    <row r="18" spans="1:16">
      <c r="A18" s="305">
        <v>16</v>
      </c>
      <c r="B18" s="333" t="s">
        <v>485</v>
      </c>
      <c r="C18" s="386" t="s">
        <v>29</v>
      </c>
      <c r="D18" s="251">
        <v>1003110347608</v>
      </c>
      <c r="E18" s="271">
        <v>5481579</v>
      </c>
      <c r="F18" s="312">
        <v>636.33000000000004</v>
      </c>
      <c r="G18" s="314">
        <f t="shared" si="5"/>
        <v>46.961154000000008</v>
      </c>
      <c r="H18" s="312">
        <v>68.38</v>
      </c>
      <c r="I18" s="314">
        <f t="shared" si="6"/>
        <v>520.98884600000008</v>
      </c>
      <c r="J18" s="316" t="s">
        <v>68</v>
      </c>
      <c r="K18" s="312" t="s">
        <v>182</v>
      </c>
      <c r="L18" s="310">
        <f t="shared" si="4"/>
        <v>78.148326900000015</v>
      </c>
      <c r="M18" s="310">
        <f t="shared" si="0"/>
        <v>20.839553840000004</v>
      </c>
      <c r="N18" s="311">
        <f t="shared" si="1"/>
        <v>10.419776920000002</v>
      </c>
      <c r="O18" s="311">
        <f t="shared" si="2"/>
        <v>10.419776920000002</v>
      </c>
      <c r="P18" s="308">
        <f t="shared" si="3"/>
        <v>36.469219219999999</v>
      </c>
    </row>
    <row r="19" spans="1:16">
      <c r="A19" s="305">
        <v>17</v>
      </c>
      <c r="B19" s="402" t="s">
        <v>486</v>
      </c>
      <c r="C19" s="290" t="s">
        <v>487</v>
      </c>
      <c r="D19" s="403">
        <v>100311040501</v>
      </c>
      <c r="E19" s="404">
        <v>5480761</v>
      </c>
      <c r="F19" s="293">
        <v>548.92999999999995</v>
      </c>
      <c r="G19" s="293">
        <f t="shared" si="5"/>
        <v>40.511034000000002</v>
      </c>
      <c r="H19" s="293">
        <v>145</v>
      </c>
      <c r="I19" s="293">
        <f t="shared" si="6"/>
        <v>363.41896599999995</v>
      </c>
      <c r="J19" s="405" t="s">
        <v>68</v>
      </c>
      <c r="K19" s="293" t="s">
        <v>14</v>
      </c>
      <c r="L19" s="293">
        <f t="shared" si="4"/>
        <v>54.51284489999999</v>
      </c>
      <c r="M19" s="293">
        <f t="shared" si="0"/>
        <v>14.536758639999999</v>
      </c>
      <c r="N19" s="406">
        <f t="shared" si="1"/>
        <v>7.2683793199999993</v>
      </c>
      <c r="O19" s="406">
        <f t="shared" si="2"/>
        <v>7.2683793199999993</v>
      </c>
      <c r="P19" s="293">
        <f t="shared" si="3"/>
        <v>25.439327619999986</v>
      </c>
    </row>
    <row r="20" spans="1:16">
      <c r="A20" s="305">
        <v>18</v>
      </c>
      <c r="B20" s="494" t="s">
        <v>488</v>
      </c>
      <c r="C20" s="290" t="s">
        <v>29</v>
      </c>
      <c r="D20" s="400">
        <v>1003110349012</v>
      </c>
      <c r="E20" s="495">
        <v>5482749</v>
      </c>
      <c r="F20" s="294">
        <v>720.91</v>
      </c>
      <c r="G20" s="294">
        <f t="shared" si="5"/>
        <v>53.203158000000002</v>
      </c>
      <c r="H20" s="294">
        <v>77.459999999999994</v>
      </c>
      <c r="I20" s="294">
        <f t="shared" si="6"/>
        <v>590.2468419999999</v>
      </c>
      <c r="J20" s="329" t="s">
        <v>68</v>
      </c>
      <c r="K20" s="294" t="s">
        <v>321</v>
      </c>
      <c r="L20" s="293">
        <f t="shared" si="4"/>
        <v>88.53702629999998</v>
      </c>
      <c r="M20" s="293">
        <f t="shared" si="0"/>
        <v>23.609873679999996</v>
      </c>
      <c r="N20" s="296">
        <f t="shared" si="1"/>
        <v>11.804936839999998</v>
      </c>
      <c r="O20" s="296">
        <f t="shared" si="2"/>
        <v>11.804936839999998</v>
      </c>
      <c r="P20" s="294">
        <f t="shared" si="3"/>
        <v>41.317278939999994</v>
      </c>
    </row>
    <row r="21" spans="1:16">
      <c r="A21" s="305">
        <v>19</v>
      </c>
      <c r="B21" s="497" t="s">
        <v>489</v>
      </c>
      <c r="C21" s="295" t="s">
        <v>173</v>
      </c>
      <c r="D21" s="403">
        <v>1003110350354</v>
      </c>
      <c r="E21" s="496">
        <v>5483066</v>
      </c>
      <c r="F21" s="293">
        <v>629.5</v>
      </c>
      <c r="G21" s="293">
        <f>F21*7.38%</f>
        <v>46.457100000000004</v>
      </c>
      <c r="H21" s="293">
        <v>67.64</v>
      </c>
      <c r="I21" s="293">
        <f t="shared" si="6"/>
        <v>515.40290000000005</v>
      </c>
      <c r="J21" s="405" t="s">
        <v>68</v>
      </c>
      <c r="K21" s="293" t="s">
        <v>166</v>
      </c>
      <c r="L21" s="293">
        <f t="shared" si="4"/>
        <v>77.310434999999998</v>
      </c>
      <c r="M21" s="293">
        <f t="shared" si="0"/>
        <v>20.616116000000002</v>
      </c>
      <c r="N21" s="406">
        <f t="shared" si="1"/>
        <v>10.308058000000001</v>
      </c>
      <c r="O21" s="406">
        <f t="shared" si="2"/>
        <v>10.308058000000001</v>
      </c>
      <c r="P21" s="293">
        <f t="shared" si="3"/>
        <v>36.078202999999988</v>
      </c>
    </row>
    <row r="22" spans="1:16">
      <c r="A22" s="305">
        <v>20</v>
      </c>
      <c r="B22" s="333" t="s">
        <v>490</v>
      </c>
      <c r="C22" s="388" t="s">
        <v>12</v>
      </c>
      <c r="D22" s="254">
        <v>2558275</v>
      </c>
      <c r="E22" s="268">
        <v>5482326</v>
      </c>
      <c r="F22" s="312">
        <v>828.39</v>
      </c>
      <c r="G22" s="308">
        <f t="shared" si="5"/>
        <v>61.135182</v>
      </c>
      <c r="H22" s="312">
        <v>72.67</v>
      </c>
      <c r="I22" s="308">
        <f t="shared" si="6"/>
        <v>694.58481800000004</v>
      </c>
      <c r="J22" s="316" t="s">
        <v>38</v>
      </c>
      <c r="K22" s="312" t="s">
        <v>491</v>
      </c>
      <c r="L22" s="310">
        <f t="shared" si="4"/>
        <v>104.18772270000001</v>
      </c>
      <c r="M22" s="310">
        <f t="shared" si="0"/>
        <v>27.783392720000002</v>
      </c>
      <c r="N22" s="311">
        <f t="shared" si="1"/>
        <v>13.891696360000001</v>
      </c>
      <c r="O22" s="311">
        <f t="shared" si="2"/>
        <v>13.891696360000001</v>
      </c>
      <c r="P22" s="308">
        <f t="shared" si="3"/>
        <v>48.620937260000005</v>
      </c>
    </row>
    <row r="23" spans="1:16">
      <c r="A23" s="305">
        <v>21</v>
      </c>
      <c r="B23" s="334" t="s">
        <v>492</v>
      </c>
      <c r="C23" s="387" t="s">
        <v>29</v>
      </c>
      <c r="D23" s="251">
        <v>2559727</v>
      </c>
      <c r="E23" s="274">
        <v>5484511</v>
      </c>
      <c r="F23" s="309">
        <v>504.18</v>
      </c>
      <c r="G23" s="310">
        <f t="shared" si="5"/>
        <v>37.208484000000006</v>
      </c>
      <c r="H23" s="309">
        <v>53.07</v>
      </c>
      <c r="I23" s="310">
        <f t="shared" si="6"/>
        <v>413.90151600000002</v>
      </c>
      <c r="J23" s="319" t="s">
        <v>38</v>
      </c>
      <c r="K23" s="309" t="s">
        <v>17</v>
      </c>
      <c r="L23" s="310">
        <f t="shared" si="4"/>
        <v>62.085227400000001</v>
      </c>
      <c r="M23" s="310">
        <f t="shared" si="0"/>
        <v>16.556060640000002</v>
      </c>
      <c r="N23" s="320">
        <f t="shared" si="1"/>
        <v>8.2780303200000009</v>
      </c>
      <c r="O23" s="320">
        <f t="shared" si="2"/>
        <v>8.2780303200000009</v>
      </c>
      <c r="P23" s="310">
        <f t="shared" si="3"/>
        <v>28.973106119999997</v>
      </c>
    </row>
    <row r="24" spans="1:16">
      <c r="A24" s="305">
        <v>22</v>
      </c>
      <c r="B24" s="334" t="s">
        <v>493</v>
      </c>
      <c r="C24" s="387" t="s">
        <v>29</v>
      </c>
      <c r="D24" s="251">
        <v>1003110352060</v>
      </c>
      <c r="E24" s="274">
        <v>5485169</v>
      </c>
      <c r="F24" s="309">
        <v>751.49</v>
      </c>
      <c r="G24" s="310">
        <f t="shared" si="5"/>
        <v>55.459962000000004</v>
      </c>
      <c r="H24" s="309">
        <v>80.75</v>
      </c>
      <c r="I24" s="310">
        <f t="shared" si="6"/>
        <v>615.28003799999999</v>
      </c>
      <c r="J24" s="319" t="s">
        <v>68</v>
      </c>
      <c r="K24" s="309" t="s">
        <v>17</v>
      </c>
      <c r="L24" s="310">
        <f t="shared" si="4"/>
        <v>92.29200569999999</v>
      </c>
      <c r="M24" s="310">
        <f t="shared" si="0"/>
        <v>24.611201520000002</v>
      </c>
      <c r="N24" s="320">
        <f t="shared" si="1"/>
        <v>12.305600760000001</v>
      </c>
      <c r="O24" s="320">
        <f t="shared" si="2"/>
        <v>12.305600760000001</v>
      </c>
      <c r="P24" s="310">
        <f t="shared" si="3"/>
        <v>43.069602659999987</v>
      </c>
    </row>
    <row r="25" spans="1:16">
      <c r="A25" s="305">
        <v>23</v>
      </c>
      <c r="B25" s="333" t="s">
        <v>494</v>
      </c>
      <c r="C25" s="388" t="s">
        <v>173</v>
      </c>
      <c r="D25" s="254">
        <v>51772025423</v>
      </c>
      <c r="E25" s="268" t="s">
        <v>495</v>
      </c>
      <c r="F25" s="312">
        <v>1282.9100000000001</v>
      </c>
      <c r="G25" s="308">
        <f t="shared" si="5"/>
        <v>94.678758000000016</v>
      </c>
      <c r="H25" s="312">
        <v>128.9</v>
      </c>
      <c r="I25" s="310">
        <f t="shared" si="6"/>
        <v>1059.331242</v>
      </c>
      <c r="J25" s="316" t="s">
        <v>38</v>
      </c>
      <c r="K25" s="312" t="s">
        <v>17</v>
      </c>
      <c r="L25" s="310">
        <f t="shared" si="4"/>
        <v>158.89968629999998</v>
      </c>
      <c r="M25" s="310">
        <f t="shared" si="0"/>
        <v>42.373249680000001</v>
      </c>
      <c r="N25" s="311">
        <f t="shared" si="1"/>
        <v>21.18662484</v>
      </c>
      <c r="O25" s="311">
        <f t="shared" si="2"/>
        <v>21.18662484</v>
      </c>
      <c r="P25" s="308">
        <f t="shared" si="3"/>
        <v>74.153186939999983</v>
      </c>
    </row>
    <row r="26" spans="1:16">
      <c r="A26" s="305">
        <v>24</v>
      </c>
      <c r="B26" s="335" t="s">
        <v>496</v>
      </c>
      <c r="C26" s="390" t="s">
        <v>234</v>
      </c>
      <c r="D26" s="277">
        <v>1003110351673</v>
      </c>
      <c r="E26" s="278">
        <v>5445209</v>
      </c>
      <c r="F26" s="312">
        <v>550.04</v>
      </c>
      <c r="G26" s="308">
        <f t="shared" si="5"/>
        <v>40.592951999999997</v>
      </c>
      <c r="H26" s="312">
        <v>273.20999999999998</v>
      </c>
      <c r="I26" s="310">
        <f t="shared" si="6"/>
        <v>236.23704800000002</v>
      </c>
      <c r="J26" s="322" t="s">
        <v>68</v>
      </c>
      <c r="K26" s="322" t="s">
        <v>497</v>
      </c>
      <c r="L26" s="310">
        <f t="shared" si="4"/>
        <v>35.435557199999998</v>
      </c>
      <c r="M26" s="310">
        <f t="shared" si="0"/>
        <v>9.4494819200000002</v>
      </c>
      <c r="N26" s="311">
        <f t="shared" si="1"/>
        <v>4.7247409600000001</v>
      </c>
      <c r="O26" s="311">
        <f t="shared" si="2"/>
        <v>4.7247409600000001</v>
      </c>
      <c r="P26" s="308">
        <f t="shared" si="3"/>
        <v>16.536593359999998</v>
      </c>
    </row>
    <row r="27" spans="1:16">
      <c r="A27" s="305">
        <v>25</v>
      </c>
      <c r="B27" s="330" t="s">
        <v>498</v>
      </c>
      <c r="C27" s="388" t="s">
        <v>29</v>
      </c>
      <c r="D27" s="279">
        <v>2559654</v>
      </c>
      <c r="E27" s="268">
        <v>5484771</v>
      </c>
      <c r="F27" s="312">
        <v>1031.47</v>
      </c>
      <c r="G27" s="308">
        <f t="shared" si="5"/>
        <v>76.122486000000009</v>
      </c>
      <c r="H27" s="312">
        <v>90.48</v>
      </c>
      <c r="I27" s="310">
        <f t="shared" si="6"/>
        <v>864.86751400000003</v>
      </c>
      <c r="J27" s="316" t="s">
        <v>38</v>
      </c>
      <c r="K27" s="312" t="s">
        <v>321</v>
      </c>
      <c r="L27" s="310">
        <f t="shared" si="4"/>
        <v>129.7301271</v>
      </c>
      <c r="M27" s="310">
        <f t="shared" si="0"/>
        <v>34.59470056</v>
      </c>
      <c r="N27" s="311">
        <f t="shared" si="1"/>
        <v>17.29735028</v>
      </c>
      <c r="O27" s="311">
        <f t="shared" si="2"/>
        <v>17.29735028</v>
      </c>
      <c r="P27" s="308">
        <f t="shared" si="3"/>
        <v>60.540725979999991</v>
      </c>
    </row>
    <row r="28" spans="1:16">
      <c r="A28" s="305">
        <v>26</v>
      </c>
      <c r="B28" s="330" t="s">
        <v>499</v>
      </c>
      <c r="C28" s="388" t="s">
        <v>173</v>
      </c>
      <c r="D28" s="254">
        <v>2561101</v>
      </c>
      <c r="E28" s="268" t="s">
        <v>500</v>
      </c>
      <c r="F28" s="312">
        <v>623.79999999999995</v>
      </c>
      <c r="G28" s="308">
        <f t="shared" si="5"/>
        <v>46.036439999999999</v>
      </c>
      <c r="H28" s="312">
        <v>62.38</v>
      </c>
      <c r="I28" s="310">
        <f t="shared" si="6"/>
        <v>515.38355999999999</v>
      </c>
      <c r="J28" s="316" t="s">
        <v>38</v>
      </c>
      <c r="K28" s="312" t="s">
        <v>17</v>
      </c>
      <c r="L28" s="310">
        <f t="shared" si="4"/>
        <v>77.30753399999999</v>
      </c>
      <c r="M28" s="310">
        <f t="shared" si="0"/>
        <v>20.615342399999999</v>
      </c>
      <c r="N28" s="311">
        <f t="shared" si="1"/>
        <v>10.3076712</v>
      </c>
      <c r="O28" s="311">
        <f t="shared" si="2"/>
        <v>10.3076712</v>
      </c>
      <c r="P28" s="308">
        <f t="shared" si="3"/>
        <v>36.076849199999984</v>
      </c>
    </row>
    <row r="29" spans="1:16">
      <c r="A29" s="305">
        <v>27</v>
      </c>
      <c r="B29" s="330" t="s">
        <v>501</v>
      </c>
      <c r="C29" s="388" t="s">
        <v>234</v>
      </c>
      <c r="D29" s="254">
        <v>1003110357716</v>
      </c>
      <c r="E29" s="268">
        <v>5478661</v>
      </c>
      <c r="F29" s="312">
        <v>532.25</v>
      </c>
      <c r="G29" s="308">
        <f t="shared" si="5"/>
        <v>39.280050000000003</v>
      </c>
      <c r="H29" s="312">
        <v>57.19</v>
      </c>
      <c r="I29" s="310">
        <f t="shared" si="6"/>
        <v>435.77994999999999</v>
      </c>
      <c r="J29" s="316" t="s">
        <v>38</v>
      </c>
      <c r="K29" s="312" t="s">
        <v>502</v>
      </c>
      <c r="L29" s="310">
        <f t="shared" si="4"/>
        <v>65.366992499999995</v>
      </c>
      <c r="M29" s="310">
        <f t="shared" si="0"/>
        <v>17.431197999999998</v>
      </c>
      <c r="N29" s="311">
        <f t="shared" si="1"/>
        <v>8.7155989999999992</v>
      </c>
      <c r="O29" s="311">
        <f t="shared" si="2"/>
        <v>8.7155989999999992</v>
      </c>
      <c r="P29" s="308">
        <f t="shared" si="3"/>
        <v>30.504596500000005</v>
      </c>
    </row>
    <row r="30" spans="1:16">
      <c r="A30" s="305">
        <v>28</v>
      </c>
      <c r="B30" s="330" t="s">
        <v>503</v>
      </c>
      <c r="C30" s="388" t="s">
        <v>475</v>
      </c>
      <c r="D30" s="254">
        <v>1003110356855</v>
      </c>
      <c r="E30" s="268">
        <v>5488181</v>
      </c>
      <c r="F30" s="312">
        <v>529.66999999999996</v>
      </c>
      <c r="G30" s="308">
        <f t="shared" si="5"/>
        <v>39.089646000000002</v>
      </c>
      <c r="H30" s="312">
        <v>56.91</v>
      </c>
      <c r="I30" s="310">
        <f t="shared" si="6"/>
        <v>433.67035399999997</v>
      </c>
      <c r="J30" s="316" t="s">
        <v>68</v>
      </c>
      <c r="K30" s="312" t="s">
        <v>238</v>
      </c>
      <c r="L30" s="310">
        <f t="shared" si="4"/>
        <v>65.050553099999988</v>
      </c>
      <c r="M30" s="310">
        <f t="shared" si="0"/>
        <v>17.346814160000001</v>
      </c>
      <c r="N30" s="311">
        <f t="shared" si="1"/>
        <v>8.6734070800000005</v>
      </c>
      <c r="O30" s="311">
        <f t="shared" si="2"/>
        <v>8.6734070800000005</v>
      </c>
      <c r="P30" s="308">
        <f t="shared" si="3"/>
        <v>30.356924779999989</v>
      </c>
    </row>
    <row r="31" spans="1:16">
      <c r="A31" s="305">
        <v>29</v>
      </c>
      <c r="B31" s="330" t="s">
        <v>504</v>
      </c>
      <c r="C31" s="388" t="s">
        <v>29</v>
      </c>
      <c r="D31" s="254">
        <v>51772025423107</v>
      </c>
      <c r="E31" s="268">
        <v>5487453</v>
      </c>
      <c r="F31" s="312">
        <v>996.54</v>
      </c>
      <c r="G31" s="308">
        <f t="shared" si="5"/>
        <v>73.544651999999999</v>
      </c>
      <c r="H31" s="312">
        <v>166.09</v>
      </c>
      <c r="I31" s="310">
        <f t="shared" si="6"/>
        <v>756.90534799999989</v>
      </c>
      <c r="J31" s="316" t="s">
        <v>38</v>
      </c>
      <c r="K31" s="312" t="s">
        <v>14</v>
      </c>
      <c r="L31" s="310">
        <f t="shared" si="4"/>
        <v>113.53580219999998</v>
      </c>
      <c r="M31" s="310">
        <f t="shared" si="0"/>
        <v>30.276213919999996</v>
      </c>
      <c r="N31" s="311">
        <f t="shared" si="1"/>
        <v>15.138106959999998</v>
      </c>
      <c r="O31" s="311">
        <f t="shared" si="2"/>
        <v>15.138106959999998</v>
      </c>
      <c r="P31" s="308">
        <f t="shared" si="3"/>
        <v>52.983374359999971</v>
      </c>
    </row>
    <row r="32" spans="1:16">
      <c r="A32" s="305">
        <v>30</v>
      </c>
      <c r="B32" s="330" t="s">
        <v>505</v>
      </c>
      <c r="C32" s="388" t="s">
        <v>12</v>
      </c>
      <c r="D32" s="254">
        <v>1003110354186</v>
      </c>
      <c r="E32" s="280">
        <v>5487266</v>
      </c>
      <c r="F32" s="312">
        <v>604.92999999999995</v>
      </c>
      <c r="G32" s="308">
        <f t="shared" si="5"/>
        <v>44.643833999999998</v>
      </c>
      <c r="H32" s="312">
        <v>65</v>
      </c>
      <c r="I32" s="310">
        <f t="shared" si="6"/>
        <v>495.28616599999998</v>
      </c>
      <c r="J32" s="316" t="s">
        <v>68</v>
      </c>
      <c r="K32" s="312" t="s">
        <v>17</v>
      </c>
      <c r="L32" s="310">
        <f t="shared" si="4"/>
        <v>74.292924899999988</v>
      </c>
      <c r="M32" s="310">
        <f t="shared" si="0"/>
        <v>19.81144664</v>
      </c>
      <c r="N32" s="311">
        <f t="shared" si="1"/>
        <v>9.9057233199999999</v>
      </c>
      <c r="O32" s="311">
        <f t="shared" si="2"/>
        <v>9.9057233199999999</v>
      </c>
      <c r="P32" s="308">
        <f t="shared" si="3"/>
        <v>34.670031619999989</v>
      </c>
    </row>
    <row r="33" spans="1:16">
      <c r="A33" s="305">
        <v>31</v>
      </c>
      <c r="B33" s="330" t="s">
        <v>506</v>
      </c>
      <c r="C33" s="388" t="s">
        <v>29</v>
      </c>
      <c r="D33" s="254">
        <v>1003110353079</v>
      </c>
      <c r="E33" s="280">
        <v>5486612</v>
      </c>
      <c r="F33" s="312">
        <v>755.65</v>
      </c>
      <c r="G33" s="308">
        <f t="shared" si="5"/>
        <v>55.766970000000001</v>
      </c>
      <c r="H33" s="312">
        <v>251.85</v>
      </c>
      <c r="I33" s="310">
        <f t="shared" si="6"/>
        <v>448.03302999999994</v>
      </c>
      <c r="J33" s="316" t="s">
        <v>68</v>
      </c>
      <c r="K33" s="312" t="s">
        <v>258</v>
      </c>
      <c r="L33" s="310">
        <f t="shared" si="4"/>
        <v>67.204954499999985</v>
      </c>
      <c r="M33" s="310">
        <f t="shared" si="0"/>
        <v>17.921321199999998</v>
      </c>
      <c r="N33" s="311">
        <f t="shared" si="1"/>
        <v>8.9606605999999989</v>
      </c>
      <c r="O33" s="311">
        <f t="shared" si="2"/>
        <v>8.9606605999999989</v>
      </c>
      <c r="P33" s="308">
        <f t="shared" si="3"/>
        <v>31.362312099999997</v>
      </c>
    </row>
    <row r="34" spans="1:16">
      <c r="A34" s="305">
        <v>32</v>
      </c>
      <c r="B34" s="330" t="s">
        <v>507</v>
      </c>
      <c r="C34" s="388" t="s">
        <v>173</v>
      </c>
      <c r="D34" s="254">
        <v>10031110297621</v>
      </c>
      <c r="E34" s="280" t="s">
        <v>508</v>
      </c>
      <c r="F34" s="312">
        <v>548.66999999999996</v>
      </c>
      <c r="G34" s="308">
        <f t="shared" si="5"/>
        <v>40.491846000000002</v>
      </c>
      <c r="H34" s="312">
        <v>45.67</v>
      </c>
      <c r="I34" s="310">
        <f t="shared" si="6"/>
        <v>462.50815399999993</v>
      </c>
      <c r="J34" s="316" t="s">
        <v>68</v>
      </c>
      <c r="K34" s="312" t="s">
        <v>17</v>
      </c>
      <c r="L34" s="310">
        <f t="shared" si="4"/>
        <v>69.37622309999999</v>
      </c>
      <c r="M34" s="310">
        <f t="shared" si="0"/>
        <v>18.500326159999997</v>
      </c>
      <c r="N34" s="311">
        <f t="shared" si="1"/>
        <v>9.2501630799999983</v>
      </c>
      <c r="O34" s="311">
        <f t="shared" si="2"/>
        <v>9.2501630799999983</v>
      </c>
      <c r="P34" s="308">
        <f t="shared" si="3"/>
        <v>32.37557077999999</v>
      </c>
    </row>
    <row r="35" spans="1:16">
      <c r="A35" s="305">
        <v>33</v>
      </c>
      <c r="B35" s="330" t="s">
        <v>509</v>
      </c>
      <c r="C35" s="388" t="s">
        <v>173</v>
      </c>
      <c r="D35" s="280">
        <v>2565700</v>
      </c>
      <c r="E35" s="280">
        <v>5490084</v>
      </c>
      <c r="F35" s="312">
        <v>1101</v>
      </c>
      <c r="G35" s="308">
        <f t="shared" si="5"/>
        <v>81.253799999999998</v>
      </c>
      <c r="H35" s="312">
        <v>96.58</v>
      </c>
      <c r="I35" s="310">
        <f t="shared" si="6"/>
        <v>923.1662</v>
      </c>
      <c r="J35" s="316" t="s">
        <v>38</v>
      </c>
      <c r="K35" s="312" t="s">
        <v>25</v>
      </c>
      <c r="L35" s="310">
        <f t="shared" si="4"/>
        <v>138.47493</v>
      </c>
      <c r="M35" s="310">
        <f t="shared" si="0"/>
        <v>36.926648</v>
      </c>
      <c r="N35" s="311">
        <f t="shared" si="1"/>
        <v>18.463324</v>
      </c>
      <c r="O35" s="311">
        <f t="shared" si="2"/>
        <v>18.463324</v>
      </c>
      <c r="P35" s="308">
        <f t="shared" si="3"/>
        <v>64.621634</v>
      </c>
    </row>
    <row r="36" spans="1:16">
      <c r="A36" s="305">
        <v>34</v>
      </c>
      <c r="B36" s="339" t="s">
        <v>510</v>
      </c>
      <c r="C36" s="327" t="s">
        <v>29</v>
      </c>
      <c r="D36" s="400">
        <v>1003110465548</v>
      </c>
      <c r="E36" s="401" t="s">
        <v>511</v>
      </c>
      <c r="F36" s="294">
        <v>627.03</v>
      </c>
      <c r="G36" s="294">
        <f t="shared" si="5"/>
        <v>46.274813999999999</v>
      </c>
      <c r="H36" s="294">
        <v>67.38</v>
      </c>
      <c r="I36" s="293">
        <f t="shared" si="6"/>
        <v>513.37518599999999</v>
      </c>
      <c r="J36" s="329" t="s">
        <v>68</v>
      </c>
      <c r="K36" s="294" t="s">
        <v>17</v>
      </c>
      <c r="L36" s="293">
        <f t="shared" si="4"/>
        <v>77.006277900000001</v>
      </c>
      <c r="M36" s="293">
        <f t="shared" si="0"/>
        <v>20.535007440000001</v>
      </c>
      <c r="N36" s="296">
        <f t="shared" si="1"/>
        <v>10.267503720000001</v>
      </c>
      <c r="O36" s="296">
        <f t="shared" si="2"/>
        <v>10.267503720000001</v>
      </c>
      <c r="P36" s="294">
        <f t="shared" si="3"/>
        <v>35.936263019999998</v>
      </c>
    </row>
    <row r="37" spans="1:16">
      <c r="A37" s="305">
        <v>35</v>
      </c>
      <c r="B37" s="330" t="s">
        <v>512</v>
      </c>
      <c r="C37" s="388" t="s">
        <v>173</v>
      </c>
      <c r="D37" s="254">
        <v>1003110361268</v>
      </c>
      <c r="E37" s="280">
        <v>5489563</v>
      </c>
      <c r="F37" s="312">
        <v>722.98</v>
      </c>
      <c r="G37" s="308">
        <f t="shared" si="5"/>
        <v>53.355924000000002</v>
      </c>
      <c r="H37" s="312">
        <v>77.98</v>
      </c>
      <c r="I37" s="310">
        <f t="shared" si="6"/>
        <v>591.64407600000004</v>
      </c>
      <c r="J37" s="316" t="s">
        <v>68</v>
      </c>
      <c r="K37" s="312" t="s">
        <v>14</v>
      </c>
      <c r="L37" s="310">
        <f t="shared" si="4"/>
        <v>88.746611400000006</v>
      </c>
      <c r="M37" s="310">
        <f t="shared" si="0"/>
        <v>23.665763040000002</v>
      </c>
      <c r="N37" s="311">
        <f t="shared" si="1"/>
        <v>11.832881520000001</v>
      </c>
      <c r="O37" s="311">
        <f t="shared" si="2"/>
        <v>11.832881520000001</v>
      </c>
      <c r="P37" s="308">
        <f t="shared" si="3"/>
        <v>41.415085320000003</v>
      </c>
    </row>
    <row r="38" spans="1:16">
      <c r="A38" s="305">
        <v>36</v>
      </c>
      <c r="B38" s="330" t="s">
        <v>513</v>
      </c>
      <c r="C38" s="388" t="s">
        <v>475</v>
      </c>
      <c r="D38" s="254">
        <v>1003109069222</v>
      </c>
      <c r="E38" s="280" t="s">
        <v>514</v>
      </c>
      <c r="F38" s="312">
        <v>459.29</v>
      </c>
      <c r="G38" s="308">
        <f t="shared" si="5"/>
        <v>33.895602000000004</v>
      </c>
      <c r="H38" s="312">
        <v>52.99</v>
      </c>
      <c r="I38" s="310">
        <f t="shared" si="6"/>
        <v>372.40439800000001</v>
      </c>
      <c r="J38" s="316" t="s">
        <v>68</v>
      </c>
      <c r="K38" s="312" t="s">
        <v>17</v>
      </c>
      <c r="L38" s="310">
        <f t="shared" si="4"/>
        <v>55.860659699999999</v>
      </c>
      <c r="M38" s="310">
        <f t="shared" si="0"/>
        <v>14.896175920000001</v>
      </c>
      <c r="N38" s="311">
        <f t="shared" si="1"/>
        <v>7.4480879600000005</v>
      </c>
      <c r="O38" s="311">
        <f t="shared" si="2"/>
        <v>7.4480879600000005</v>
      </c>
      <c r="P38" s="308">
        <f t="shared" si="3"/>
        <v>26.06830785999999</v>
      </c>
    </row>
    <row r="39" spans="1:16">
      <c r="A39" s="305">
        <v>37</v>
      </c>
      <c r="B39" s="330" t="s">
        <v>515</v>
      </c>
      <c r="C39" s="388" t="s">
        <v>173</v>
      </c>
      <c r="D39" s="254">
        <v>1003110381706</v>
      </c>
      <c r="E39" s="280">
        <v>5493972</v>
      </c>
      <c r="F39" s="312">
        <v>756.58</v>
      </c>
      <c r="G39" s="308">
        <f t="shared" si="5"/>
        <v>55.835604000000004</v>
      </c>
      <c r="H39" s="312">
        <v>199.85</v>
      </c>
      <c r="I39" s="310">
        <f t="shared" si="6"/>
        <v>500.89439600000003</v>
      </c>
      <c r="J39" s="316" t="s">
        <v>38</v>
      </c>
      <c r="K39" s="312" t="s">
        <v>516</v>
      </c>
      <c r="L39" s="310">
        <f t="shared" si="4"/>
        <v>75.134159400000001</v>
      </c>
      <c r="M39" s="310">
        <f t="shared" si="0"/>
        <v>20.035775840000003</v>
      </c>
      <c r="N39" s="311">
        <f t="shared" si="1"/>
        <v>10.017887920000002</v>
      </c>
      <c r="O39" s="311">
        <f t="shared" si="2"/>
        <v>10.017887920000002</v>
      </c>
      <c r="P39" s="308">
        <f t="shared" si="3"/>
        <v>35.062607720000003</v>
      </c>
    </row>
    <row r="40" spans="1:16">
      <c r="A40" s="305">
        <v>38</v>
      </c>
      <c r="B40" s="330" t="s">
        <v>517</v>
      </c>
      <c r="C40" s="388" t="s">
        <v>170</v>
      </c>
      <c r="D40" s="254">
        <v>2616356</v>
      </c>
      <c r="E40" s="280">
        <v>5489966</v>
      </c>
      <c r="F40" s="312">
        <v>491.5</v>
      </c>
      <c r="G40" s="308">
        <f t="shared" si="5"/>
        <v>36.2727</v>
      </c>
      <c r="H40" s="312">
        <v>139.16</v>
      </c>
      <c r="I40" s="310">
        <f t="shared" si="6"/>
        <v>316.06730000000005</v>
      </c>
      <c r="J40" s="316" t="s">
        <v>68</v>
      </c>
      <c r="K40" s="312" t="s">
        <v>26</v>
      </c>
      <c r="L40" s="310">
        <f t="shared" si="4"/>
        <v>47.410095000000005</v>
      </c>
      <c r="M40" s="310">
        <f t="shared" si="0"/>
        <v>12.642692000000002</v>
      </c>
      <c r="N40" s="311">
        <f t="shared" si="1"/>
        <v>6.321346000000001</v>
      </c>
      <c r="O40" s="311">
        <f t="shared" si="2"/>
        <v>6.321346000000001</v>
      </c>
      <c r="P40" s="308">
        <f t="shared" si="3"/>
        <v>22.124710999999998</v>
      </c>
    </row>
    <row r="41" spans="1:16">
      <c r="A41" s="305">
        <v>39</v>
      </c>
      <c r="B41" s="330" t="s">
        <v>518</v>
      </c>
      <c r="C41" s="388" t="s">
        <v>173</v>
      </c>
      <c r="D41" s="254">
        <v>1003110365182</v>
      </c>
      <c r="E41" s="280">
        <v>5491136</v>
      </c>
      <c r="F41" s="312">
        <v>666.55</v>
      </c>
      <c r="G41" s="308">
        <f t="shared" si="5"/>
        <v>49.191389999999998</v>
      </c>
      <c r="H41" s="312">
        <v>72.31</v>
      </c>
      <c r="I41" s="310">
        <f t="shared" si="6"/>
        <v>545.04861000000005</v>
      </c>
      <c r="J41" s="316" t="s">
        <v>38</v>
      </c>
      <c r="K41" s="312" t="s">
        <v>519</v>
      </c>
      <c r="L41" s="310">
        <f t="shared" si="4"/>
        <v>81.757291500000008</v>
      </c>
      <c r="M41" s="310">
        <f t="shared" si="0"/>
        <v>21.801944400000004</v>
      </c>
      <c r="N41" s="311">
        <f t="shared" si="1"/>
        <v>10.900972200000002</v>
      </c>
      <c r="O41" s="311">
        <f t="shared" si="2"/>
        <v>10.900972200000002</v>
      </c>
      <c r="P41" s="308">
        <f t="shared" si="3"/>
        <v>38.153402700000001</v>
      </c>
    </row>
    <row r="42" spans="1:16">
      <c r="A42" s="305">
        <v>40</v>
      </c>
      <c r="B42" s="330" t="s">
        <v>342</v>
      </c>
      <c r="C42" s="388" t="s">
        <v>42</v>
      </c>
      <c r="D42" s="254">
        <v>51772025423107</v>
      </c>
      <c r="E42" s="280">
        <v>5493039</v>
      </c>
      <c r="F42" s="312">
        <v>1606.645</v>
      </c>
      <c r="G42" s="308">
        <f t="shared" si="5"/>
        <v>118.570401</v>
      </c>
      <c r="H42" s="312">
        <v>160.66</v>
      </c>
      <c r="I42" s="310">
        <f t="shared" si="6"/>
        <v>1327.414599</v>
      </c>
      <c r="J42" s="316" t="s">
        <v>38</v>
      </c>
      <c r="K42" s="312" t="s">
        <v>258</v>
      </c>
      <c r="L42" s="310">
        <f t="shared" si="4"/>
        <v>199.11218984999999</v>
      </c>
      <c r="M42" s="310">
        <f t="shared" si="0"/>
        <v>53.096583959999997</v>
      </c>
      <c r="N42" s="311">
        <f t="shared" si="1"/>
        <v>26.548291979999998</v>
      </c>
      <c r="O42" s="311">
        <f t="shared" si="2"/>
        <v>26.548291979999998</v>
      </c>
      <c r="P42" s="308">
        <f t="shared" si="3"/>
        <v>92.919021929999985</v>
      </c>
    </row>
    <row r="43" spans="1:16">
      <c r="A43" s="305">
        <v>41</v>
      </c>
      <c r="B43" s="330" t="s">
        <v>520</v>
      </c>
      <c r="C43" s="388" t="s">
        <v>42</v>
      </c>
      <c r="D43" s="254">
        <v>2569544</v>
      </c>
      <c r="E43" s="280">
        <v>5488031</v>
      </c>
      <c r="F43" s="312">
        <v>2393.12</v>
      </c>
      <c r="G43" s="308">
        <f t="shared" si="5"/>
        <v>176.612256</v>
      </c>
      <c r="H43" s="312">
        <v>199.16</v>
      </c>
      <c r="I43" s="310">
        <f t="shared" si="6"/>
        <v>2017.3477439999999</v>
      </c>
      <c r="J43" s="316" t="s">
        <v>38</v>
      </c>
      <c r="K43" s="312" t="s">
        <v>14</v>
      </c>
      <c r="L43" s="310">
        <f t="shared" si="4"/>
        <v>302.60216159999999</v>
      </c>
      <c r="M43" s="310">
        <f t="shared" si="0"/>
        <v>80.693909759999997</v>
      </c>
      <c r="N43" s="311">
        <f t="shared" si="1"/>
        <v>40.346954879999998</v>
      </c>
      <c r="O43" s="311">
        <f t="shared" si="2"/>
        <v>40.346954879999998</v>
      </c>
      <c r="P43" s="308">
        <f t="shared" si="3"/>
        <v>141.21434207999999</v>
      </c>
    </row>
    <row r="44" spans="1:16">
      <c r="A44" s="305">
        <v>42</v>
      </c>
      <c r="B44" s="330" t="s">
        <v>521</v>
      </c>
      <c r="C44" s="388" t="s">
        <v>475</v>
      </c>
      <c r="D44" s="254">
        <v>1003110385111</v>
      </c>
      <c r="E44" s="280">
        <v>5493703</v>
      </c>
      <c r="F44" s="312">
        <v>483.36</v>
      </c>
      <c r="G44" s="308">
        <f t="shared" si="5"/>
        <v>35.671968</v>
      </c>
      <c r="H44" s="312">
        <v>127.68</v>
      </c>
      <c r="I44" s="310">
        <f t="shared" si="6"/>
        <v>320.00803200000001</v>
      </c>
      <c r="J44" s="316" t="s">
        <v>68</v>
      </c>
      <c r="K44" s="312" t="s">
        <v>26</v>
      </c>
      <c r="L44" s="310">
        <f t="shared" si="4"/>
        <v>48.001204800000004</v>
      </c>
      <c r="M44" s="310">
        <f t="shared" si="0"/>
        <v>12.80032128</v>
      </c>
      <c r="N44" s="311">
        <f t="shared" si="1"/>
        <v>6.4001606400000002</v>
      </c>
      <c r="O44" s="311">
        <f t="shared" si="2"/>
        <v>6.4001606400000002</v>
      </c>
      <c r="P44" s="308">
        <f t="shared" si="3"/>
        <v>22.400562240000006</v>
      </c>
    </row>
    <row r="45" spans="1:16">
      <c r="A45" s="305">
        <v>43</v>
      </c>
      <c r="B45" s="330" t="s">
        <v>522</v>
      </c>
      <c r="C45" s="388" t="s">
        <v>475</v>
      </c>
      <c r="D45" s="280">
        <v>51772025423107</v>
      </c>
      <c r="E45" s="280">
        <v>5496928</v>
      </c>
      <c r="F45" s="312">
        <v>538.95000000000005</v>
      </c>
      <c r="G45" s="308">
        <f t="shared" si="5"/>
        <v>39.774510000000006</v>
      </c>
      <c r="H45" s="312">
        <v>0</v>
      </c>
      <c r="I45" s="310">
        <f t="shared" si="6"/>
        <v>499.17549000000002</v>
      </c>
      <c r="J45" s="316" t="s">
        <v>68</v>
      </c>
      <c r="K45" s="312" t="s">
        <v>26</v>
      </c>
      <c r="L45" s="310">
        <f t="shared" si="4"/>
        <v>74.876323499999998</v>
      </c>
      <c r="M45" s="310">
        <f t="shared" si="0"/>
        <v>19.9670196</v>
      </c>
      <c r="N45" s="311">
        <f t="shared" si="1"/>
        <v>9.9835098000000002</v>
      </c>
      <c r="O45" s="311">
        <f t="shared" si="2"/>
        <v>9.9835098000000002</v>
      </c>
      <c r="P45" s="308">
        <f t="shared" si="3"/>
        <v>34.942284299999997</v>
      </c>
    </row>
    <row r="46" spans="1:16">
      <c r="A46" s="305">
        <v>44</v>
      </c>
      <c r="B46" s="330" t="s">
        <v>523</v>
      </c>
      <c r="C46" s="388" t="s">
        <v>173</v>
      </c>
      <c r="D46" s="281">
        <v>1003110373710</v>
      </c>
      <c r="E46" s="280">
        <v>5493902</v>
      </c>
      <c r="F46" s="312">
        <v>583.16999999999996</v>
      </c>
      <c r="G46" s="308">
        <f t="shared" si="5"/>
        <v>43.037945999999998</v>
      </c>
      <c r="H46" s="312">
        <v>194.38</v>
      </c>
      <c r="I46" s="310">
        <f t="shared" si="6"/>
        <v>345.75205399999993</v>
      </c>
      <c r="J46" s="316" t="s">
        <v>68</v>
      </c>
      <c r="K46" s="312" t="s">
        <v>182</v>
      </c>
      <c r="L46" s="310">
        <f t="shared" si="4"/>
        <v>51.862808099999988</v>
      </c>
      <c r="M46" s="310">
        <f t="shared" si="0"/>
        <v>13.830082159999998</v>
      </c>
      <c r="N46" s="311">
        <f t="shared" si="1"/>
        <v>6.9150410799999991</v>
      </c>
      <c r="O46" s="311">
        <f t="shared" si="2"/>
        <v>6.9150410799999991</v>
      </c>
      <c r="P46" s="308">
        <f t="shared" si="3"/>
        <v>24.202643779999995</v>
      </c>
    </row>
    <row r="47" spans="1:16">
      <c r="A47" s="305">
        <v>45</v>
      </c>
      <c r="B47" s="330" t="s">
        <v>515</v>
      </c>
      <c r="C47" s="388" t="s">
        <v>29</v>
      </c>
      <c r="D47" s="254">
        <v>1003110381706</v>
      </c>
      <c r="E47" s="280">
        <v>5493972</v>
      </c>
      <c r="F47" s="312">
        <v>756.58</v>
      </c>
      <c r="G47" s="308">
        <f t="shared" si="5"/>
        <v>55.835604000000004</v>
      </c>
      <c r="H47" s="312">
        <v>199.85</v>
      </c>
      <c r="I47" s="310">
        <f t="shared" si="6"/>
        <v>500.89439600000003</v>
      </c>
      <c r="J47" s="316" t="s">
        <v>38</v>
      </c>
      <c r="K47" s="312" t="s">
        <v>516</v>
      </c>
      <c r="L47" s="310">
        <f t="shared" si="4"/>
        <v>75.134159400000001</v>
      </c>
      <c r="M47" s="310">
        <f t="shared" si="0"/>
        <v>20.035775840000003</v>
      </c>
      <c r="N47" s="311">
        <f t="shared" si="1"/>
        <v>10.017887920000002</v>
      </c>
      <c r="O47" s="311">
        <f t="shared" si="2"/>
        <v>10.017887920000002</v>
      </c>
      <c r="P47" s="308">
        <f t="shared" si="3"/>
        <v>35.062607720000003</v>
      </c>
    </row>
    <row r="48" spans="1:16">
      <c r="A48" s="305">
        <v>46</v>
      </c>
      <c r="B48" s="330" t="s">
        <v>524</v>
      </c>
      <c r="C48" s="388" t="s">
        <v>525</v>
      </c>
      <c r="D48" s="254">
        <v>2412700</v>
      </c>
      <c r="E48" s="280">
        <v>5496112</v>
      </c>
      <c r="F48" s="312">
        <v>588.39</v>
      </c>
      <c r="G48" s="308">
        <f t="shared" si="5"/>
        <v>43.423182000000004</v>
      </c>
      <c r="H48" s="312">
        <v>63.22</v>
      </c>
      <c r="I48" s="310">
        <f t="shared" si="6"/>
        <v>481.74681799999996</v>
      </c>
      <c r="J48" s="316" t="s">
        <v>68</v>
      </c>
      <c r="K48" s="312" t="s">
        <v>17</v>
      </c>
      <c r="L48" s="310">
        <f t="shared" si="4"/>
        <v>72.262022699999989</v>
      </c>
      <c r="M48" s="310">
        <f t="shared" si="0"/>
        <v>19.269872719999999</v>
      </c>
      <c r="N48" s="311">
        <f t="shared" si="1"/>
        <v>9.6349363599999993</v>
      </c>
      <c r="O48" s="311">
        <f t="shared" si="2"/>
        <v>9.6349363599999993</v>
      </c>
      <c r="P48" s="308">
        <f t="shared" si="3"/>
        <v>33.722277259999998</v>
      </c>
    </row>
    <row r="49" spans="1:16">
      <c r="A49" s="305">
        <v>47</v>
      </c>
      <c r="B49" s="339" t="s">
        <v>526</v>
      </c>
      <c r="C49" s="327" t="s">
        <v>475</v>
      </c>
      <c r="D49" s="400">
        <v>51772025423</v>
      </c>
      <c r="E49" s="401">
        <v>5493777</v>
      </c>
      <c r="F49" s="294">
        <v>506.8</v>
      </c>
      <c r="G49" s="294">
        <f t="shared" si="5"/>
        <v>37.40184</v>
      </c>
      <c r="H49" s="294">
        <v>50.68</v>
      </c>
      <c r="I49" s="293">
        <f t="shared" si="6"/>
        <v>418.71816000000001</v>
      </c>
      <c r="J49" s="329" t="s">
        <v>38</v>
      </c>
      <c r="K49" s="294" t="s">
        <v>26</v>
      </c>
      <c r="L49" s="293">
        <f t="shared" si="4"/>
        <v>62.807724</v>
      </c>
      <c r="M49" s="293">
        <f t="shared" si="0"/>
        <v>16.748726400000002</v>
      </c>
      <c r="N49" s="296">
        <f t="shared" si="1"/>
        <v>8.3743632000000012</v>
      </c>
      <c r="O49" s="296">
        <f t="shared" si="2"/>
        <v>8.3743632000000012</v>
      </c>
      <c r="P49" s="294">
        <f t="shared" si="3"/>
        <v>29.310271199999992</v>
      </c>
    </row>
    <row r="50" spans="1:16">
      <c r="A50" s="305">
        <v>48</v>
      </c>
      <c r="B50" s="330" t="s">
        <v>527</v>
      </c>
      <c r="C50" s="388" t="s">
        <v>173</v>
      </c>
      <c r="D50" s="254">
        <v>51772025423</v>
      </c>
      <c r="E50" s="280" t="s">
        <v>528</v>
      </c>
      <c r="F50" s="312">
        <v>702.98</v>
      </c>
      <c r="G50" s="308">
        <f t="shared" si="5"/>
        <v>51.879924000000003</v>
      </c>
      <c r="H50" s="312">
        <v>0</v>
      </c>
      <c r="I50" s="310">
        <f t="shared" si="6"/>
        <v>651.10007600000006</v>
      </c>
      <c r="J50" s="316" t="s">
        <v>68</v>
      </c>
      <c r="K50" s="312" t="s">
        <v>17</v>
      </c>
      <c r="L50" s="310">
        <f t="shared" si="4"/>
        <v>97.665011400000012</v>
      </c>
      <c r="M50" s="310">
        <f t="shared" si="0"/>
        <v>26.044003040000003</v>
      </c>
      <c r="N50" s="311">
        <f t="shared" si="1"/>
        <v>13.022001520000002</v>
      </c>
      <c r="O50" s="311">
        <f t="shared" si="2"/>
        <v>13.022001520000002</v>
      </c>
      <c r="P50" s="308">
        <f t="shared" si="3"/>
        <v>45.577005319999998</v>
      </c>
    </row>
    <row r="51" spans="1:16">
      <c r="A51" s="305">
        <v>49</v>
      </c>
      <c r="B51" s="330" t="s">
        <v>529</v>
      </c>
      <c r="C51" s="388" t="s">
        <v>19</v>
      </c>
      <c r="D51" s="254">
        <v>2616578</v>
      </c>
      <c r="E51" s="280" t="s">
        <v>530</v>
      </c>
      <c r="F51" s="312">
        <v>443.25</v>
      </c>
      <c r="G51" s="308">
        <f t="shared" si="5"/>
        <v>32.711850000000005</v>
      </c>
      <c r="H51" s="312">
        <v>56.87</v>
      </c>
      <c r="I51" s="310">
        <f t="shared" si="6"/>
        <v>353.66814999999997</v>
      </c>
      <c r="J51" s="316" t="s">
        <v>68</v>
      </c>
      <c r="K51" s="312" t="s">
        <v>17</v>
      </c>
      <c r="L51" s="310">
        <f t="shared" si="4"/>
        <v>53.050222499999997</v>
      </c>
      <c r="M51" s="310">
        <f t="shared" si="0"/>
        <v>14.146725999999999</v>
      </c>
      <c r="N51" s="311">
        <f t="shared" si="1"/>
        <v>7.0733629999999996</v>
      </c>
      <c r="O51" s="311">
        <f t="shared" si="2"/>
        <v>7.0733629999999996</v>
      </c>
      <c r="P51" s="308">
        <f t="shared" si="3"/>
        <v>24.756770499999995</v>
      </c>
    </row>
    <row r="52" spans="1:16">
      <c r="A52" s="305">
        <v>50</v>
      </c>
      <c r="B52" s="330" t="s">
        <v>531</v>
      </c>
      <c r="C52" s="388" t="s">
        <v>472</v>
      </c>
      <c r="D52" s="254">
        <v>1003110372214</v>
      </c>
      <c r="E52" s="280">
        <v>5496850</v>
      </c>
      <c r="F52" s="312">
        <v>594.53</v>
      </c>
      <c r="G52" s="308">
        <f t="shared" si="5"/>
        <v>43.876314000000001</v>
      </c>
      <c r="H52" s="312">
        <v>63.88</v>
      </c>
      <c r="I52" s="310">
        <f t="shared" si="6"/>
        <v>486.773686</v>
      </c>
      <c r="J52" s="316" t="s">
        <v>68</v>
      </c>
      <c r="K52" s="312" t="s">
        <v>321</v>
      </c>
      <c r="L52" s="310">
        <f t="shared" si="4"/>
        <v>73.016052899999991</v>
      </c>
      <c r="M52" s="310">
        <f t="shared" si="0"/>
        <v>19.47094744</v>
      </c>
      <c r="N52" s="311">
        <f t="shared" si="1"/>
        <v>9.7354737199999999</v>
      </c>
      <c r="O52" s="311">
        <f t="shared" si="2"/>
        <v>9.7354737199999999</v>
      </c>
      <c r="P52" s="308">
        <f t="shared" si="3"/>
        <v>34.074158019999985</v>
      </c>
    </row>
    <row r="53" spans="1:16">
      <c r="A53" s="305">
        <v>51</v>
      </c>
      <c r="B53" s="330" t="s">
        <v>532</v>
      </c>
      <c r="C53" s="388" t="s">
        <v>29</v>
      </c>
      <c r="D53" s="254">
        <v>2565492</v>
      </c>
      <c r="E53" s="280">
        <v>5496207</v>
      </c>
      <c r="F53" s="312">
        <v>553.63</v>
      </c>
      <c r="G53" s="308">
        <f t="shared" si="5"/>
        <v>40.857894000000002</v>
      </c>
      <c r="H53" s="312">
        <v>55.36</v>
      </c>
      <c r="I53" s="310">
        <f t="shared" si="6"/>
        <v>457.41210599999999</v>
      </c>
      <c r="J53" s="316" t="s">
        <v>38</v>
      </c>
      <c r="K53" s="312" t="s">
        <v>14</v>
      </c>
      <c r="L53" s="310">
        <f t="shared" si="4"/>
        <v>68.611815899999996</v>
      </c>
      <c r="M53" s="310">
        <f t="shared" si="0"/>
        <v>18.296484240000002</v>
      </c>
      <c r="N53" s="311">
        <f t="shared" si="1"/>
        <v>9.1482421200000008</v>
      </c>
      <c r="O53" s="311">
        <f t="shared" si="2"/>
        <v>9.1482421200000008</v>
      </c>
      <c r="P53" s="308">
        <f t="shared" si="3"/>
        <v>32.01884742</v>
      </c>
    </row>
    <row r="54" spans="1:16">
      <c r="A54" s="305">
        <v>52</v>
      </c>
      <c r="B54" s="330" t="s">
        <v>533</v>
      </c>
      <c r="C54" s="388" t="s">
        <v>29</v>
      </c>
      <c r="D54" s="254">
        <v>1003110373040</v>
      </c>
      <c r="E54" s="280">
        <v>5494402</v>
      </c>
      <c r="F54" s="312">
        <v>668.26</v>
      </c>
      <c r="G54" s="308">
        <f t="shared" si="5"/>
        <v>49.317588000000001</v>
      </c>
      <c r="H54" s="312">
        <v>0</v>
      </c>
      <c r="I54" s="310">
        <f t="shared" si="6"/>
        <v>618.94241199999999</v>
      </c>
      <c r="J54" s="316" t="s">
        <v>68</v>
      </c>
      <c r="K54" s="312" t="s">
        <v>534</v>
      </c>
      <c r="L54" s="310">
        <f t="shared" si="4"/>
        <v>92.841361800000001</v>
      </c>
      <c r="M54" s="310">
        <f t="shared" si="0"/>
        <v>24.75769648</v>
      </c>
      <c r="N54" s="311">
        <f t="shared" si="1"/>
        <v>12.37884824</v>
      </c>
      <c r="O54" s="311">
        <f t="shared" si="2"/>
        <v>12.37884824</v>
      </c>
      <c r="P54" s="308">
        <f t="shared" si="3"/>
        <v>43.325968840000002</v>
      </c>
    </row>
    <row r="55" spans="1:16">
      <c r="A55" s="305">
        <v>53</v>
      </c>
      <c r="B55" s="330" t="s">
        <v>535</v>
      </c>
      <c r="C55" s="388" t="s">
        <v>475</v>
      </c>
      <c r="D55" s="282">
        <v>1003110391261</v>
      </c>
      <c r="E55" s="280">
        <v>5493680</v>
      </c>
      <c r="F55" s="312">
        <v>532.11</v>
      </c>
      <c r="G55" s="308">
        <f t="shared" si="5"/>
        <v>39.269718000000005</v>
      </c>
      <c r="H55" s="312">
        <v>0</v>
      </c>
      <c r="I55" s="310">
        <f t="shared" si="6"/>
        <v>492.840282</v>
      </c>
      <c r="J55" s="316" t="s">
        <v>68</v>
      </c>
      <c r="K55" s="312" t="s">
        <v>502</v>
      </c>
      <c r="L55" s="310">
        <f t="shared" si="4"/>
        <v>73.926042299999992</v>
      </c>
      <c r="M55" s="310">
        <f t="shared" si="0"/>
        <v>19.713611280000002</v>
      </c>
      <c r="N55" s="311">
        <f t="shared" si="1"/>
        <v>9.856805640000001</v>
      </c>
      <c r="O55" s="311">
        <f t="shared" si="2"/>
        <v>9.856805640000001</v>
      </c>
      <c r="P55" s="308">
        <f t="shared" si="3"/>
        <v>34.498819739999988</v>
      </c>
    </row>
    <row r="56" spans="1:16">
      <c r="A56" s="305">
        <v>54</v>
      </c>
      <c r="B56" s="330" t="s">
        <v>536</v>
      </c>
      <c r="C56" s="388" t="s">
        <v>475</v>
      </c>
      <c r="D56" s="254">
        <v>517720255423</v>
      </c>
      <c r="E56" s="280">
        <v>5498751</v>
      </c>
      <c r="F56" s="312">
        <v>726.14</v>
      </c>
      <c r="G56" s="308">
        <f t="shared" si="5"/>
        <v>53.589131999999999</v>
      </c>
      <c r="H56" s="312">
        <v>89.56</v>
      </c>
      <c r="I56" s="310">
        <f t="shared" si="6"/>
        <v>582.99086800000009</v>
      </c>
      <c r="J56" s="316" t="s">
        <v>68</v>
      </c>
      <c r="K56" s="312" t="s">
        <v>26</v>
      </c>
      <c r="L56" s="310">
        <f t="shared" si="4"/>
        <v>87.448630200000011</v>
      </c>
      <c r="M56" s="310">
        <f t="shared" si="0"/>
        <v>23.319634720000003</v>
      </c>
      <c r="N56" s="311">
        <f t="shared" si="1"/>
        <v>11.659817360000002</v>
      </c>
      <c r="O56" s="311">
        <f t="shared" si="2"/>
        <v>11.659817360000002</v>
      </c>
      <c r="P56" s="308">
        <f t="shared" si="3"/>
        <v>40.809360760000004</v>
      </c>
    </row>
    <row r="57" spans="1:16">
      <c r="A57" s="305">
        <v>55</v>
      </c>
      <c r="B57" s="330" t="s">
        <v>537</v>
      </c>
      <c r="C57" s="388" t="s">
        <v>170</v>
      </c>
      <c r="D57" s="254">
        <v>1003110391709</v>
      </c>
      <c r="E57" s="280" t="s">
        <v>538</v>
      </c>
      <c r="F57" s="312">
        <v>495.58</v>
      </c>
      <c r="G57" s="308">
        <f t="shared" si="5"/>
        <v>36.573804000000003</v>
      </c>
      <c r="H57" s="312">
        <v>0</v>
      </c>
      <c r="I57" s="310">
        <f t="shared" si="6"/>
        <v>459.00619599999999</v>
      </c>
      <c r="J57" s="316" t="s">
        <v>68</v>
      </c>
      <c r="K57" s="312" t="s">
        <v>17</v>
      </c>
      <c r="L57" s="310">
        <f t="shared" si="4"/>
        <v>68.850929399999998</v>
      </c>
      <c r="M57" s="310">
        <f t="shared" si="0"/>
        <v>18.36024784</v>
      </c>
      <c r="N57" s="311">
        <f t="shared" si="1"/>
        <v>9.1801239199999998</v>
      </c>
      <c r="O57" s="311">
        <f t="shared" si="2"/>
        <v>9.1801239199999998</v>
      </c>
      <c r="P57" s="308">
        <f t="shared" si="3"/>
        <v>32.130433719999999</v>
      </c>
    </row>
    <row r="58" spans="1:16">
      <c r="A58" s="305">
        <v>56</v>
      </c>
      <c r="B58" s="330" t="s">
        <v>539</v>
      </c>
      <c r="C58" s="388" t="s">
        <v>29</v>
      </c>
      <c r="D58" s="254">
        <v>1003110375813</v>
      </c>
      <c r="E58" s="280">
        <v>5499066</v>
      </c>
      <c r="F58" s="312">
        <v>799.37</v>
      </c>
      <c r="G58" s="308">
        <f t="shared" si="5"/>
        <v>58.993506000000004</v>
      </c>
      <c r="H58" s="312">
        <v>85.89</v>
      </c>
      <c r="I58" s="310">
        <f t="shared" si="6"/>
        <v>654.48649399999999</v>
      </c>
      <c r="J58" s="316" t="s">
        <v>68</v>
      </c>
      <c r="K58" s="312" t="s">
        <v>164</v>
      </c>
      <c r="L58" s="310">
        <f t="shared" si="4"/>
        <v>98.17297409999999</v>
      </c>
      <c r="M58" s="310">
        <f t="shared" si="0"/>
        <v>26.17945976</v>
      </c>
      <c r="N58" s="311">
        <f t="shared" si="1"/>
        <v>13.08972988</v>
      </c>
      <c r="O58" s="311">
        <f t="shared" si="2"/>
        <v>13.08972988</v>
      </c>
      <c r="P58" s="308">
        <f t="shared" si="3"/>
        <v>45.81405457999999</v>
      </c>
    </row>
    <row r="59" spans="1:16">
      <c r="A59" s="305">
        <v>57</v>
      </c>
      <c r="B59" s="330" t="s">
        <v>540</v>
      </c>
      <c r="C59" s="388" t="s">
        <v>173</v>
      </c>
      <c r="D59" s="283">
        <v>1003110380812</v>
      </c>
      <c r="E59" s="280">
        <v>5501073</v>
      </c>
      <c r="F59" s="312">
        <v>636.86</v>
      </c>
      <c r="G59" s="308">
        <f t="shared" si="5"/>
        <v>47.000268000000005</v>
      </c>
      <c r="H59" s="312">
        <v>68.430000000000007</v>
      </c>
      <c r="I59" s="310">
        <f t="shared" si="6"/>
        <v>521.42973200000006</v>
      </c>
      <c r="J59" s="316" t="s">
        <v>68</v>
      </c>
      <c r="K59" s="312" t="s">
        <v>266</v>
      </c>
      <c r="L59" s="310">
        <f t="shared" si="4"/>
        <v>78.2144598</v>
      </c>
      <c r="M59" s="310">
        <f t="shared" si="0"/>
        <v>20.857189280000004</v>
      </c>
      <c r="N59" s="311">
        <f t="shared" si="1"/>
        <v>10.428594640000002</v>
      </c>
      <c r="O59" s="311">
        <f t="shared" si="2"/>
        <v>10.428594640000002</v>
      </c>
      <c r="P59" s="308">
        <f t="shared" si="3"/>
        <v>36.50008124</v>
      </c>
    </row>
    <row r="60" spans="1:16">
      <c r="A60" s="305">
        <v>58</v>
      </c>
      <c r="B60" s="330" t="s">
        <v>541</v>
      </c>
      <c r="C60" s="388" t="s">
        <v>469</v>
      </c>
      <c r="D60" s="284">
        <v>1003110380729</v>
      </c>
      <c r="E60" s="280" t="s">
        <v>542</v>
      </c>
      <c r="F60" s="312">
        <v>520.49</v>
      </c>
      <c r="G60" s="308">
        <f t="shared" si="5"/>
        <v>38.412162000000002</v>
      </c>
      <c r="H60" s="312">
        <v>55.93</v>
      </c>
      <c r="I60" s="310">
        <f t="shared" si="6"/>
        <v>426.14783799999998</v>
      </c>
      <c r="J60" s="316" t="s">
        <v>68</v>
      </c>
      <c r="K60" s="312" t="s">
        <v>17</v>
      </c>
      <c r="L60" s="310">
        <f t="shared" si="4"/>
        <v>63.922175699999997</v>
      </c>
      <c r="M60" s="310">
        <f t="shared" si="0"/>
        <v>17.045913519999999</v>
      </c>
      <c r="N60" s="311">
        <f t="shared" si="1"/>
        <v>8.5229567599999996</v>
      </c>
      <c r="O60" s="311">
        <f t="shared" si="2"/>
        <v>8.5229567599999996</v>
      </c>
      <c r="P60" s="308">
        <f t="shared" si="3"/>
        <v>29.830348659999999</v>
      </c>
    </row>
    <row r="61" spans="1:16">
      <c r="A61" s="305">
        <v>59</v>
      </c>
      <c r="B61" s="330" t="s">
        <v>543</v>
      </c>
      <c r="C61" s="388" t="s">
        <v>173</v>
      </c>
      <c r="D61" s="254">
        <v>1003110381010</v>
      </c>
      <c r="E61" s="280" t="s">
        <v>544</v>
      </c>
      <c r="F61" s="312">
        <v>477.45</v>
      </c>
      <c r="G61" s="308">
        <f t="shared" si="5"/>
        <v>35.235810000000001</v>
      </c>
      <c r="H61" s="312">
        <v>51.3</v>
      </c>
      <c r="I61" s="310">
        <f t="shared" si="6"/>
        <v>390.91418999999996</v>
      </c>
      <c r="J61" s="316" t="s">
        <v>68</v>
      </c>
      <c r="K61" s="312" t="s">
        <v>33</v>
      </c>
      <c r="L61" s="310">
        <f t="shared" si="4"/>
        <v>58.637128499999989</v>
      </c>
      <c r="M61" s="310">
        <f t="shared" si="0"/>
        <v>15.636567599999999</v>
      </c>
      <c r="N61" s="311">
        <f t="shared" si="1"/>
        <v>7.8182837999999997</v>
      </c>
      <c r="O61" s="311">
        <f t="shared" si="2"/>
        <v>7.8182837999999997</v>
      </c>
      <c r="P61" s="308">
        <f t="shared" si="3"/>
        <v>27.363993299999994</v>
      </c>
    </row>
    <row r="62" spans="1:16">
      <c r="A62" s="305">
        <v>60</v>
      </c>
      <c r="B62" s="330" t="s">
        <v>545</v>
      </c>
      <c r="C62" s="388" t="s">
        <v>12</v>
      </c>
      <c r="D62" s="254">
        <v>1003110380979</v>
      </c>
      <c r="E62" s="280" t="s">
        <v>546</v>
      </c>
      <c r="F62" s="312">
        <v>483.97</v>
      </c>
      <c r="G62" s="308">
        <f t="shared" si="5"/>
        <v>35.716986000000006</v>
      </c>
      <c r="H62" s="312">
        <v>0</v>
      </c>
      <c r="I62" s="310">
        <f t="shared" si="6"/>
        <v>448.25301400000001</v>
      </c>
      <c r="J62" s="316" t="s">
        <v>68</v>
      </c>
      <c r="K62" s="312" t="s">
        <v>33</v>
      </c>
      <c r="L62" s="310">
        <f t="shared" si="4"/>
        <v>67.237952100000001</v>
      </c>
      <c r="M62" s="310">
        <f t="shared" si="0"/>
        <v>17.930120560000002</v>
      </c>
      <c r="N62" s="311">
        <f t="shared" si="1"/>
        <v>8.9650602800000012</v>
      </c>
      <c r="O62" s="311">
        <f t="shared" si="2"/>
        <v>8.9650602800000012</v>
      </c>
      <c r="P62" s="308">
        <f t="shared" si="3"/>
        <v>31.377710979999989</v>
      </c>
    </row>
    <row r="63" spans="1:16">
      <c r="A63" s="305">
        <v>61</v>
      </c>
      <c r="B63" s="226" t="s">
        <v>547</v>
      </c>
      <c r="C63" s="165" t="s">
        <v>472</v>
      </c>
      <c r="D63" s="382" t="s">
        <v>32</v>
      </c>
      <c r="E63" s="383">
        <v>5504026</v>
      </c>
      <c r="F63" s="168">
        <v>495.72</v>
      </c>
      <c r="G63" s="169">
        <f t="shared" si="5"/>
        <v>36.584136000000001</v>
      </c>
      <c r="H63" s="168">
        <v>53.27</v>
      </c>
      <c r="I63" s="170">
        <f t="shared" si="6"/>
        <v>405.86586400000004</v>
      </c>
      <c r="J63" s="167" t="s">
        <v>68</v>
      </c>
      <c r="K63" s="168" t="s">
        <v>17</v>
      </c>
      <c r="L63" s="170">
        <f t="shared" si="4"/>
        <v>60.879879600000002</v>
      </c>
      <c r="M63" s="170">
        <f t="shared" si="0"/>
        <v>16.234634560000003</v>
      </c>
      <c r="N63" s="171">
        <f t="shared" si="1"/>
        <v>8.1173172800000017</v>
      </c>
      <c r="O63" s="171">
        <f t="shared" si="2"/>
        <v>8.1173172800000017</v>
      </c>
      <c r="P63" s="169">
        <f t="shared" si="3"/>
        <v>28.410610479999995</v>
      </c>
    </row>
    <row r="64" spans="1:16">
      <c r="A64" s="305">
        <v>62</v>
      </c>
      <c r="B64" s="330" t="s">
        <v>548</v>
      </c>
      <c r="C64" s="388" t="s">
        <v>19</v>
      </c>
      <c r="D64" s="254">
        <v>35171149</v>
      </c>
      <c r="E64" s="280" t="s">
        <v>549</v>
      </c>
      <c r="F64" s="312">
        <v>592.94000000000005</v>
      </c>
      <c r="G64" s="308">
        <f t="shared" si="5"/>
        <v>43.758972000000007</v>
      </c>
      <c r="H64" s="312">
        <v>0</v>
      </c>
      <c r="I64" s="310">
        <f t="shared" si="6"/>
        <v>549.18102800000008</v>
      </c>
      <c r="J64" s="316" t="s">
        <v>68</v>
      </c>
      <c r="K64" s="312" t="s">
        <v>26</v>
      </c>
      <c r="L64" s="310">
        <f t="shared" si="4"/>
        <v>82.377154200000007</v>
      </c>
      <c r="M64" s="310">
        <f t="shared" si="0"/>
        <v>21.967241120000004</v>
      </c>
      <c r="N64" s="311">
        <f t="shared" si="1"/>
        <v>10.983620560000002</v>
      </c>
      <c r="O64" s="311">
        <f t="shared" si="2"/>
        <v>10.983620560000002</v>
      </c>
      <c r="P64" s="308">
        <f t="shared" si="3"/>
        <v>38.442671959999998</v>
      </c>
    </row>
    <row r="65" spans="1:16">
      <c r="A65" s="305">
        <v>63</v>
      </c>
      <c r="B65" s="339" t="s">
        <v>550</v>
      </c>
      <c r="C65" s="327" t="s">
        <v>475</v>
      </c>
      <c r="D65" s="400">
        <v>1003110385126</v>
      </c>
      <c r="E65" s="401" t="s">
        <v>551</v>
      </c>
      <c r="F65" s="294">
        <v>491.74</v>
      </c>
      <c r="G65" s="294">
        <f t="shared" si="5"/>
        <v>36.290412000000003</v>
      </c>
      <c r="H65" s="294">
        <v>52.84</v>
      </c>
      <c r="I65" s="293">
        <f t="shared" si="6"/>
        <v>402.60958800000003</v>
      </c>
      <c r="J65" s="329" t="s">
        <v>68</v>
      </c>
      <c r="K65" s="294" t="s">
        <v>14</v>
      </c>
      <c r="L65" s="293">
        <f t="shared" si="4"/>
        <v>60.391438200000003</v>
      </c>
      <c r="M65" s="293">
        <f t="shared" si="0"/>
        <v>16.104383520000003</v>
      </c>
      <c r="N65" s="296">
        <f t="shared" si="1"/>
        <v>8.0521917600000013</v>
      </c>
      <c r="O65" s="296">
        <f t="shared" si="2"/>
        <v>8.0521917600000013</v>
      </c>
      <c r="P65" s="294">
        <f t="shared" si="3"/>
        <v>28.182671159999998</v>
      </c>
    </row>
    <row r="66" spans="1:16">
      <c r="A66" s="305">
        <v>64</v>
      </c>
      <c r="B66" s="330" t="s">
        <v>552</v>
      </c>
      <c r="C66" s="388" t="s">
        <v>12</v>
      </c>
      <c r="D66" s="254">
        <v>10031103855012</v>
      </c>
      <c r="E66" s="280">
        <v>5502302</v>
      </c>
      <c r="F66" s="312">
        <v>618.61</v>
      </c>
      <c r="G66" s="308">
        <f t="shared" si="5"/>
        <v>45.653418000000002</v>
      </c>
      <c r="H66" s="312">
        <v>0</v>
      </c>
      <c r="I66" s="310">
        <f t="shared" si="6"/>
        <v>572.95658200000003</v>
      </c>
      <c r="J66" s="316" t="s">
        <v>68</v>
      </c>
      <c r="K66" s="312" t="s">
        <v>497</v>
      </c>
      <c r="L66" s="310">
        <f t="shared" si="4"/>
        <v>85.943487300000001</v>
      </c>
      <c r="M66" s="310">
        <f t="shared" si="0"/>
        <v>22.918263280000001</v>
      </c>
      <c r="N66" s="311">
        <f t="shared" si="1"/>
        <v>11.459131640000001</v>
      </c>
      <c r="O66" s="311">
        <f t="shared" si="2"/>
        <v>11.459131640000001</v>
      </c>
      <c r="P66" s="308">
        <f t="shared" si="3"/>
        <v>40.106960739999991</v>
      </c>
    </row>
    <row r="67" spans="1:16">
      <c r="A67" s="305">
        <v>65</v>
      </c>
      <c r="B67" s="339" t="s">
        <v>553</v>
      </c>
      <c r="C67" s="327" t="s">
        <v>42</v>
      </c>
      <c r="D67" s="400">
        <v>1003110383332</v>
      </c>
      <c r="E67" s="401">
        <v>5502787</v>
      </c>
      <c r="F67" s="294">
        <v>1139.3900000000001</v>
      </c>
      <c r="G67" s="294">
        <f t="shared" si="5"/>
        <v>84.086982000000006</v>
      </c>
      <c r="H67" s="294">
        <v>122.43</v>
      </c>
      <c r="I67" s="293">
        <f t="shared" si="6"/>
        <v>932.873018</v>
      </c>
      <c r="J67" s="329" t="s">
        <v>68</v>
      </c>
      <c r="K67" s="294" t="s">
        <v>353</v>
      </c>
      <c r="L67" s="293">
        <f t="shared" si="4"/>
        <v>139.93095270000001</v>
      </c>
      <c r="M67" s="293">
        <f t="shared" ref="M67:M127" si="7">I67*4%</f>
        <v>37.314920720000003</v>
      </c>
      <c r="N67" s="296">
        <f t="shared" ref="N67:N127" si="8">I67*2%</f>
        <v>18.657460360000002</v>
      </c>
      <c r="O67" s="296">
        <f t="shared" ref="O67:O127" si="9">I67*2%</f>
        <v>18.657460360000002</v>
      </c>
      <c r="P67" s="294">
        <f t="shared" ref="P67:P127" si="10">L67-M67-N67-O67</f>
        <v>65.301111259999999</v>
      </c>
    </row>
    <row r="68" spans="1:16">
      <c r="A68" s="305">
        <v>66</v>
      </c>
      <c r="B68" s="330" t="s">
        <v>554</v>
      </c>
      <c r="C68" s="388" t="s">
        <v>29</v>
      </c>
      <c r="D68" s="254">
        <v>710025699030</v>
      </c>
      <c r="E68" s="280">
        <v>5502566</v>
      </c>
      <c r="F68" s="312">
        <v>670.85</v>
      </c>
      <c r="G68" s="308">
        <f t="shared" si="5"/>
        <v>49.508730000000007</v>
      </c>
      <c r="H68" s="312">
        <v>70.62</v>
      </c>
      <c r="I68" s="310">
        <f t="shared" si="6"/>
        <v>550.72127</v>
      </c>
      <c r="J68" s="316" t="s">
        <v>38</v>
      </c>
      <c r="K68" s="312" t="s">
        <v>266</v>
      </c>
      <c r="L68" s="310">
        <f t="shared" ref="L68:L127" si="11">I68*15%</f>
        <v>82.608190499999992</v>
      </c>
      <c r="M68" s="310">
        <f t="shared" si="7"/>
        <v>22.028850800000001</v>
      </c>
      <c r="N68" s="323">
        <f t="shared" si="8"/>
        <v>11.0144254</v>
      </c>
      <c r="O68" s="323">
        <f t="shared" si="9"/>
        <v>11.0144254</v>
      </c>
      <c r="P68" s="324">
        <f t="shared" si="10"/>
        <v>38.550488899999991</v>
      </c>
    </row>
    <row r="69" spans="1:16">
      <c r="A69" s="305">
        <v>67</v>
      </c>
      <c r="B69" s="330" t="s">
        <v>555</v>
      </c>
      <c r="C69" s="388" t="s">
        <v>234</v>
      </c>
      <c r="D69" s="254">
        <v>1003110382632</v>
      </c>
      <c r="E69" s="280">
        <v>5502408</v>
      </c>
      <c r="F69" s="312">
        <v>632.44000000000005</v>
      </c>
      <c r="G69" s="324">
        <f t="shared" ref="G69:G127" si="12">F69*7.38%</f>
        <v>46.67407200000001</v>
      </c>
      <c r="H69" s="312">
        <v>210.18</v>
      </c>
      <c r="I69" s="325">
        <f t="shared" ref="I69:I127" si="13">F69-G69-H69</f>
        <v>375.58592800000002</v>
      </c>
      <c r="J69" s="316" t="s">
        <v>68</v>
      </c>
      <c r="K69" s="312" t="s">
        <v>182</v>
      </c>
      <c r="L69" s="310">
        <f t="shared" si="11"/>
        <v>56.337889199999999</v>
      </c>
      <c r="M69" s="310">
        <f t="shared" si="7"/>
        <v>15.023437120000001</v>
      </c>
      <c r="N69" s="323">
        <f t="shared" si="8"/>
        <v>7.5117185600000003</v>
      </c>
      <c r="O69" s="323">
        <f t="shared" si="9"/>
        <v>7.5117185600000003</v>
      </c>
      <c r="P69" s="324">
        <f t="shared" si="10"/>
        <v>26.291014959999998</v>
      </c>
    </row>
    <row r="70" spans="1:16">
      <c r="A70" s="305">
        <v>68</v>
      </c>
      <c r="B70" s="330" t="s">
        <v>556</v>
      </c>
      <c r="C70" s="388" t="s">
        <v>234</v>
      </c>
      <c r="D70" s="254">
        <v>256823</v>
      </c>
      <c r="E70" s="280">
        <v>5501170</v>
      </c>
      <c r="F70" s="312">
        <v>1180.21</v>
      </c>
      <c r="G70" s="308">
        <f t="shared" si="12"/>
        <v>87.099498000000011</v>
      </c>
      <c r="H70" s="312">
        <v>103.53</v>
      </c>
      <c r="I70" s="310">
        <f t="shared" si="13"/>
        <v>989.58050200000002</v>
      </c>
      <c r="J70" s="316" t="s">
        <v>38</v>
      </c>
      <c r="K70" s="312" t="s">
        <v>266</v>
      </c>
      <c r="L70" s="310">
        <f t="shared" si="11"/>
        <v>148.4370753</v>
      </c>
      <c r="M70" s="310">
        <f t="shared" si="7"/>
        <v>39.583220080000004</v>
      </c>
      <c r="N70" s="311">
        <f t="shared" si="8"/>
        <v>19.791610040000002</v>
      </c>
      <c r="O70" s="311">
        <f t="shared" si="9"/>
        <v>19.791610040000002</v>
      </c>
      <c r="P70" s="308">
        <f t="shared" si="10"/>
        <v>69.270635139999996</v>
      </c>
    </row>
    <row r="71" spans="1:16">
      <c r="A71" s="305">
        <v>69</v>
      </c>
      <c r="B71" s="330" t="s">
        <v>557</v>
      </c>
      <c r="C71" s="388" t="s">
        <v>475</v>
      </c>
      <c r="D71" s="254">
        <v>2570976</v>
      </c>
      <c r="E71" s="280">
        <v>5504615</v>
      </c>
      <c r="F71" s="312">
        <v>501.6</v>
      </c>
      <c r="G71" s="308">
        <f t="shared" si="12"/>
        <v>37.018080000000005</v>
      </c>
      <c r="H71" s="312">
        <v>50.16</v>
      </c>
      <c r="I71" s="310">
        <f t="shared" si="13"/>
        <v>414.42192</v>
      </c>
      <c r="J71" s="316" t="s">
        <v>38</v>
      </c>
      <c r="K71" s="312" t="s">
        <v>321</v>
      </c>
      <c r="L71" s="310">
        <f t="shared" si="11"/>
        <v>62.163287999999994</v>
      </c>
      <c r="M71" s="310">
        <f t="shared" si="7"/>
        <v>16.576876800000001</v>
      </c>
      <c r="N71" s="311">
        <f t="shared" si="8"/>
        <v>8.2884384000000004</v>
      </c>
      <c r="O71" s="311">
        <f t="shared" si="9"/>
        <v>8.2884384000000004</v>
      </c>
      <c r="P71" s="308">
        <f t="shared" si="10"/>
        <v>29.009534399999996</v>
      </c>
    </row>
    <row r="72" spans="1:16">
      <c r="A72" s="305">
        <v>70</v>
      </c>
      <c r="B72" s="330" t="s">
        <v>558</v>
      </c>
      <c r="C72" s="388" t="s">
        <v>559</v>
      </c>
      <c r="D72" s="254">
        <v>1003110407451</v>
      </c>
      <c r="E72" s="280">
        <v>5514041</v>
      </c>
      <c r="F72" s="312">
        <v>540.17999999999995</v>
      </c>
      <c r="G72" s="308">
        <f t="shared" si="12"/>
        <v>39.865283999999996</v>
      </c>
      <c r="H72" s="312">
        <v>58.04</v>
      </c>
      <c r="I72" s="310">
        <f t="shared" si="13"/>
        <v>442.27471599999996</v>
      </c>
      <c r="J72" s="316" t="s">
        <v>38</v>
      </c>
      <c r="K72" s="312" t="s">
        <v>25</v>
      </c>
      <c r="L72" s="310">
        <f t="shared" si="11"/>
        <v>66.341207399999988</v>
      </c>
      <c r="M72" s="310">
        <f t="shared" si="7"/>
        <v>17.690988639999997</v>
      </c>
      <c r="N72" s="311">
        <f t="shared" si="8"/>
        <v>8.8454943199999985</v>
      </c>
      <c r="O72" s="311">
        <f t="shared" si="9"/>
        <v>8.8454943199999985</v>
      </c>
      <c r="P72" s="308">
        <f t="shared" si="10"/>
        <v>30.959230119999987</v>
      </c>
    </row>
    <row r="73" spans="1:16">
      <c r="A73" s="305">
        <v>71</v>
      </c>
      <c r="B73" s="330" t="s">
        <v>560</v>
      </c>
      <c r="C73" s="388" t="s">
        <v>29</v>
      </c>
      <c r="D73" s="254">
        <v>1003110404922</v>
      </c>
      <c r="E73" s="280">
        <v>5513931</v>
      </c>
      <c r="F73" s="312">
        <v>726.25</v>
      </c>
      <c r="G73" s="308">
        <f t="shared" si="12"/>
        <v>53.597250000000003</v>
      </c>
      <c r="H73" s="312">
        <v>89.57</v>
      </c>
      <c r="I73" s="310">
        <f t="shared" si="13"/>
        <v>583.08275000000003</v>
      </c>
      <c r="J73" s="316" t="s">
        <v>68</v>
      </c>
      <c r="K73" s="312" t="s">
        <v>17</v>
      </c>
      <c r="L73" s="310">
        <f t="shared" si="11"/>
        <v>87.462412499999999</v>
      </c>
      <c r="M73" s="310">
        <f t="shared" si="7"/>
        <v>23.323310000000003</v>
      </c>
      <c r="N73" s="311">
        <f t="shared" si="8"/>
        <v>11.661655000000001</v>
      </c>
      <c r="O73" s="311">
        <f t="shared" si="9"/>
        <v>11.661655000000001</v>
      </c>
      <c r="P73" s="308">
        <f t="shared" si="10"/>
        <v>40.815792499999986</v>
      </c>
    </row>
    <row r="74" spans="1:16">
      <c r="A74" s="305">
        <v>72</v>
      </c>
      <c r="B74" s="330" t="s">
        <v>561</v>
      </c>
      <c r="C74" s="388" t="s">
        <v>29</v>
      </c>
      <c r="D74" s="288">
        <v>2575870</v>
      </c>
      <c r="E74" s="280">
        <v>5513293</v>
      </c>
      <c r="F74" s="312">
        <v>674.19</v>
      </c>
      <c r="G74" s="308">
        <f t="shared" si="12"/>
        <v>49.75522200000001</v>
      </c>
      <c r="H74" s="312">
        <v>112.33</v>
      </c>
      <c r="I74" s="310">
        <f t="shared" si="13"/>
        <v>512.10477800000001</v>
      </c>
      <c r="J74" s="316" t="s">
        <v>38</v>
      </c>
      <c r="K74" s="312" t="s">
        <v>266</v>
      </c>
      <c r="L74" s="310">
        <f t="shared" si="11"/>
        <v>76.815716699999996</v>
      </c>
      <c r="M74" s="310">
        <f t="shared" si="7"/>
        <v>20.484191120000002</v>
      </c>
      <c r="N74" s="311">
        <f t="shared" si="8"/>
        <v>10.242095560000001</v>
      </c>
      <c r="O74" s="311">
        <f t="shared" si="9"/>
        <v>10.242095560000001</v>
      </c>
      <c r="P74" s="308">
        <f t="shared" si="10"/>
        <v>35.847334459999985</v>
      </c>
    </row>
    <row r="75" spans="1:16">
      <c r="A75" s="305">
        <v>73</v>
      </c>
      <c r="B75" s="226" t="s">
        <v>562</v>
      </c>
      <c r="C75" s="165" t="s">
        <v>475</v>
      </c>
      <c r="D75" s="382" t="s">
        <v>32</v>
      </c>
      <c r="E75" s="383">
        <v>5504586</v>
      </c>
      <c r="F75" s="168">
        <v>436.69</v>
      </c>
      <c r="G75" s="169">
        <f t="shared" si="12"/>
        <v>32.227722</v>
      </c>
      <c r="H75" s="168">
        <v>123.59</v>
      </c>
      <c r="I75" s="170">
        <f t="shared" si="13"/>
        <v>280.87227799999994</v>
      </c>
      <c r="J75" s="167" t="s">
        <v>68</v>
      </c>
      <c r="K75" s="168" t="s">
        <v>26</v>
      </c>
      <c r="L75" s="170">
        <f t="shared" si="11"/>
        <v>42.130841699999991</v>
      </c>
      <c r="M75" s="170">
        <f t="shared" si="7"/>
        <v>11.234891119999999</v>
      </c>
      <c r="N75" s="171">
        <f t="shared" si="8"/>
        <v>5.6174455599999993</v>
      </c>
      <c r="O75" s="171">
        <f t="shared" si="9"/>
        <v>5.6174455599999993</v>
      </c>
      <c r="P75" s="169">
        <f t="shared" si="10"/>
        <v>19.66105945999999</v>
      </c>
    </row>
    <row r="76" spans="1:16">
      <c r="A76" s="305">
        <v>74</v>
      </c>
      <c r="B76" s="330" t="s">
        <v>563</v>
      </c>
      <c r="C76" s="388" t="s">
        <v>475</v>
      </c>
      <c r="D76" s="254">
        <v>2618081</v>
      </c>
      <c r="E76" s="280" t="s">
        <v>564</v>
      </c>
      <c r="F76" s="312">
        <v>436.71</v>
      </c>
      <c r="G76" s="308">
        <f t="shared" si="12"/>
        <v>32.229198000000004</v>
      </c>
      <c r="H76" s="312">
        <v>218.35</v>
      </c>
      <c r="I76" s="310">
        <f t="shared" si="13"/>
        <v>186.13080199999999</v>
      </c>
      <c r="J76" s="316" t="s">
        <v>68</v>
      </c>
      <c r="K76" s="312" t="s">
        <v>17</v>
      </c>
      <c r="L76" s="310">
        <f t="shared" si="11"/>
        <v>27.919620299999998</v>
      </c>
      <c r="M76" s="310">
        <f t="shared" si="7"/>
        <v>7.4452320799999994</v>
      </c>
      <c r="N76" s="311">
        <f t="shared" si="8"/>
        <v>3.7226160399999997</v>
      </c>
      <c r="O76" s="311">
        <f t="shared" si="9"/>
        <v>3.7226160399999997</v>
      </c>
      <c r="P76" s="308">
        <f t="shared" si="10"/>
        <v>13.02915614</v>
      </c>
    </row>
    <row r="77" spans="1:16">
      <c r="A77" s="305">
        <v>75</v>
      </c>
      <c r="B77" s="330" t="s">
        <v>565</v>
      </c>
      <c r="C77" s="388" t="s">
        <v>12</v>
      </c>
      <c r="D77" s="254">
        <v>100311042351</v>
      </c>
      <c r="E77" s="280">
        <v>5512907</v>
      </c>
      <c r="F77" s="312">
        <v>537.71</v>
      </c>
      <c r="G77" s="308">
        <f t="shared" si="12"/>
        <v>39.682998000000005</v>
      </c>
      <c r="H77" s="312">
        <v>57.78</v>
      </c>
      <c r="I77" s="310">
        <f t="shared" si="13"/>
        <v>440.24700200000007</v>
      </c>
      <c r="J77" s="316" t="s">
        <v>68</v>
      </c>
      <c r="K77" s="312" t="s">
        <v>216</v>
      </c>
      <c r="L77" s="310">
        <f t="shared" si="11"/>
        <v>66.037050300000004</v>
      </c>
      <c r="M77" s="310">
        <f t="shared" si="7"/>
        <v>17.609880080000003</v>
      </c>
      <c r="N77" s="311">
        <f t="shared" si="8"/>
        <v>8.8049400400000017</v>
      </c>
      <c r="O77" s="311">
        <f t="shared" si="9"/>
        <v>8.8049400400000017</v>
      </c>
      <c r="P77" s="308">
        <f t="shared" si="10"/>
        <v>30.817290140000001</v>
      </c>
    </row>
    <row r="78" spans="1:16">
      <c r="A78" s="305">
        <v>76</v>
      </c>
      <c r="B78" s="330" t="s">
        <v>566</v>
      </c>
      <c r="C78" s="388" t="s">
        <v>29</v>
      </c>
      <c r="D78" s="254">
        <v>1003110479551</v>
      </c>
      <c r="E78" s="280">
        <v>5512322</v>
      </c>
      <c r="F78" s="312">
        <v>641.25</v>
      </c>
      <c r="G78" s="308">
        <f t="shared" si="12"/>
        <v>47.324250000000006</v>
      </c>
      <c r="H78" s="312">
        <v>68.900000000000006</v>
      </c>
      <c r="I78" s="310">
        <f t="shared" si="13"/>
        <v>525.02575000000002</v>
      </c>
      <c r="J78" s="316" t="s">
        <v>68</v>
      </c>
      <c r="K78" s="312" t="s">
        <v>33</v>
      </c>
      <c r="L78" s="310">
        <f t="shared" si="11"/>
        <v>78.753862499999997</v>
      </c>
      <c r="M78" s="310">
        <f t="shared" si="7"/>
        <v>21.00103</v>
      </c>
      <c r="N78" s="311">
        <f t="shared" si="8"/>
        <v>10.500515</v>
      </c>
      <c r="O78" s="311">
        <f t="shared" si="9"/>
        <v>10.500515</v>
      </c>
      <c r="P78" s="308">
        <f t="shared" si="10"/>
        <v>36.751802499999997</v>
      </c>
    </row>
    <row r="79" spans="1:16">
      <c r="A79" s="305">
        <v>77</v>
      </c>
      <c r="B79" s="330" t="s">
        <v>567</v>
      </c>
      <c r="C79" s="388" t="s">
        <v>173</v>
      </c>
      <c r="D79" s="254">
        <v>1003110403966</v>
      </c>
      <c r="E79" s="280">
        <v>5512677</v>
      </c>
      <c r="F79" s="312">
        <v>542.95000000000005</v>
      </c>
      <c r="G79" s="308">
        <f t="shared" si="12"/>
        <v>40.069710000000008</v>
      </c>
      <c r="H79" s="312">
        <v>58.34</v>
      </c>
      <c r="I79" s="310">
        <f t="shared" si="13"/>
        <v>444.54029000000003</v>
      </c>
      <c r="J79" s="316" t="s">
        <v>68</v>
      </c>
      <c r="K79" s="312" t="s">
        <v>14</v>
      </c>
      <c r="L79" s="310">
        <f t="shared" si="11"/>
        <v>66.681043500000001</v>
      </c>
      <c r="M79" s="310">
        <f t="shared" si="7"/>
        <v>17.781611600000002</v>
      </c>
      <c r="N79" s="311">
        <f t="shared" si="8"/>
        <v>8.8908058000000008</v>
      </c>
      <c r="O79" s="311">
        <f t="shared" si="9"/>
        <v>8.8908058000000008</v>
      </c>
      <c r="P79" s="308">
        <f t="shared" si="10"/>
        <v>31.117820299999991</v>
      </c>
    </row>
    <row r="80" spans="1:16">
      <c r="A80" s="305">
        <v>78</v>
      </c>
      <c r="B80" s="330" t="s">
        <v>568</v>
      </c>
      <c r="C80" s="388" t="s">
        <v>52</v>
      </c>
      <c r="D80" s="254">
        <v>10031110402909</v>
      </c>
      <c r="E80" s="280">
        <v>5473684</v>
      </c>
      <c r="F80" s="312">
        <v>530.16</v>
      </c>
      <c r="G80" s="308">
        <f t="shared" si="12"/>
        <v>39.125807999999999</v>
      </c>
      <c r="H80" s="312">
        <v>176.72</v>
      </c>
      <c r="I80" s="310">
        <f t="shared" si="13"/>
        <v>314.31419199999993</v>
      </c>
      <c r="J80" s="316" t="s">
        <v>68</v>
      </c>
      <c r="K80" s="312" t="s">
        <v>25</v>
      </c>
      <c r="L80" s="310">
        <f t="shared" si="11"/>
        <v>47.14712879999999</v>
      </c>
      <c r="M80" s="310">
        <f t="shared" si="7"/>
        <v>12.572567679999997</v>
      </c>
      <c r="N80" s="311">
        <f t="shared" si="8"/>
        <v>6.2862838399999985</v>
      </c>
      <c r="O80" s="311">
        <f t="shared" si="9"/>
        <v>6.2862838399999985</v>
      </c>
      <c r="P80" s="308">
        <f t="shared" si="10"/>
        <v>22.001993439999993</v>
      </c>
    </row>
    <row r="81" spans="1:16">
      <c r="A81" s="305">
        <v>79</v>
      </c>
      <c r="B81" s="330" t="s">
        <v>569</v>
      </c>
      <c r="C81" s="388" t="s">
        <v>29</v>
      </c>
      <c r="D81" s="254">
        <v>2578772</v>
      </c>
      <c r="E81" s="280">
        <v>5512714</v>
      </c>
      <c r="F81" s="312">
        <v>685.7</v>
      </c>
      <c r="G81" s="308">
        <f t="shared" si="12"/>
        <v>50.60466000000001</v>
      </c>
      <c r="H81" s="312">
        <v>0</v>
      </c>
      <c r="I81" s="310">
        <f t="shared" si="13"/>
        <v>635.09534000000008</v>
      </c>
      <c r="J81" s="316" t="s">
        <v>68</v>
      </c>
      <c r="K81" s="312" t="s">
        <v>266</v>
      </c>
      <c r="L81" s="310">
        <f t="shared" si="11"/>
        <v>95.264301000000003</v>
      </c>
      <c r="M81" s="310">
        <f t="shared" si="7"/>
        <v>25.403813600000003</v>
      </c>
      <c r="N81" s="311">
        <f t="shared" si="8"/>
        <v>12.701906800000001</v>
      </c>
      <c r="O81" s="311">
        <f t="shared" si="9"/>
        <v>12.701906800000001</v>
      </c>
      <c r="P81" s="308">
        <f t="shared" si="10"/>
        <v>44.45667379999999</v>
      </c>
    </row>
    <row r="82" spans="1:16">
      <c r="A82" s="305">
        <v>80</v>
      </c>
      <c r="B82" s="330" t="s">
        <v>570</v>
      </c>
      <c r="C82" s="388" t="s">
        <v>173</v>
      </c>
      <c r="D82" s="254">
        <v>1003110413039</v>
      </c>
      <c r="E82" s="280">
        <v>5516531</v>
      </c>
      <c r="F82" s="312">
        <v>513.36</v>
      </c>
      <c r="G82" s="308">
        <f t="shared" si="12"/>
        <v>37.885968000000005</v>
      </c>
      <c r="H82" s="312">
        <v>55.16</v>
      </c>
      <c r="I82" s="310">
        <f t="shared" si="13"/>
        <v>420.314032</v>
      </c>
      <c r="J82" s="316" t="s">
        <v>68</v>
      </c>
      <c r="K82" s="312" t="s">
        <v>14</v>
      </c>
      <c r="L82" s="310">
        <f t="shared" si="11"/>
        <v>63.0471048</v>
      </c>
      <c r="M82" s="310">
        <f t="shared" si="7"/>
        <v>16.812561280000001</v>
      </c>
      <c r="N82" s="311">
        <f t="shared" si="8"/>
        <v>8.4062806400000003</v>
      </c>
      <c r="O82" s="311">
        <f t="shared" si="9"/>
        <v>8.4062806400000003</v>
      </c>
      <c r="P82" s="308">
        <f t="shared" si="10"/>
        <v>29.421982240000006</v>
      </c>
    </row>
    <row r="83" spans="1:16">
      <c r="A83" s="305">
        <v>81</v>
      </c>
      <c r="B83" s="407" t="s">
        <v>571</v>
      </c>
      <c r="C83" s="298" t="s">
        <v>12</v>
      </c>
      <c r="D83" s="408">
        <v>1003110418995</v>
      </c>
      <c r="E83" s="409">
        <v>5512430</v>
      </c>
      <c r="F83" s="300">
        <v>621.52</v>
      </c>
      <c r="G83" s="300">
        <f t="shared" si="12"/>
        <v>45.868175999999998</v>
      </c>
      <c r="H83" s="300">
        <v>66.78</v>
      </c>
      <c r="I83" s="301">
        <f t="shared" si="13"/>
        <v>508.87182400000006</v>
      </c>
      <c r="J83" s="302" t="s">
        <v>68</v>
      </c>
      <c r="K83" s="300" t="s">
        <v>238</v>
      </c>
      <c r="L83" s="301">
        <f t="shared" si="11"/>
        <v>76.330773600000001</v>
      </c>
      <c r="M83" s="301">
        <f t="shared" si="7"/>
        <v>20.354872960000002</v>
      </c>
      <c r="N83" s="303">
        <f t="shared" si="8"/>
        <v>10.177436480000001</v>
      </c>
      <c r="O83" s="303">
        <f t="shared" si="9"/>
        <v>10.177436480000001</v>
      </c>
      <c r="P83" s="300">
        <f t="shared" si="10"/>
        <v>35.621027679999997</v>
      </c>
    </row>
    <row r="84" spans="1:16">
      <c r="A84" s="305">
        <v>82</v>
      </c>
      <c r="B84" s="330" t="s">
        <v>572</v>
      </c>
      <c r="C84" s="388" t="s">
        <v>475</v>
      </c>
      <c r="D84" s="254">
        <v>2578225</v>
      </c>
      <c r="E84" s="280">
        <v>5516538</v>
      </c>
      <c r="F84" s="312">
        <v>459.72</v>
      </c>
      <c r="G84" s="308">
        <f t="shared" si="12"/>
        <v>33.927336000000004</v>
      </c>
      <c r="H84" s="312">
        <v>45.97</v>
      </c>
      <c r="I84" s="310">
        <f t="shared" si="13"/>
        <v>379.82266400000003</v>
      </c>
      <c r="J84" s="316" t="s">
        <v>38</v>
      </c>
      <c r="K84" s="312" t="s">
        <v>321</v>
      </c>
      <c r="L84" s="310">
        <f t="shared" si="11"/>
        <v>56.9733996</v>
      </c>
      <c r="M84" s="310">
        <f t="shared" si="7"/>
        <v>15.192906560000001</v>
      </c>
      <c r="N84" s="311">
        <f t="shared" si="8"/>
        <v>7.5964532800000004</v>
      </c>
      <c r="O84" s="311">
        <f t="shared" si="9"/>
        <v>7.5964532800000004</v>
      </c>
      <c r="P84" s="308">
        <f t="shared" si="10"/>
        <v>26.587586479999999</v>
      </c>
    </row>
    <row r="85" spans="1:16">
      <c r="A85" s="305">
        <v>83</v>
      </c>
      <c r="B85" s="330" t="s">
        <v>573</v>
      </c>
      <c r="C85" s="388" t="s">
        <v>29</v>
      </c>
      <c r="D85" s="254">
        <v>1003110421582</v>
      </c>
      <c r="E85" s="280">
        <v>5512874</v>
      </c>
      <c r="F85" s="312">
        <v>777</v>
      </c>
      <c r="G85" s="308">
        <f t="shared" si="12"/>
        <v>57.342600000000004</v>
      </c>
      <c r="H85" s="312">
        <v>95.83</v>
      </c>
      <c r="I85" s="310">
        <f t="shared" si="13"/>
        <v>623.82740000000001</v>
      </c>
      <c r="J85" s="316" t="s">
        <v>38</v>
      </c>
      <c r="K85" s="312" t="s">
        <v>174</v>
      </c>
      <c r="L85" s="310">
        <f t="shared" si="11"/>
        <v>93.574110000000005</v>
      </c>
      <c r="M85" s="310">
        <f t="shared" si="7"/>
        <v>24.953096000000002</v>
      </c>
      <c r="N85" s="311">
        <f t="shared" si="8"/>
        <v>12.476548000000001</v>
      </c>
      <c r="O85" s="311">
        <f t="shared" si="9"/>
        <v>12.476548000000001</v>
      </c>
      <c r="P85" s="308">
        <f t="shared" si="10"/>
        <v>43.667918</v>
      </c>
    </row>
    <row r="86" spans="1:16">
      <c r="A86" s="305">
        <v>84</v>
      </c>
      <c r="B86" s="330" t="s">
        <v>574</v>
      </c>
      <c r="C86" s="388" t="s">
        <v>173</v>
      </c>
      <c r="D86" s="254">
        <v>1003110415607</v>
      </c>
      <c r="E86" s="280">
        <v>5517403</v>
      </c>
      <c r="F86" s="312">
        <v>567.11</v>
      </c>
      <c r="G86" s="308">
        <f t="shared" si="12"/>
        <v>41.852718000000003</v>
      </c>
      <c r="H86" s="312">
        <v>60.94</v>
      </c>
      <c r="I86" s="310">
        <f t="shared" si="13"/>
        <v>464.31728200000003</v>
      </c>
      <c r="J86" s="316" t="s">
        <v>68</v>
      </c>
      <c r="K86" s="312" t="s">
        <v>17</v>
      </c>
      <c r="L86" s="310">
        <f t="shared" si="11"/>
        <v>69.647592299999999</v>
      </c>
      <c r="M86" s="310">
        <f t="shared" si="7"/>
        <v>18.572691280000001</v>
      </c>
      <c r="N86" s="311">
        <f t="shared" si="8"/>
        <v>9.2863456400000004</v>
      </c>
      <c r="O86" s="311">
        <f t="shared" si="9"/>
        <v>9.2863456400000004</v>
      </c>
      <c r="P86" s="308">
        <f t="shared" si="10"/>
        <v>32.502209739999998</v>
      </c>
    </row>
    <row r="87" spans="1:16">
      <c r="A87" s="305">
        <v>85</v>
      </c>
      <c r="B87" s="338" t="s">
        <v>575</v>
      </c>
      <c r="C87" s="388" t="s">
        <v>234</v>
      </c>
      <c r="D87" s="254">
        <v>1003110416200</v>
      </c>
      <c r="E87" s="280">
        <v>5519334</v>
      </c>
      <c r="F87" s="312">
        <v>590.63</v>
      </c>
      <c r="G87" s="308">
        <f t="shared" si="12"/>
        <v>43.588494000000004</v>
      </c>
      <c r="H87" s="312">
        <v>156.02000000000001</v>
      </c>
      <c r="I87" s="310">
        <f t="shared" si="13"/>
        <v>391.02150600000004</v>
      </c>
      <c r="J87" s="316" t="s">
        <v>68</v>
      </c>
      <c r="K87" s="312" t="s">
        <v>216</v>
      </c>
      <c r="L87" s="310">
        <f t="shared" si="11"/>
        <v>58.653225900000002</v>
      </c>
      <c r="M87" s="310">
        <f t="shared" si="7"/>
        <v>15.640860240000002</v>
      </c>
      <c r="N87" s="311">
        <f t="shared" si="8"/>
        <v>7.820430120000001</v>
      </c>
      <c r="O87" s="311">
        <f t="shared" si="9"/>
        <v>7.820430120000001</v>
      </c>
      <c r="P87" s="308">
        <f t="shared" si="10"/>
        <v>27.371505420000002</v>
      </c>
    </row>
    <row r="88" spans="1:16">
      <c r="A88" s="305">
        <v>86</v>
      </c>
      <c r="B88" s="330" t="s">
        <v>576</v>
      </c>
      <c r="C88" s="388" t="s">
        <v>469</v>
      </c>
      <c r="D88" s="254">
        <v>1003110415715</v>
      </c>
      <c r="E88" s="280">
        <v>5516536</v>
      </c>
      <c r="F88" s="312">
        <v>566.61</v>
      </c>
      <c r="G88" s="308">
        <f t="shared" si="12"/>
        <v>41.815818</v>
      </c>
      <c r="H88" s="312">
        <v>188.87</v>
      </c>
      <c r="I88" s="310">
        <f t="shared" si="13"/>
        <v>335.92418199999997</v>
      </c>
      <c r="J88" s="316" t="s">
        <v>68</v>
      </c>
      <c r="K88" s="312" t="s">
        <v>321</v>
      </c>
      <c r="L88" s="310">
        <f t="shared" si="11"/>
        <v>50.388627299999996</v>
      </c>
      <c r="M88" s="310">
        <f t="shared" si="7"/>
        <v>13.436967279999999</v>
      </c>
      <c r="N88" s="311">
        <f t="shared" si="8"/>
        <v>6.7184836399999996</v>
      </c>
      <c r="O88" s="311">
        <f t="shared" si="9"/>
        <v>6.7184836399999996</v>
      </c>
      <c r="P88" s="308">
        <f t="shared" si="10"/>
        <v>23.514692740000001</v>
      </c>
    </row>
    <row r="89" spans="1:16">
      <c r="A89" s="305">
        <v>87</v>
      </c>
      <c r="B89" s="330" t="s">
        <v>577</v>
      </c>
      <c r="C89" s="388" t="s">
        <v>29</v>
      </c>
      <c r="D89" s="254">
        <v>1003110418995</v>
      </c>
      <c r="E89" s="280">
        <v>5520698</v>
      </c>
      <c r="F89" s="312">
        <v>683.94</v>
      </c>
      <c r="G89" s="308">
        <f t="shared" si="12"/>
        <v>50.474772000000009</v>
      </c>
      <c r="H89" s="312">
        <v>180.66</v>
      </c>
      <c r="I89" s="310">
        <f t="shared" si="13"/>
        <v>452.80522800000006</v>
      </c>
      <c r="J89" s="316" t="s">
        <v>68</v>
      </c>
      <c r="K89" s="312" t="s">
        <v>216</v>
      </c>
      <c r="L89" s="310">
        <f t="shared" si="11"/>
        <v>67.9207842</v>
      </c>
      <c r="M89" s="310">
        <f t="shared" si="7"/>
        <v>18.112209120000003</v>
      </c>
      <c r="N89" s="311">
        <f t="shared" si="8"/>
        <v>9.0561045600000014</v>
      </c>
      <c r="O89" s="311">
        <f t="shared" si="9"/>
        <v>9.0561045600000014</v>
      </c>
      <c r="P89" s="308">
        <f t="shared" si="10"/>
        <v>31.696365959999994</v>
      </c>
    </row>
    <row r="90" spans="1:16">
      <c r="A90" s="305">
        <v>88</v>
      </c>
      <c r="B90" s="339" t="s">
        <v>578</v>
      </c>
      <c r="C90" s="327" t="s">
        <v>29</v>
      </c>
      <c r="D90" s="400">
        <v>51772025423108</v>
      </c>
      <c r="E90" s="401">
        <v>5521875</v>
      </c>
      <c r="F90" s="294">
        <v>1172.28</v>
      </c>
      <c r="G90" s="294">
        <f t="shared" si="12"/>
        <v>86.514263999999997</v>
      </c>
      <c r="H90" s="294">
        <v>0</v>
      </c>
      <c r="I90" s="293">
        <f t="shared" si="13"/>
        <v>1085.7657360000001</v>
      </c>
      <c r="J90" s="329" t="s">
        <v>68</v>
      </c>
      <c r="K90" s="294" t="s">
        <v>258</v>
      </c>
      <c r="L90" s="293">
        <f t="shared" si="11"/>
        <v>162.8648604</v>
      </c>
      <c r="M90" s="293">
        <f t="shared" si="7"/>
        <v>43.430629440000004</v>
      </c>
      <c r="N90" s="296">
        <f t="shared" si="8"/>
        <v>21.715314720000002</v>
      </c>
      <c r="O90" s="296">
        <f t="shared" si="9"/>
        <v>21.715314720000002</v>
      </c>
      <c r="P90" s="294">
        <f t="shared" si="10"/>
        <v>76.003601519999989</v>
      </c>
    </row>
    <row r="91" spans="1:16">
      <c r="A91" s="305">
        <v>89</v>
      </c>
      <c r="B91" s="330" t="s">
        <v>579</v>
      </c>
      <c r="C91" s="388" t="s">
        <v>29</v>
      </c>
      <c r="D91" s="254">
        <v>2580122</v>
      </c>
      <c r="E91" s="280">
        <v>5520810</v>
      </c>
      <c r="F91" s="312">
        <v>559.16999999999996</v>
      </c>
      <c r="G91" s="308">
        <f t="shared" si="12"/>
        <v>41.266745999999998</v>
      </c>
      <c r="H91" s="312">
        <v>49.05</v>
      </c>
      <c r="I91" s="310">
        <f t="shared" si="13"/>
        <v>468.85325399999994</v>
      </c>
      <c r="J91" s="316" t="s">
        <v>38</v>
      </c>
      <c r="K91" s="312" t="s">
        <v>17</v>
      </c>
      <c r="L91" s="310">
        <f t="shared" si="11"/>
        <v>70.327988099999985</v>
      </c>
      <c r="M91" s="310">
        <f t="shared" si="7"/>
        <v>18.754130159999999</v>
      </c>
      <c r="N91" s="311">
        <f t="shared" si="8"/>
        <v>9.3770650799999995</v>
      </c>
      <c r="O91" s="311">
        <f t="shared" si="9"/>
        <v>9.3770650799999995</v>
      </c>
      <c r="P91" s="308">
        <f t="shared" si="10"/>
        <v>32.81972777999998</v>
      </c>
    </row>
    <row r="92" spans="1:16">
      <c r="A92" s="305">
        <v>90</v>
      </c>
      <c r="B92" s="330" t="s">
        <v>580</v>
      </c>
      <c r="C92" s="388" t="s">
        <v>475</v>
      </c>
      <c r="D92" s="254">
        <v>51772025423108</v>
      </c>
      <c r="E92" s="280">
        <v>5521249</v>
      </c>
      <c r="F92" s="312">
        <v>494.54</v>
      </c>
      <c r="G92" s="308">
        <f t="shared" si="12"/>
        <v>36.497052000000004</v>
      </c>
      <c r="H92" s="312">
        <v>61</v>
      </c>
      <c r="I92" s="310">
        <f t="shared" si="13"/>
        <v>397.04294800000002</v>
      </c>
      <c r="J92" s="316" t="s">
        <v>68</v>
      </c>
      <c r="K92" s="312" t="s">
        <v>207</v>
      </c>
      <c r="L92" s="310">
        <f t="shared" si="11"/>
        <v>59.556442199999999</v>
      </c>
      <c r="M92" s="310">
        <f t="shared" si="7"/>
        <v>15.881717920000002</v>
      </c>
      <c r="N92" s="311">
        <f t="shared" si="8"/>
        <v>7.9408589600000008</v>
      </c>
      <c r="O92" s="311">
        <f t="shared" si="9"/>
        <v>7.9408589600000008</v>
      </c>
      <c r="P92" s="308">
        <f t="shared" si="10"/>
        <v>27.79300636</v>
      </c>
    </row>
    <row r="93" spans="1:16">
      <c r="A93" s="305">
        <v>91</v>
      </c>
      <c r="B93" s="330" t="s">
        <v>581</v>
      </c>
      <c r="C93" s="388" t="s">
        <v>475</v>
      </c>
      <c r="D93" s="254">
        <v>1003110431272</v>
      </c>
      <c r="E93" s="280">
        <v>5523446</v>
      </c>
      <c r="F93" s="312">
        <v>448.68</v>
      </c>
      <c r="G93" s="308">
        <f t="shared" si="12"/>
        <v>33.112584000000005</v>
      </c>
      <c r="H93" s="312">
        <v>118.52</v>
      </c>
      <c r="I93" s="310">
        <f t="shared" si="13"/>
        <v>297.047416</v>
      </c>
      <c r="J93" s="316" t="s">
        <v>68</v>
      </c>
      <c r="K93" s="312" t="s">
        <v>174</v>
      </c>
      <c r="L93" s="310">
        <f t="shared" si="11"/>
        <v>44.557112400000001</v>
      </c>
      <c r="M93" s="310">
        <f t="shared" si="7"/>
        <v>11.881896640000001</v>
      </c>
      <c r="N93" s="311">
        <f t="shared" si="8"/>
        <v>5.9409483200000004</v>
      </c>
      <c r="O93" s="311">
        <f t="shared" si="9"/>
        <v>5.9409483200000004</v>
      </c>
      <c r="P93" s="308">
        <f t="shared" si="10"/>
        <v>20.79331912</v>
      </c>
    </row>
    <row r="94" spans="1:16">
      <c r="A94" s="305">
        <v>92</v>
      </c>
      <c r="B94" s="330" t="s">
        <v>582</v>
      </c>
      <c r="C94" s="388" t="s">
        <v>29</v>
      </c>
      <c r="D94" s="254">
        <v>51772025423</v>
      </c>
      <c r="E94" s="280" t="s">
        <v>583</v>
      </c>
      <c r="F94" s="312">
        <v>606.46</v>
      </c>
      <c r="G94" s="308">
        <f t="shared" si="12"/>
        <v>44.756748000000009</v>
      </c>
      <c r="H94" s="312">
        <v>0</v>
      </c>
      <c r="I94" s="310">
        <f t="shared" si="13"/>
        <v>561.70325200000002</v>
      </c>
      <c r="J94" s="316" t="s">
        <v>68</v>
      </c>
      <c r="K94" s="312" t="s">
        <v>17</v>
      </c>
      <c r="L94" s="310">
        <f t="shared" si="11"/>
        <v>84.255487799999997</v>
      </c>
      <c r="M94" s="310">
        <f t="shared" si="7"/>
        <v>22.468130080000002</v>
      </c>
      <c r="N94" s="311">
        <f t="shared" si="8"/>
        <v>11.234065040000001</v>
      </c>
      <c r="O94" s="311">
        <f t="shared" si="9"/>
        <v>11.234065040000001</v>
      </c>
      <c r="P94" s="308">
        <f t="shared" si="10"/>
        <v>39.319227639999994</v>
      </c>
    </row>
    <row r="95" spans="1:16">
      <c r="A95" s="305">
        <v>93</v>
      </c>
      <c r="B95" s="333" t="s">
        <v>584</v>
      </c>
      <c r="C95" s="388" t="s">
        <v>12</v>
      </c>
      <c r="D95" s="254">
        <v>51772025423108</v>
      </c>
      <c r="E95" s="280" t="s">
        <v>585</v>
      </c>
      <c r="F95" s="312">
        <v>715.08</v>
      </c>
      <c r="G95" s="308">
        <f t="shared" si="12"/>
        <v>52.772904000000004</v>
      </c>
      <c r="H95" s="312">
        <v>71.510000000000005</v>
      </c>
      <c r="I95" s="310">
        <f t="shared" si="13"/>
        <v>590.79709600000001</v>
      </c>
      <c r="J95" s="316" t="s">
        <v>38</v>
      </c>
      <c r="K95" s="312" t="s">
        <v>17</v>
      </c>
      <c r="L95" s="310">
        <f t="shared" si="11"/>
        <v>88.619564400000002</v>
      </c>
      <c r="M95" s="310">
        <f t="shared" si="7"/>
        <v>23.63188384</v>
      </c>
      <c r="N95" s="311">
        <f t="shared" si="8"/>
        <v>11.81594192</v>
      </c>
      <c r="O95" s="311">
        <f t="shared" si="9"/>
        <v>11.81594192</v>
      </c>
      <c r="P95" s="308">
        <f t="shared" si="10"/>
        <v>41.355796720000001</v>
      </c>
    </row>
    <row r="96" spans="1:16">
      <c r="A96" s="305">
        <v>94</v>
      </c>
      <c r="B96" s="226" t="s">
        <v>586</v>
      </c>
      <c r="C96" s="165" t="s">
        <v>19</v>
      </c>
      <c r="D96" s="382" t="s">
        <v>32</v>
      </c>
      <c r="E96" s="383">
        <v>5524976</v>
      </c>
      <c r="F96" s="168">
        <v>499.97</v>
      </c>
      <c r="G96" s="169">
        <f t="shared" si="12"/>
        <v>36.897786000000004</v>
      </c>
      <c r="H96" s="168">
        <v>53.72</v>
      </c>
      <c r="I96" s="170">
        <f t="shared" si="13"/>
        <v>409.352214</v>
      </c>
      <c r="J96" s="167" t="s">
        <v>68</v>
      </c>
      <c r="K96" s="168" t="s">
        <v>17</v>
      </c>
      <c r="L96" s="170">
        <f t="shared" si="11"/>
        <v>61.402832099999998</v>
      </c>
      <c r="M96" s="170">
        <f t="shared" si="7"/>
        <v>16.374088560000001</v>
      </c>
      <c r="N96" s="171">
        <f t="shared" si="8"/>
        <v>8.1870442800000003</v>
      </c>
      <c r="O96" s="171">
        <f t="shared" si="9"/>
        <v>8.1870442800000003</v>
      </c>
      <c r="P96" s="169">
        <f t="shared" si="10"/>
        <v>28.654654979999989</v>
      </c>
    </row>
    <row r="97" spans="1:16">
      <c r="A97" s="305">
        <v>95</v>
      </c>
      <c r="B97" s="330" t="s">
        <v>587</v>
      </c>
      <c r="C97" s="388" t="s">
        <v>475</v>
      </c>
      <c r="D97" s="254">
        <v>51772025423</v>
      </c>
      <c r="E97" s="280">
        <v>552344</v>
      </c>
      <c r="F97" s="312">
        <v>494.55</v>
      </c>
      <c r="G97" s="308">
        <f t="shared" si="12"/>
        <v>36.497790000000002</v>
      </c>
      <c r="H97" s="312">
        <v>49.45</v>
      </c>
      <c r="I97" s="310">
        <f t="shared" si="13"/>
        <v>408.60221000000001</v>
      </c>
      <c r="J97" s="316" t="s">
        <v>38</v>
      </c>
      <c r="K97" s="312" t="s">
        <v>26</v>
      </c>
      <c r="L97" s="310">
        <f t="shared" si="11"/>
        <v>61.290331500000001</v>
      </c>
      <c r="M97" s="310">
        <f t="shared" si="7"/>
        <v>16.3440884</v>
      </c>
      <c r="N97" s="311">
        <f t="shared" si="8"/>
        <v>8.1720442000000002</v>
      </c>
      <c r="O97" s="311">
        <f t="shared" si="9"/>
        <v>8.1720442000000002</v>
      </c>
      <c r="P97" s="308">
        <f t="shared" si="10"/>
        <v>28.6021547</v>
      </c>
    </row>
    <row r="98" spans="1:16">
      <c r="A98" s="305">
        <v>96</v>
      </c>
      <c r="B98" s="330" t="s">
        <v>588</v>
      </c>
      <c r="C98" s="388" t="s">
        <v>475</v>
      </c>
      <c r="D98" s="254">
        <v>517720254231</v>
      </c>
      <c r="E98" s="280">
        <v>5527520</v>
      </c>
      <c r="F98" s="312">
        <v>469.8</v>
      </c>
      <c r="G98" s="308">
        <f t="shared" si="12"/>
        <v>34.671240000000004</v>
      </c>
      <c r="H98" s="312">
        <v>117.45</v>
      </c>
      <c r="I98" s="310">
        <f t="shared" si="13"/>
        <v>317.67876000000001</v>
      </c>
      <c r="J98" s="316" t="s">
        <v>68</v>
      </c>
      <c r="K98" s="312" t="s">
        <v>26</v>
      </c>
      <c r="L98" s="310">
        <f t="shared" si="11"/>
        <v>47.651814000000002</v>
      </c>
      <c r="M98" s="310">
        <f t="shared" si="7"/>
        <v>12.707150400000002</v>
      </c>
      <c r="N98" s="311">
        <f t="shared" si="8"/>
        <v>6.3535752000000008</v>
      </c>
      <c r="O98" s="311">
        <f t="shared" si="9"/>
        <v>6.3535752000000008</v>
      </c>
      <c r="P98" s="308">
        <f t="shared" si="10"/>
        <v>22.237513199999995</v>
      </c>
    </row>
    <row r="99" spans="1:16">
      <c r="A99" s="305">
        <v>97</v>
      </c>
      <c r="B99" s="330" t="s">
        <v>589</v>
      </c>
      <c r="C99" s="388" t="s">
        <v>475</v>
      </c>
      <c r="D99" s="254">
        <v>1003110428861</v>
      </c>
      <c r="E99" s="280">
        <v>5519952</v>
      </c>
      <c r="F99" s="312">
        <v>552.53</v>
      </c>
      <c r="G99" s="308">
        <f t="shared" si="12"/>
        <v>40.776713999999998</v>
      </c>
      <c r="H99" s="312">
        <v>59.37</v>
      </c>
      <c r="I99" s="310">
        <f t="shared" si="13"/>
        <v>452.383286</v>
      </c>
      <c r="J99" s="316" t="s">
        <v>38</v>
      </c>
      <c r="K99" s="312" t="s">
        <v>264</v>
      </c>
      <c r="L99" s="310">
        <f t="shared" si="11"/>
        <v>67.857492899999997</v>
      </c>
      <c r="M99" s="310">
        <f t="shared" si="7"/>
        <v>18.095331439999999</v>
      </c>
      <c r="N99" s="311">
        <f t="shared" si="8"/>
        <v>9.0476657199999995</v>
      </c>
      <c r="O99" s="311">
        <f t="shared" si="9"/>
        <v>9.0476657199999995</v>
      </c>
      <c r="P99" s="308">
        <f t="shared" si="10"/>
        <v>31.666830020000006</v>
      </c>
    </row>
    <row r="100" spans="1:16">
      <c r="A100" s="305">
        <v>98</v>
      </c>
      <c r="B100" s="330" t="s">
        <v>590</v>
      </c>
      <c r="C100" s="388" t="s">
        <v>29</v>
      </c>
      <c r="D100" s="254">
        <v>1003110428861</v>
      </c>
      <c r="E100" s="280" t="s">
        <v>591</v>
      </c>
      <c r="F100" s="312">
        <v>540.75</v>
      </c>
      <c r="G100" s="308">
        <f t="shared" si="12"/>
        <v>39.907350000000001</v>
      </c>
      <c r="H100" s="312">
        <v>142.01</v>
      </c>
      <c r="I100" s="310">
        <f t="shared" si="13"/>
        <v>358.83265</v>
      </c>
      <c r="J100" s="316" t="s">
        <v>68</v>
      </c>
      <c r="K100" s="312" t="s">
        <v>17</v>
      </c>
      <c r="L100" s="310">
        <f t="shared" si="11"/>
        <v>53.824897499999999</v>
      </c>
      <c r="M100" s="310">
        <f t="shared" si="7"/>
        <v>14.353306</v>
      </c>
      <c r="N100" s="311">
        <f t="shared" si="8"/>
        <v>7.1766529999999999</v>
      </c>
      <c r="O100" s="311">
        <f t="shared" si="9"/>
        <v>7.1766529999999999</v>
      </c>
      <c r="P100" s="308">
        <f t="shared" si="10"/>
        <v>25.118285499999999</v>
      </c>
    </row>
    <row r="101" spans="1:16">
      <c r="A101" s="305">
        <v>99</v>
      </c>
      <c r="B101" s="330" t="s">
        <v>592</v>
      </c>
      <c r="C101" s="388" t="s">
        <v>593</v>
      </c>
      <c r="D101" s="254">
        <v>1003110431745</v>
      </c>
      <c r="E101" s="280">
        <v>5528014</v>
      </c>
      <c r="F101" s="312">
        <v>675.57</v>
      </c>
      <c r="G101" s="308">
        <f t="shared" si="12"/>
        <v>49.857066000000003</v>
      </c>
      <c r="H101" s="312">
        <v>72.59</v>
      </c>
      <c r="I101" s="310">
        <f t="shared" si="13"/>
        <v>553.12293399999999</v>
      </c>
      <c r="J101" s="316" t="s">
        <v>68</v>
      </c>
      <c r="K101" s="312" t="s">
        <v>26</v>
      </c>
      <c r="L101" s="310">
        <f t="shared" si="11"/>
        <v>82.968440099999995</v>
      </c>
      <c r="M101" s="310">
        <f t="shared" si="7"/>
        <v>22.124917360000001</v>
      </c>
      <c r="N101" s="311">
        <f t="shared" si="8"/>
        <v>11.062458680000001</v>
      </c>
      <c r="O101" s="311">
        <f t="shared" si="9"/>
        <v>11.062458680000001</v>
      </c>
      <c r="P101" s="308">
        <f t="shared" si="10"/>
        <v>38.71860538</v>
      </c>
    </row>
    <row r="102" spans="1:16">
      <c r="A102" s="305">
        <v>100</v>
      </c>
      <c r="B102" s="330" t="s">
        <v>594</v>
      </c>
      <c r="C102" s="388" t="s">
        <v>173</v>
      </c>
      <c r="D102" s="254">
        <v>1003110432101</v>
      </c>
      <c r="E102" s="280">
        <v>5529998</v>
      </c>
      <c r="F102" s="312">
        <v>520.23</v>
      </c>
      <c r="G102" s="308">
        <f t="shared" si="12"/>
        <v>38.392974000000002</v>
      </c>
      <c r="H102" s="312">
        <v>55.9</v>
      </c>
      <c r="I102" s="310">
        <f t="shared" si="13"/>
        <v>425.93702600000006</v>
      </c>
      <c r="J102" s="316" t="s">
        <v>68</v>
      </c>
      <c r="K102" s="312" t="s">
        <v>33</v>
      </c>
      <c r="L102" s="310">
        <f t="shared" si="11"/>
        <v>63.890553900000008</v>
      </c>
      <c r="M102" s="310">
        <f t="shared" si="7"/>
        <v>17.037481040000003</v>
      </c>
      <c r="N102" s="311">
        <f t="shared" si="8"/>
        <v>8.5187405200000015</v>
      </c>
      <c r="O102" s="311">
        <f t="shared" si="9"/>
        <v>8.5187405200000015</v>
      </c>
      <c r="P102" s="308">
        <f t="shared" si="10"/>
        <v>29.815591820000002</v>
      </c>
    </row>
    <row r="103" spans="1:16">
      <c r="A103" s="305">
        <v>101</v>
      </c>
      <c r="B103" s="330" t="s">
        <v>595</v>
      </c>
      <c r="C103" s="388" t="s">
        <v>593</v>
      </c>
      <c r="D103" s="254">
        <v>2592481</v>
      </c>
      <c r="E103" s="280">
        <v>5533132</v>
      </c>
      <c r="F103" s="312">
        <v>990.37</v>
      </c>
      <c r="G103" s="308">
        <f t="shared" si="12"/>
        <v>73.089306000000008</v>
      </c>
      <c r="H103" s="312">
        <v>86.88</v>
      </c>
      <c r="I103" s="310">
        <f t="shared" si="13"/>
        <v>830.40069400000004</v>
      </c>
      <c r="J103" s="316" t="s">
        <v>38</v>
      </c>
      <c r="K103" s="312" t="s">
        <v>17</v>
      </c>
      <c r="L103" s="310">
        <f t="shared" si="11"/>
        <v>124.5601041</v>
      </c>
      <c r="M103" s="310">
        <f t="shared" si="7"/>
        <v>33.216027760000003</v>
      </c>
      <c r="N103" s="311">
        <f t="shared" si="8"/>
        <v>16.608013880000001</v>
      </c>
      <c r="O103" s="311">
        <f t="shared" si="9"/>
        <v>16.608013880000001</v>
      </c>
      <c r="P103" s="308">
        <f t="shared" si="10"/>
        <v>58.128048579999998</v>
      </c>
    </row>
    <row r="104" spans="1:16">
      <c r="A104" s="305">
        <v>102</v>
      </c>
      <c r="B104" s="330" t="s">
        <v>596</v>
      </c>
      <c r="C104" s="388" t="s">
        <v>475</v>
      </c>
      <c r="D104" s="254">
        <v>517720254232</v>
      </c>
      <c r="E104" s="280">
        <v>5530246</v>
      </c>
      <c r="F104" s="312">
        <v>563</v>
      </c>
      <c r="G104" s="308">
        <f t="shared" si="12"/>
        <v>41.549400000000006</v>
      </c>
      <c r="H104" s="312">
        <v>56.3</v>
      </c>
      <c r="I104" s="310">
        <f t="shared" si="13"/>
        <v>465.1506</v>
      </c>
      <c r="J104" s="316" t="s">
        <v>38</v>
      </c>
      <c r="K104" s="312" t="s">
        <v>26</v>
      </c>
      <c r="L104" s="310">
        <f t="shared" si="11"/>
        <v>69.772589999999994</v>
      </c>
      <c r="M104" s="310">
        <f t="shared" si="7"/>
        <v>18.606024000000001</v>
      </c>
      <c r="N104" s="311">
        <f t="shared" si="8"/>
        <v>9.3030120000000007</v>
      </c>
      <c r="O104" s="311">
        <f t="shared" si="9"/>
        <v>9.3030120000000007</v>
      </c>
      <c r="P104" s="308">
        <f t="shared" si="10"/>
        <v>32.560541999999984</v>
      </c>
    </row>
    <row r="105" spans="1:16">
      <c r="A105" s="305">
        <v>103</v>
      </c>
      <c r="B105" s="330" t="s">
        <v>597</v>
      </c>
      <c r="C105" s="388" t="s">
        <v>12</v>
      </c>
      <c r="D105" s="254">
        <v>100311043440</v>
      </c>
      <c r="E105" s="280">
        <v>5532323</v>
      </c>
      <c r="F105" s="312">
        <v>589.39</v>
      </c>
      <c r="G105" s="308">
        <f t="shared" si="12"/>
        <v>43.496982000000003</v>
      </c>
      <c r="H105" s="312">
        <v>63.33</v>
      </c>
      <c r="I105" s="310">
        <f t="shared" si="13"/>
        <v>482.563018</v>
      </c>
      <c r="J105" s="316" t="s">
        <v>68</v>
      </c>
      <c r="K105" s="312" t="s">
        <v>17</v>
      </c>
      <c r="L105" s="310">
        <f t="shared" si="11"/>
        <v>72.384452699999997</v>
      </c>
      <c r="M105" s="310">
        <f t="shared" si="7"/>
        <v>19.30252072</v>
      </c>
      <c r="N105" s="311">
        <f t="shared" si="8"/>
        <v>9.6512603600000002</v>
      </c>
      <c r="O105" s="311">
        <f t="shared" si="9"/>
        <v>9.6512603600000002</v>
      </c>
      <c r="P105" s="308">
        <f t="shared" si="10"/>
        <v>33.779411259999989</v>
      </c>
    </row>
    <row r="106" spans="1:16">
      <c r="A106" s="305">
        <v>104</v>
      </c>
      <c r="B106" s="330" t="s">
        <v>598</v>
      </c>
      <c r="C106" s="388" t="s">
        <v>173</v>
      </c>
      <c r="D106" s="254">
        <v>1003110432792</v>
      </c>
      <c r="E106" s="280">
        <v>5530621</v>
      </c>
      <c r="F106" s="312">
        <v>627.83000000000004</v>
      </c>
      <c r="G106" s="308">
        <f t="shared" si="12"/>
        <v>46.333854000000002</v>
      </c>
      <c r="H106" s="312">
        <v>67.459999999999994</v>
      </c>
      <c r="I106" s="310">
        <f t="shared" si="13"/>
        <v>514.03614600000003</v>
      </c>
      <c r="J106" s="316" t="s">
        <v>68</v>
      </c>
      <c r="K106" s="312" t="s">
        <v>25</v>
      </c>
      <c r="L106" s="310">
        <f t="shared" si="11"/>
        <v>77.105421899999996</v>
      </c>
      <c r="M106" s="310">
        <f t="shared" si="7"/>
        <v>20.561445840000001</v>
      </c>
      <c r="N106" s="311">
        <f t="shared" si="8"/>
        <v>10.280722920000001</v>
      </c>
      <c r="O106" s="311">
        <f t="shared" si="9"/>
        <v>10.280722920000001</v>
      </c>
      <c r="P106" s="308">
        <f t="shared" si="10"/>
        <v>35.982530219999987</v>
      </c>
    </row>
    <row r="107" spans="1:16">
      <c r="A107" s="305">
        <v>105</v>
      </c>
      <c r="B107" s="330" t="s">
        <v>599</v>
      </c>
      <c r="C107" s="388" t="s">
        <v>173</v>
      </c>
      <c r="D107" s="254">
        <v>1003110432961</v>
      </c>
      <c r="E107" s="280">
        <v>5530460</v>
      </c>
      <c r="F107" s="312">
        <v>556.36</v>
      </c>
      <c r="G107" s="308">
        <f t="shared" si="12"/>
        <v>41.059368000000006</v>
      </c>
      <c r="H107" s="312">
        <v>59.78</v>
      </c>
      <c r="I107" s="310">
        <f t="shared" si="13"/>
        <v>455.52063199999998</v>
      </c>
      <c r="J107" s="316" t="s">
        <v>68</v>
      </c>
      <c r="K107" s="312" t="s">
        <v>14</v>
      </c>
      <c r="L107" s="310">
        <f t="shared" si="11"/>
        <v>68.328094799999988</v>
      </c>
      <c r="M107" s="310">
        <f t="shared" si="7"/>
        <v>18.22082528</v>
      </c>
      <c r="N107" s="311">
        <f t="shared" si="8"/>
        <v>9.1104126399999998</v>
      </c>
      <c r="O107" s="311">
        <f t="shared" si="9"/>
        <v>9.1104126399999998</v>
      </c>
      <c r="P107" s="308">
        <f t="shared" si="10"/>
        <v>31.886444239999989</v>
      </c>
    </row>
    <row r="108" spans="1:16">
      <c r="A108" s="305">
        <v>106</v>
      </c>
      <c r="B108" s="330" t="s">
        <v>600</v>
      </c>
      <c r="C108" s="388" t="s">
        <v>29</v>
      </c>
      <c r="D108" s="254">
        <v>1003110433025</v>
      </c>
      <c r="E108" s="280">
        <v>5531108</v>
      </c>
      <c r="F108" s="312">
        <v>629</v>
      </c>
      <c r="G108" s="308">
        <f t="shared" si="12"/>
        <v>46.420200000000001</v>
      </c>
      <c r="H108" s="312">
        <v>67.59</v>
      </c>
      <c r="I108" s="310">
        <f t="shared" si="13"/>
        <v>514.98979999999995</v>
      </c>
      <c r="J108" s="316" t="s">
        <v>68</v>
      </c>
      <c r="K108" s="312" t="s">
        <v>51</v>
      </c>
      <c r="L108" s="310">
        <f t="shared" si="11"/>
        <v>77.248469999999983</v>
      </c>
      <c r="M108" s="310">
        <f t="shared" si="7"/>
        <v>20.599591999999998</v>
      </c>
      <c r="N108" s="311">
        <f t="shared" si="8"/>
        <v>10.299795999999999</v>
      </c>
      <c r="O108" s="311">
        <f t="shared" si="9"/>
        <v>10.299795999999999</v>
      </c>
      <c r="P108" s="308">
        <f t="shared" si="10"/>
        <v>36.049285999999981</v>
      </c>
    </row>
    <row r="109" spans="1:16">
      <c r="A109" s="305">
        <v>107</v>
      </c>
      <c r="B109" s="339" t="s">
        <v>601</v>
      </c>
      <c r="C109" s="327" t="s">
        <v>475</v>
      </c>
      <c r="D109" s="400">
        <v>5177202542353</v>
      </c>
      <c r="E109" s="401">
        <v>5530338</v>
      </c>
      <c r="F109" s="294">
        <v>494.55</v>
      </c>
      <c r="G109" s="294">
        <f t="shared" si="12"/>
        <v>36.497790000000002</v>
      </c>
      <c r="H109" s="294">
        <v>61</v>
      </c>
      <c r="I109" s="293">
        <f t="shared" si="13"/>
        <v>397.05221</v>
      </c>
      <c r="J109" s="329" t="s">
        <v>68</v>
      </c>
      <c r="K109" s="294" t="s">
        <v>14</v>
      </c>
      <c r="L109" s="293">
        <f t="shared" si="11"/>
        <v>59.557831499999999</v>
      </c>
      <c r="M109" s="293">
        <f t="shared" si="7"/>
        <v>15.882088400000001</v>
      </c>
      <c r="N109" s="296">
        <f t="shared" si="8"/>
        <v>7.9410442000000003</v>
      </c>
      <c r="O109" s="296">
        <f t="shared" si="9"/>
        <v>7.9410442000000003</v>
      </c>
      <c r="P109" s="294">
        <f t="shared" si="10"/>
        <v>27.793654699999998</v>
      </c>
    </row>
    <row r="110" spans="1:16">
      <c r="A110" s="305">
        <v>108</v>
      </c>
      <c r="B110" s="226" t="s">
        <v>602</v>
      </c>
      <c r="C110" s="165" t="s">
        <v>475</v>
      </c>
      <c r="D110" s="382" t="s">
        <v>32</v>
      </c>
      <c r="E110" s="383">
        <v>5530583</v>
      </c>
      <c r="F110" s="168">
        <v>516.87</v>
      </c>
      <c r="G110" s="169">
        <f t="shared" si="12"/>
        <v>38.145006000000002</v>
      </c>
      <c r="H110" s="168">
        <v>56.87</v>
      </c>
      <c r="I110" s="170">
        <f t="shared" si="13"/>
        <v>421.85499399999998</v>
      </c>
      <c r="J110" s="167" t="s">
        <v>68</v>
      </c>
      <c r="K110" s="168" t="s">
        <v>14</v>
      </c>
      <c r="L110" s="170">
        <f t="shared" si="11"/>
        <v>63.278249099999996</v>
      </c>
      <c r="M110" s="170">
        <f t="shared" si="7"/>
        <v>16.87419976</v>
      </c>
      <c r="N110" s="171">
        <f t="shared" si="8"/>
        <v>8.4370998799999999</v>
      </c>
      <c r="O110" s="171">
        <f t="shared" si="9"/>
        <v>8.4370998799999999</v>
      </c>
      <c r="P110" s="169">
        <f t="shared" si="10"/>
        <v>29.529849580000004</v>
      </c>
    </row>
    <row r="111" spans="1:16">
      <c r="A111" s="305">
        <v>109</v>
      </c>
      <c r="B111" s="339" t="s">
        <v>603</v>
      </c>
      <c r="C111" s="327" t="s">
        <v>29</v>
      </c>
      <c r="D111" s="400">
        <v>1003110433477</v>
      </c>
      <c r="E111" s="401">
        <v>5531362</v>
      </c>
      <c r="F111" s="294">
        <v>694.18</v>
      </c>
      <c r="G111" s="294">
        <f t="shared" si="12"/>
        <v>51.230483999999997</v>
      </c>
      <c r="H111" s="294">
        <v>347.09</v>
      </c>
      <c r="I111" s="293">
        <f t="shared" si="13"/>
        <v>295.85951599999993</v>
      </c>
      <c r="J111" s="329" t="s">
        <v>68</v>
      </c>
      <c r="K111" s="294" t="s">
        <v>14</v>
      </c>
      <c r="L111" s="293">
        <f t="shared" si="11"/>
        <v>44.378927399999988</v>
      </c>
      <c r="M111" s="293">
        <f t="shared" si="7"/>
        <v>11.834380639999997</v>
      </c>
      <c r="N111" s="296">
        <f t="shared" si="8"/>
        <v>5.9171903199999987</v>
      </c>
      <c r="O111" s="296">
        <f t="shared" si="9"/>
        <v>5.9171903199999987</v>
      </c>
      <c r="P111" s="294">
        <f t="shared" si="10"/>
        <v>20.71016611999999</v>
      </c>
    </row>
    <row r="112" spans="1:16">
      <c r="A112" s="305">
        <v>110</v>
      </c>
      <c r="B112" s="330" t="s">
        <v>604</v>
      </c>
      <c r="C112" s="388" t="s">
        <v>475</v>
      </c>
      <c r="D112" s="254">
        <v>5177202542352</v>
      </c>
      <c r="E112" s="280">
        <v>5530364</v>
      </c>
      <c r="F112" s="312">
        <v>494.56</v>
      </c>
      <c r="G112" s="308">
        <f t="shared" si="12"/>
        <v>36.498528</v>
      </c>
      <c r="H112" s="312">
        <v>123.64</v>
      </c>
      <c r="I112" s="310">
        <f t="shared" si="13"/>
        <v>334.42147199999999</v>
      </c>
      <c r="J112" s="316" t="s">
        <v>68</v>
      </c>
      <c r="K112" s="312" t="s">
        <v>14</v>
      </c>
      <c r="L112" s="310">
        <f t="shared" si="11"/>
        <v>50.163220799999998</v>
      </c>
      <c r="M112" s="310">
        <f t="shared" si="7"/>
        <v>13.37685888</v>
      </c>
      <c r="N112" s="311">
        <f t="shared" si="8"/>
        <v>6.6884294400000002</v>
      </c>
      <c r="O112" s="311">
        <f t="shared" si="9"/>
        <v>6.6884294400000002</v>
      </c>
      <c r="P112" s="308">
        <f t="shared" si="10"/>
        <v>23.409503039999997</v>
      </c>
    </row>
    <row r="113" spans="1:16">
      <c r="A113" s="305">
        <v>111</v>
      </c>
      <c r="B113" s="330" t="s">
        <v>605</v>
      </c>
      <c r="C113" s="388" t="s">
        <v>475</v>
      </c>
      <c r="D113" s="254">
        <v>5177202542351</v>
      </c>
      <c r="E113" s="280">
        <v>5534221</v>
      </c>
      <c r="F113" s="312">
        <v>439.58</v>
      </c>
      <c r="G113" s="308">
        <f t="shared" si="12"/>
        <v>32.441004</v>
      </c>
      <c r="H113" s="312">
        <v>109.89</v>
      </c>
      <c r="I113" s="310">
        <f t="shared" si="13"/>
        <v>297.24899599999998</v>
      </c>
      <c r="J113" s="316" t="s">
        <v>68</v>
      </c>
      <c r="K113" s="312" t="s">
        <v>26</v>
      </c>
      <c r="L113" s="310">
        <f t="shared" si="11"/>
        <v>44.587349399999994</v>
      </c>
      <c r="M113" s="310">
        <f t="shared" si="7"/>
        <v>11.88995984</v>
      </c>
      <c r="N113" s="311">
        <f t="shared" si="8"/>
        <v>5.9449799199999998</v>
      </c>
      <c r="O113" s="311">
        <f t="shared" si="9"/>
        <v>5.9449799199999998</v>
      </c>
      <c r="P113" s="308">
        <f t="shared" si="10"/>
        <v>20.807429719999988</v>
      </c>
    </row>
    <row r="114" spans="1:16">
      <c r="A114" s="305">
        <v>112</v>
      </c>
      <c r="B114" s="330" t="s">
        <v>606</v>
      </c>
      <c r="C114" s="388" t="s">
        <v>475</v>
      </c>
      <c r="D114" s="254">
        <v>1003110573164</v>
      </c>
      <c r="E114" s="280">
        <v>5537543</v>
      </c>
      <c r="F114" s="312">
        <v>497.39</v>
      </c>
      <c r="G114" s="308">
        <f t="shared" si="12"/>
        <v>36.707382000000003</v>
      </c>
      <c r="H114" s="312">
        <v>0</v>
      </c>
      <c r="I114" s="310">
        <f t="shared" si="13"/>
        <v>460.68261799999999</v>
      </c>
      <c r="J114" s="316" t="s">
        <v>68</v>
      </c>
      <c r="K114" s="312" t="s">
        <v>264</v>
      </c>
      <c r="L114" s="310">
        <f t="shared" si="11"/>
        <v>69.102392699999996</v>
      </c>
      <c r="M114" s="310">
        <f t="shared" si="7"/>
        <v>18.427304719999999</v>
      </c>
      <c r="N114" s="311">
        <f t="shared" si="8"/>
        <v>9.2136523599999993</v>
      </c>
      <c r="O114" s="311">
        <f t="shared" si="9"/>
        <v>9.2136523599999993</v>
      </c>
      <c r="P114" s="308">
        <f t="shared" si="10"/>
        <v>32.247783260000006</v>
      </c>
    </row>
    <row r="115" spans="1:16">
      <c r="A115" s="305">
        <v>113</v>
      </c>
      <c r="B115" s="330" t="s">
        <v>607</v>
      </c>
      <c r="C115" s="388" t="s">
        <v>29</v>
      </c>
      <c r="D115" s="336">
        <v>1003110444011</v>
      </c>
      <c r="E115" s="280">
        <v>5535693</v>
      </c>
      <c r="F115" s="312">
        <v>555.26</v>
      </c>
      <c r="G115" s="308">
        <f t="shared" si="12"/>
        <v>40.978188000000003</v>
      </c>
      <c r="H115" s="312">
        <v>277.63</v>
      </c>
      <c r="I115" s="310">
        <f t="shared" si="13"/>
        <v>236.65181199999995</v>
      </c>
      <c r="J115" s="316" t="s">
        <v>68</v>
      </c>
      <c r="K115" s="312" t="s">
        <v>216</v>
      </c>
      <c r="L115" s="310">
        <f t="shared" si="11"/>
        <v>35.497771799999988</v>
      </c>
      <c r="M115" s="310">
        <f t="shared" si="7"/>
        <v>9.4660724799999976</v>
      </c>
      <c r="N115" s="311">
        <f t="shared" si="8"/>
        <v>4.7330362399999988</v>
      </c>
      <c r="O115" s="311">
        <f t="shared" si="9"/>
        <v>4.7330362399999988</v>
      </c>
      <c r="P115" s="308">
        <f t="shared" si="10"/>
        <v>16.565626839999993</v>
      </c>
    </row>
    <row r="116" spans="1:16">
      <c r="A116" s="305">
        <v>114</v>
      </c>
      <c r="B116" s="330" t="s">
        <v>608</v>
      </c>
      <c r="C116" s="388" t="s">
        <v>12</v>
      </c>
      <c r="D116" s="337">
        <v>1003110441645</v>
      </c>
      <c r="E116" s="280">
        <v>5537047</v>
      </c>
      <c r="F116" s="312">
        <v>645.15</v>
      </c>
      <c r="G116" s="308">
        <f t="shared" si="12"/>
        <v>47.612070000000003</v>
      </c>
      <c r="H116" s="312">
        <v>69.319999999999993</v>
      </c>
      <c r="I116" s="310">
        <f t="shared" si="13"/>
        <v>528.21793000000002</v>
      </c>
      <c r="J116" s="316" t="s">
        <v>68</v>
      </c>
      <c r="K116" s="312" t="s">
        <v>51</v>
      </c>
      <c r="L116" s="310">
        <f t="shared" si="11"/>
        <v>79.232689500000006</v>
      </c>
      <c r="M116" s="310">
        <f t="shared" si="7"/>
        <v>21.128717200000001</v>
      </c>
      <c r="N116" s="311">
        <f t="shared" si="8"/>
        <v>10.5643586</v>
      </c>
      <c r="O116" s="311">
        <f t="shared" si="9"/>
        <v>10.5643586</v>
      </c>
      <c r="P116" s="308">
        <f t="shared" si="10"/>
        <v>36.975255100000012</v>
      </c>
    </row>
    <row r="117" spans="1:16">
      <c r="A117" s="305">
        <v>115</v>
      </c>
      <c r="B117" s="339" t="s">
        <v>609</v>
      </c>
      <c r="C117" s="327" t="s">
        <v>475</v>
      </c>
      <c r="D117" s="644">
        <v>1003110438321</v>
      </c>
      <c r="E117" s="401">
        <v>5534931</v>
      </c>
      <c r="F117" s="294">
        <v>556.53</v>
      </c>
      <c r="G117" s="294">
        <f t="shared" si="12"/>
        <v>41.071914</v>
      </c>
      <c r="H117" s="294">
        <v>59.8</v>
      </c>
      <c r="I117" s="293">
        <f t="shared" si="13"/>
        <v>455.65808599999997</v>
      </c>
      <c r="J117" s="329" t="s">
        <v>68</v>
      </c>
      <c r="K117" s="294" t="s">
        <v>17</v>
      </c>
      <c r="L117" s="293">
        <f t="shared" si="11"/>
        <v>68.348712899999995</v>
      </c>
      <c r="M117" s="293">
        <f t="shared" si="7"/>
        <v>18.226323439999998</v>
      </c>
      <c r="N117" s="296">
        <f t="shared" si="8"/>
        <v>9.113161719999999</v>
      </c>
      <c r="O117" s="296">
        <f t="shared" si="9"/>
        <v>9.113161719999999</v>
      </c>
      <c r="P117" s="294">
        <f t="shared" si="10"/>
        <v>31.896066019999992</v>
      </c>
    </row>
    <row r="118" spans="1:16">
      <c r="A118" s="305">
        <v>116</v>
      </c>
      <c r="B118" s="339" t="s">
        <v>610</v>
      </c>
      <c r="C118" s="327" t="s">
        <v>173</v>
      </c>
      <c r="D118" s="644">
        <v>1003110442087</v>
      </c>
      <c r="E118" s="401">
        <v>5536493</v>
      </c>
      <c r="F118" s="294">
        <v>609.47</v>
      </c>
      <c r="G118" s="294">
        <f t="shared" si="12"/>
        <v>44.978886000000003</v>
      </c>
      <c r="H118" s="294">
        <v>65.489999999999995</v>
      </c>
      <c r="I118" s="293">
        <f t="shared" si="13"/>
        <v>499.00111400000003</v>
      </c>
      <c r="J118" s="329" t="s">
        <v>68</v>
      </c>
      <c r="K118" s="294" t="s">
        <v>14</v>
      </c>
      <c r="L118" s="293">
        <f t="shared" si="11"/>
        <v>74.850167100000007</v>
      </c>
      <c r="M118" s="293">
        <f t="shared" si="7"/>
        <v>19.96004456</v>
      </c>
      <c r="N118" s="296">
        <f t="shared" si="8"/>
        <v>9.98002228</v>
      </c>
      <c r="O118" s="296">
        <f t="shared" si="9"/>
        <v>9.98002228</v>
      </c>
      <c r="P118" s="294">
        <f t="shared" si="10"/>
        <v>34.930077980000007</v>
      </c>
    </row>
    <row r="119" spans="1:16">
      <c r="A119" s="305">
        <v>117</v>
      </c>
      <c r="B119" s="330" t="s">
        <v>611</v>
      </c>
      <c r="C119" s="388" t="s">
        <v>475</v>
      </c>
      <c r="D119" s="337">
        <v>1003110449790</v>
      </c>
      <c r="E119" s="280">
        <v>5512237</v>
      </c>
      <c r="F119" s="312">
        <v>521.79</v>
      </c>
      <c r="G119" s="308">
        <f t="shared" si="12"/>
        <v>38.508102000000001</v>
      </c>
      <c r="H119" s="312">
        <v>137.83000000000001</v>
      </c>
      <c r="I119" s="310">
        <f t="shared" si="13"/>
        <v>345.45189799999991</v>
      </c>
      <c r="J119" s="316" t="s">
        <v>38</v>
      </c>
      <c r="K119" s="312" t="s">
        <v>33</v>
      </c>
      <c r="L119" s="310">
        <f t="shared" si="11"/>
        <v>51.817784699999983</v>
      </c>
      <c r="M119" s="310">
        <f t="shared" si="7"/>
        <v>13.818075919999997</v>
      </c>
      <c r="N119" s="311">
        <f t="shared" si="8"/>
        <v>6.9090379599999983</v>
      </c>
      <c r="O119" s="311">
        <f t="shared" si="9"/>
        <v>6.9090379599999983</v>
      </c>
      <c r="P119" s="308">
        <f t="shared" si="10"/>
        <v>24.181632859999986</v>
      </c>
    </row>
    <row r="120" spans="1:16">
      <c r="A120" s="305">
        <v>118</v>
      </c>
      <c r="B120" s="330" t="s">
        <v>612</v>
      </c>
      <c r="C120" s="388" t="s">
        <v>475</v>
      </c>
      <c r="D120" s="337">
        <v>1003110450353</v>
      </c>
      <c r="E120" s="280">
        <v>5540793</v>
      </c>
      <c r="F120" s="312">
        <v>460.81</v>
      </c>
      <c r="G120" s="308">
        <f t="shared" si="12"/>
        <v>34.007778000000002</v>
      </c>
      <c r="H120" s="312">
        <v>0</v>
      </c>
      <c r="I120" s="310">
        <f t="shared" si="13"/>
        <v>426.80222200000003</v>
      </c>
      <c r="J120" s="316" t="s">
        <v>68</v>
      </c>
      <c r="K120" s="312" t="s">
        <v>25</v>
      </c>
      <c r="L120" s="310">
        <f t="shared" si="11"/>
        <v>64.020333300000004</v>
      </c>
      <c r="M120" s="310">
        <f t="shared" si="7"/>
        <v>17.072088880000003</v>
      </c>
      <c r="N120" s="311">
        <f t="shared" si="8"/>
        <v>8.5360444400000013</v>
      </c>
      <c r="O120" s="311">
        <f t="shared" si="9"/>
        <v>8.5360444400000013</v>
      </c>
      <c r="P120" s="308">
        <f t="shared" si="10"/>
        <v>29.876155539999996</v>
      </c>
    </row>
    <row r="121" spans="1:16">
      <c r="A121" s="305">
        <v>119</v>
      </c>
      <c r="B121" s="330" t="s">
        <v>613</v>
      </c>
      <c r="C121" s="388" t="s">
        <v>475</v>
      </c>
      <c r="D121" s="254">
        <v>1003110456889</v>
      </c>
      <c r="E121" s="280" t="s">
        <v>614</v>
      </c>
      <c r="F121" s="312">
        <v>515.57000000000005</v>
      </c>
      <c r="G121" s="308">
        <f t="shared" si="12"/>
        <v>38.049066000000003</v>
      </c>
      <c r="H121" s="312">
        <v>55.4</v>
      </c>
      <c r="I121" s="310">
        <f t="shared" si="13"/>
        <v>422.12093400000009</v>
      </c>
      <c r="J121" s="316" t="s">
        <v>68</v>
      </c>
      <c r="K121" s="312" t="s">
        <v>14</v>
      </c>
      <c r="L121" s="308">
        <f t="shared" si="11"/>
        <v>63.318140100000008</v>
      </c>
      <c r="M121" s="310">
        <f t="shared" si="7"/>
        <v>16.884837360000002</v>
      </c>
      <c r="N121" s="311">
        <f t="shared" si="8"/>
        <v>8.4424186800000012</v>
      </c>
      <c r="O121" s="311">
        <f t="shared" si="9"/>
        <v>8.4424186800000012</v>
      </c>
      <c r="P121" s="308">
        <f t="shared" si="10"/>
        <v>29.548465379999996</v>
      </c>
    </row>
    <row r="122" spans="1:16">
      <c r="A122" s="305">
        <v>120</v>
      </c>
      <c r="B122" s="330" t="s">
        <v>615</v>
      </c>
      <c r="C122" s="388" t="s">
        <v>475</v>
      </c>
      <c r="D122" s="254">
        <v>2594743</v>
      </c>
      <c r="E122" s="280">
        <v>5540494</v>
      </c>
      <c r="F122" s="312">
        <v>602.1</v>
      </c>
      <c r="G122" s="308">
        <f t="shared" si="12"/>
        <v>44.434980000000003</v>
      </c>
      <c r="H122" s="312">
        <v>74.48</v>
      </c>
      <c r="I122" s="310">
        <f t="shared" si="13"/>
        <v>483.18502000000001</v>
      </c>
      <c r="J122" s="316" t="s">
        <v>68</v>
      </c>
      <c r="K122" s="312" t="s">
        <v>17</v>
      </c>
      <c r="L122" s="308">
        <f t="shared" si="11"/>
        <v>72.477752999999993</v>
      </c>
      <c r="M122" s="310">
        <f t="shared" si="7"/>
        <v>19.327400799999999</v>
      </c>
      <c r="N122" s="311">
        <f t="shared" si="8"/>
        <v>9.6637003999999997</v>
      </c>
      <c r="O122" s="311">
        <f t="shared" si="9"/>
        <v>9.6637003999999997</v>
      </c>
      <c r="P122" s="308">
        <f t="shared" si="10"/>
        <v>33.822951399999994</v>
      </c>
    </row>
    <row r="123" spans="1:16">
      <c r="A123" s="305">
        <v>121</v>
      </c>
      <c r="B123" s="339" t="s">
        <v>616</v>
      </c>
      <c r="C123" s="327" t="s">
        <v>475</v>
      </c>
      <c r="D123" s="400">
        <v>1003110447667</v>
      </c>
      <c r="E123" s="401">
        <v>5538617</v>
      </c>
      <c r="F123" s="294">
        <v>551.12</v>
      </c>
      <c r="G123" s="294">
        <f t="shared" si="12"/>
        <v>40.672656000000003</v>
      </c>
      <c r="H123" s="294">
        <v>67.97</v>
      </c>
      <c r="I123" s="293">
        <f t="shared" si="13"/>
        <v>442.47734400000002</v>
      </c>
      <c r="J123" s="329" t="s">
        <v>68</v>
      </c>
      <c r="K123" s="294" t="s">
        <v>26</v>
      </c>
      <c r="L123" s="294">
        <f t="shared" si="11"/>
        <v>66.371601600000005</v>
      </c>
      <c r="M123" s="293">
        <f t="shared" si="7"/>
        <v>17.69909376</v>
      </c>
      <c r="N123" s="296">
        <f t="shared" si="8"/>
        <v>8.8495468800000001</v>
      </c>
      <c r="O123" s="296">
        <f t="shared" si="9"/>
        <v>8.8495468800000001</v>
      </c>
      <c r="P123" s="294">
        <f t="shared" si="10"/>
        <v>30.973414080000012</v>
      </c>
    </row>
    <row r="124" spans="1:16">
      <c r="A124" s="305">
        <v>122</v>
      </c>
      <c r="B124" s="330" t="s">
        <v>617</v>
      </c>
      <c r="C124" s="388" t="s">
        <v>29</v>
      </c>
      <c r="D124" s="254">
        <v>1003110553054</v>
      </c>
      <c r="E124" s="280">
        <v>5540263</v>
      </c>
      <c r="F124" s="312">
        <v>1258.49</v>
      </c>
      <c r="G124" s="308">
        <f t="shared" si="12"/>
        <v>92.876562000000007</v>
      </c>
      <c r="H124" s="312">
        <v>356.16</v>
      </c>
      <c r="I124" s="310">
        <f t="shared" si="13"/>
        <v>809.45343800000001</v>
      </c>
      <c r="J124" s="316" t="s">
        <v>68</v>
      </c>
      <c r="K124" s="312" t="s">
        <v>238</v>
      </c>
      <c r="L124" s="308">
        <f t="shared" si="11"/>
        <v>121.4180157</v>
      </c>
      <c r="M124" s="310">
        <f t="shared" si="7"/>
        <v>32.378137520000003</v>
      </c>
      <c r="N124" s="311">
        <f t="shared" si="8"/>
        <v>16.189068760000001</v>
      </c>
      <c r="O124" s="311">
        <f t="shared" si="9"/>
        <v>16.189068760000001</v>
      </c>
      <c r="P124" s="308">
        <f t="shared" si="10"/>
        <v>56.661740659999992</v>
      </c>
    </row>
    <row r="125" spans="1:16">
      <c r="A125" s="305">
        <v>123</v>
      </c>
      <c r="B125" s="330" t="s">
        <v>618</v>
      </c>
      <c r="C125" s="388" t="s">
        <v>475</v>
      </c>
      <c r="D125" s="254">
        <v>1003110446667</v>
      </c>
      <c r="E125" s="280">
        <v>5537881</v>
      </c>
      <c r="F125" s="312">
        <v>514.88</v>
      </c>
      <c r="G125" s="308">
        <f t="shared" si="12"/>
        <v>37.998144000000003</v>
      </c>
      <c r="H125" s="312">
        <v>55.33</v>
      </c>
      <c r="I125" s="310">
        <f t="shared" si="13"/>
        <v>421.55185599999999</v>
      </c>
      <c r="J125" s="316" t="s">
        <v>38</v>
      </c>
      <c r="K125" s="312" t="s">
        <v>51</v>
      </c>
      <c r="L125" s="308">
        <f t="shared" si="11"/>
        <v>63.232778399999994</v>
      </c>
      <c r="M125" s="310">
        <f t="shared" si="7"/>
        <v>16.862074239999998</v>
      </c>
      <c r="N125" s="311">
        <f t="shared" si="8"/>
        <v>8.4310371199999992</v>
      </c>
      <c r="O125" s="311">
        <f t="shared" si="9"/>
        <v>8.4310371199999992</v>
      </c>
      <c r="P125" s="308">
        <f t="shared" si="10"/>
        <v>29.508629919999997</v>
      </c>
    </row>
    <row r="126" spans="1:16">
      <c r="A126" s="305">
        <v>124</v>
      </c>
      <c r="B126" s="330" t="s">
        <v>619</v>
      </c>
      <c r="C126" s="388" t="s">
        <v>475</v>
      </c>
      <c r="D126" s="254">
        <v>1003110445085</v>
      </c>
      <c r="E126" s="280">
        <v>5538720</v>
      </c>
      <c r="F126" s="312">
        <v>518.59</v>
      </c>
      <c r="G126" s="308">
        <f t="shared" si="12"/>
        <v>38.271942000000003</v>
      </c>
      <c r="H126" s="312">
        <v>55.72</v>
      </c>
      <c r="I126" s="310">
        <f t="shared" si="13"/>
        <v>424.59805800000004</v>
      </c>
      <c r="J126" s="316" t="s">
        <v>38</v>
      </c>
      <c r="K126" s="312" t="s">
        <v>620</v>
      </c>
      <c r="L126" s="308">
        <f t="shared" si="11"/>
        <v>63.689708700000004</v>
      </c>
      <c r="M126" s="310">
        <f t="shared" si="7"/>
        <v>16.983922320000001</v>
      </c>
      <c r="N126" s="311">
        <f t="shared" si="8"/>
        <v>8.4919611600000007</v>
      </c>
      <c r="O126" s="311">
        <f t="shared" si="9"/>
        <v>8.4919611600000007</v>
      </c>
      <c r="P126" s="308">
        <f t="shared" si="10"/>
        <v>29.721864060000001</v>
      </c>
    </row>
    <row r="127" spans="1:16">
      <c r="A127" s="305"/>
      <c r="B127" s="306"/>
      <c r="C127" s="313"/>
      <c r="D127" s="254"/>
      <c r="E127" s="280"/>
      <c r="F127" s="312"/>
      <c r="G127" s="308">
        <f t="shared" si="12"/>
        <v>0</v>
      </c>
      <c r="H127" s="312"/>
      <c r="I127" s="310">
        <f t="shared" si="13"/>
        <v>0</v>
      </c>
      <c r="J127" s="316"/>
      <c r="K127" s="312"/>
      <c r="L127" s="308">
        <f t="shared" si="11"/>
        <v>0</v>
      </c>
      <c r="M127" s="310">
        <f t="shared" si="7"/>
        <v>0</v>
      </c>
      <c r="N127" s="311">
        <f t="shared" si="8"/>
        <v>0</v>
      </c>
      <c r="O127" s="311">
        <f t="shared" si="9"/>
        <v>0</v>
      </c>
      <c r="P127" s="308">
        <f t="shared" si="10"/>
        <v>0</v>
      </c>
    </row>
    <row r="128" spans="1:16">
      <c r="A128" s="3"/>
      <c r="B128" s="66"/>
      <c r="C128" s="66"/>
      <c r="D128" s="67"/>
      <c r="E128" s="66"/>
      <c r="F128" s="68"/>
      <c r="G128" s="68"/>
      <c r="H128" s="68"/>
      <c r="I128" s="68"/>
      <c r="J128" s="66"/>
      <c r="K128" s="69"/>
      <c r="L128" s="69"/>
      <c r="M128" s="69"/>
      <c r="N128" s="7"/>
      <c r="O128" s="7"/>
      <c r="P128" s="8"/>
    </row>
    <row r="129" spans="1:16" ht="15.6">
      <c r="A129" s="3"/>
      <c r="B129" s="4"/>
      <c r="C129" s="4"/>
      <c r="D129" s="13"/>
      <c r="E129" s="5" t="s">
        <v>11</v>
      </c>
      <c r="F129" s="6">
        <f>SUM(F3:F127)</f>
        <v>81195.424999999988</v>
      </c>
      <c r="G129" s="6">
        <f>SUM(G3:G127)</f>
        <v>5992.2223650000005</v>
      </c>
      <c r="H129" s="6">
        <f>SUM(H3:H127)</f>
        <v>11161.229999999998</v>
      </c>
      <c r="I129" s="6">
        <f>SUM(I3:I127)</f>
        <v>64041.972634999998</v>
      </c>
      <c r="J129" s="4"/>
      <c r="K129" s="9"/>
      <c r="L129" s="6">
        <f>SUM(L3:L127)</f>
        <v>9606.2958952499957</v>
      </c>
      <c r="M129" s="6">
        <f>SUM(M3:M127)</f>
        <v>2561.6789053999996</v>
      </c>
      <c r="N129" s="6">
        <f>SUM(N3:N127)</f>
        <v>1280.8394526999998</v>
      </c>
      <c r="O129" s="6">
        <f>SUM(O3:O127)</f>
        <v>1280.8394526999998</v>
      </c>
      <c r="P129" s="6">
        <f>SUM(P3:P127)</f>
        <v>4482.938084450001</v>
      </c>
    </row>
  </sheetData>
  <autoFilter ref="B2:P127" xr:uid="{7C492DCF-F653-4E2C-AD91-DDB7F1948B9D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7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27BC-3B96-4A20-B465-483ED08818CC}">
  <dimension ref="A1:Q144"/>
  <sheetViews>
    <sheetView topLeftCell="C124" zoomScaleNormal="100" workbookViewId="0">
      <selection activeCell="M137" sqref="M137"/>
    </sheetView>
  </sheetViews>
  <sheetFormatPr defaultRowHeight="14.4"/>
  <cols>
    <col min="1" max="1" width="5.88671875" customWidth="1"/>
    <col min="2" max="2" width="40" bestFit="1" customWidth="1"/>
    <col min="3" max="3" width="15.109375" bestFit="1" customWidth="1"/>
    <col min="4" max="4" width="25.109375" bestFit="1" customWidth="1"/>
    <col min="5" max="5" width="16" bestFit="1" customWidth="1"/>
    <col min="6" max="6" width="14.5546875" customWidth="1"/>
    <col min="7" max="7" width="15.109375" bestFit="1" customWidth="1"/>
    <col min="8" max="8" width="15.77734375" customWidth="1"/>
    <col min="9" max="9" width="15.88671875" bestFit="1" customWidth="1"/>
    <col min="10" max="10" width="13.33203125" customWidth="1"/>
    <col min="11" max="11" width="13.109375" customWidth="1"/>
    <col min="12" max="12" width="14.77734375" customWidth="1"/>
    <col min="13" max="13" width="13.109375" customWidth="1"/>
    <col min="14" max="14" width="12.44140625" customWidth="1"/>
    <col min="15" max="15" width="14.21875" bestFit="1" customWidth="1"/>
    <col min="16" max="16" width="12.77734375" customWidth="1"/>
    <col min="17" max="17" width="8.88671875" hidden="1" customWidth="1"/>
  </cols>
  <sheetData>
    <row r="1" spans="1:17" ht="23.4">
      <c r="B1" s="742" t="s">
        <v>621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31.2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343">
        <v>1</v>
      </c>
      <c r="B3" s="344" t="s">
        <v>622</v>
      </c>
      <c r="C3" s="385" t="s">
        <v>168</v>
      </c>
      <c r="D3" s="229">
        <v>1003110455671</v>
      </c>
      <c r="E3" s="230">
        <v>5513406</v>
      </c>
      <c r="F3" s="345">
        <v>616.04999999999995</v>
      </c>
      <c r="G3" s="346">
        <f>F3*7.38%</f>
        <v>45.464489999999998</v>
      </c>
      <c r="H3" s="347">
        <v>205.35</v>
      </c>
      <c r="I3" s="346">
        <f>F3-G3-H3</f>
        <v>365.23550999999998</v>
      </c>
      <c r="J3" s="343" t="s">
        <v>13</v>
      </c>
      <c r="K3" s="347" t="s">
        <v>25</v>
      </c>
      <c r="L3" s="348">
        <f>I3*15%</f>
        <v>54.785326499999996</v>
      </c>
      <c r="M3" s="348">
        <f t="shared" ref="M3:M66" si="0">I3*4%</f>
        <v>14.609420399999999</v>
      </c>
      <c r="N3" s="349">
        <f t="shared" ref="N3:N66" si="1">I3*2%</f>
        <v>7.3047101999999997</v>
      </c>
      <c r="O3" s="349">
        <f t="shared" ref="O3:O66" si="2">I3*2%</f>
        <v>7.3047101999999997</v>
      </c>
      <c r="P3" s="346">
        <f t="shared" ref="P3:P66" si="3">L3-M3-N3-O3</f>
        <v>25.566485699999998</v>
      </c>
    </row>
    <row r="4" spans="1:17">
      <c r="A4" s="343">
        <v>2</v>
      </c>
      <c r="B4" s="339" t="s">
        <v>623</v>
      </c>
      <c r="C4" s="386" t="s">
        <v>163</v>
      </c>
      <c r="D4" s="238">
        <v>1003110451602</v>
      </c>
      <c r="E4" s="230">
        <v>5542947</v>
      </c>
      <c r="F4" s="345">
        <v>551.13</v>
      </c>
      <c r="G4" s="346">
        <f>F4*7.38%</f>
        <v>40.673394000000002</v>
      </c>
      <c r="H4" s="350">
        <v>59.22</v>
      </c>
      <c r="I4" s="346">
        <f>F4-G4-H4</f>
        <v>451.23660599999994</v>
      </c>
      <c r="J4" s="351" t="s">
        <v>13</v>
      </c>
      <c r="K4" s="350" t="s">
        <v>17</v>
      </c>
      <c r="L4" s="348">
        <f t="shared" ref="L4:L67" si="4">I4*15%</f>
        <v>67.685490899999991</v>
      </c>
      <c r="M4" s="348">
        <f t="shared" si="0"/>
        <v>18.049464239999999</v>
      </c>
      <c r="N4" s="349">
        <f t="shared" si="1"/>
        <v>9.0247321199999995</v>
      </c>
      <c r="O4" s="349">
        <f t="shared" si="2"/>
        <v>9.0247321199999995</v>
      </c>
      <c r="P4" s="346">
        <f t="shared" si="3"/>
        <v>31.586562419999989</v>
      </c>
    </row>
    <row r="5" spans="1:17">
      <c r="A5" s="343">
        <v>3</v>
      </c>
      <c r="B5" s="352" t="s">
        <v>624</v>
      </c>
      <c r="C5" s="387" t="s">
        <v>35</v>
      </c>
      <c r="D5" s="242">
        <v>1003110451875</v>
      </c>
      <c r="E5" s="243">
        <v>5543195</v>
      </c>
      <c r="F5" s="353">
        <v>629</v>
      </c>
      <c r="G5" s="346">
        <f t="shared" ref="G5:G68" si="5">F5*7.38%</f>
        <v>46.420200000000001</v>
      </c>
      <c r="H5" s="354">
        <v>314.5</v>
      </c>
      <c r="I5" s="346">
        <f t="shared" ref="I5:I68" si="6">F5-G5-H5</f>
        <v>268.07979999999998</v>
      </c>
      <c r="J5" s="343" t="s">
        <v>13</v>
      </c>
      <c r="K5" s="347" t="s">
        <v>264</v>
      </c>
      <c r="L5" s="348">
        <f t="shared" si="4"/>
        <v>40.211969999999994</v>
      </c>
      <c r="M5" s="348">
        <f t="shared" si="0"/>
        <v>10.723191999999999</v>
      </c>
      <c r="N5" s="349">
        <f t="shared" si="1"/>
        <v>5.3615959999999996</v>
      </c>
      <c r="O5" s="349">
        <f t="shared" si="2"/>
        <v>5.3615959999999996</v>
      </c>
      <c r="P5" s="346">
        <f t="shared" si="3"/>
        <v>18.765585999999999</v>
      </c>
    </row>
    <row r="6" spans="1:17">
      <c r="A6" s="343">
        <v>4</v>
      </c>
      <c r="B6" s="339" t="s">
        <v>625</v>
      </c>
      <c r="C6" s="327" t="s">
        <v>163</v>
      </c>
      <c r="D6" s="506">
        <v>1003110452645</v>
      </c>
      <c r="E6" s="507">
        <v>5543613</v>
      </c>
      <c r="F6" s="342">
        <v>571.44000000000005</v>
      </c>
      <c r="G6" s="294">
        <f t="shared" si="5"/>
        <v>42.172272000000007</v>
      </c>
      <c r="H6" s="294">
        <v>150.94999999999999</v>
      </c>
      <c r="I6" s="294">
        <f t="shared" si="6"/>
        <v>378.31772800000005</v>
      </c>
      <c r="J6" s="327" t="s">
        <v>13</v>
      </c>
      <c r="K6" s="294" t="s">
        <v>211</v>
      </c>
      <c r="L6" s="293">
        <f t="shared" si="4"/>
        <v>56.747659200000008</v>
      </c>
      <c r="M6" s="293">
        <f t="shared" si="0"/>
        <v>15.132709120000001</v>
      </c>
      <c r="N6" s="296">
        <f t="shared" si="1"/>
        <v>7.5663545600000006</v>
      </c>
      <c r="O6" s="296">
        <f t="shared" si="2"/>
        <v>7.5663545600000006</v>
      </c>
      <c r="P6" s="294">
        <f t="shared" si="3"/>
        <v>26.482240960000006</v>
      </c>
    </row>
    <row r="7" spans="1:17">
      <c r="A7" s="343">
        <v>5</v>
      </c>
      <c r="B7" s="645" t="s">
        <v>626</v>
      </c>
      <c r="C7" s="295" t="s">
        <v>168</v>
      </c>
      <c r="D7" s="506">
        <v>1003110455473</v>
      </c>
      <c r="E7" s="507">
        <v>5545041</v>
      </c>
      <c r="F7" s="293">
        <v>558.54</v>
      </c>
      <c r="G7" s="294">
        <f t="shared" si="5"/>
        <v>41.220252000000002</v>
      </c>
      <c r="H7" s="293">
        <v>60.02</v>
      </c>
      <c r="I7" s="294">
        <f t="shared" si="6"/>
        <v>457.29974800000002</v>
      </c>
      <c r="J7" s="295" t="s">
        <v>13</v>
      </c>
      <c r="K7" s="293" t="s">
        <v>25</v>
      </c>
      <c r="L7" s="293">
        <f t="shared" si="4"/>
        <v>68.594962199999998</v>
      </c>
      <c r="M7" s="293">
        <f t="shared" si="0"/>
        <v>18.291989920000002</v>
      </c>
      <c r="N7" s="296">
        <f t="shared" si="1"/>
        <v>9.1459949600000012</v>
      </c>
      <c r="O7" s="296">
        <f t="shared" si="2"/>
        <v>9.1459949600000012</v>
      </c>
      <c r="P7" s="294">
        <f t="shared" si="3"/>
        <v>32.010982359999986</v>
      </c>
    </row>
    <row r="8" spans="1:17">
      <c r="A8" s="343">
        <v>6</v>
      </c>
      <c r="B8" s="344" t="s">
        <v>627</v>
      </c>
      <c r="C8" s="388" t="s">
        <v>35</v>
      </c>
      <c r="D8" s="249">
        <v>2590560</v>
      </c>
      <c r="E8" s="250" t="s">
        <v>628</v>
      </c>
      <c r="F8" s="350">
        <v>528.1</v>
      </c>
      <c r="G8" s="355">
        <f t="shared" si="5"/>
        <v>38.973780000000005</v>
      </c>
      <c r="H8" s="350">
        <v>52.81</v>
      </c>
      <c r="I8" s="355">
        <f>F8-G8-H8</f>
        <v>436.31621999999999</v>
      </c>
      <c r="J8" s="351" t="s">
        <v>16</v>
      </c>
      <c r="K8" s="350" t="s">
        <v>17</v>
      </c>
      <c r="L8" s="348">
        <f t="shared" si="4"/>
        <v>65.44743299999999</v>
      </c>
      <c r="M8" s="348">
        <f t="shared" si="0"/>
        <v>17.452648799999999</v>
      </c>
      <c r="N8" s="349">
        <f t="shared" si="1"/>
        <v>8.7263243999999993</v>
      </c>
      <c r="O8" s="349">
        <f t="shared" si="2"/>
        <v>8.7263243999999993</v>
      </c>
      <c r="P8" s="346">
        <f t="shared" si="3"/>
        <v>30.542135399999989</v>
      </c>
    </row>
    <row r="9" spans="1:17">
      <c r="A9" s="343">
        <v>7</v>
      </c>
      <c r="B9" s="352" t="s">
        <v>629</v>
      </c>
      <c r="C9" s="387" t="s">
        <v>368</v>
      </c>
      <c r="D9" s="251">
        <v>1003110452858</v>
      </c>
      <c r="E9" s="191">
        <v>5543039</v>
      </c>
      <c r="F9" s="356">
        <v>642.84</v>
      </c>
      <c r="G9" s="355">
        <f t="shared" si="5"/>
        <v>47.441592000000007</v>
      </c>
      <c r="H9" s="347">
        <v>69.08</v>
      </c>
      <c r="I9" s="355">
        <f>F9-G9-H9</f>
        <v>526.31840799999998</v>
      </c>
      <c r="J9" s="343" t="s">
        <v>13</v>
      </c>
      <c r="K9" s="347" t="s">
        <v>26</v>
      </c>
      <c r="L9" s="348">
        <f t="shared" si="4"/>
        <v>78.947761199999988</v>
      </c>
      <c r="M9" s="348">
        <f t="shared" si="0"/>
        <v>21.052736320000001</v>
      </c>
      <c r="N9" s="349">
        <f>I9*2%</f>
        <v>10.526368160000001</v>
      </c>
      <c r="O9" s="349">
        <f t="shared" si="2"/>
        <v>10.526368160000001</v>
      </c>
      <c r="P9" s="346">
        <f t="shared" si="3"/>
        <v>36.842288559999986</v>
      </c>
    </row>
    <row r="10" spans="1:17">
      <c r="A10" s="343">
        <v>8</v>
      </c>
      <c r="B10" s="445" t="s">
        <v>630</v>
      </c>
      <c r="C10" s="298" t="s">
        <v>163</v>
      </c>
      <c r="D10" s="408">
        <v>1003110435200</v>
      </c>
      <c r="E10" s="446" t="s">
        <v>631</v>
      </c>
      <c r="F10" s="447">
        <v>358.89</v>
      </c>
      <c r="G10" s="300">
        <f t="shared" si="5"/>
        <v>26.486082</v>
      </c>
      <c r="H10" s="300">
        <v>47.54</v>
      </c>
      <c r="I10" s="300">
        <f t="shared" si="6"/>
        <v>284.86391799999996</v>
      </c>
      <c r="J10" s="302" t="s">
        <v>13</v>
      </c>
      <c r="K10" s="300" t="s">
        <v>17</v>
      </c>
      <c r="L10" s="301">
        <f t="shared" si="4"/>
        <v>42.729587699999989</v>
      </c>
      <c r="M10" s="301">
        <f t="shared" si="0"/>
        <v>11.394556719999999</v>
      </c>
      <c r="N10" s="303">
        <f t="shared" si="1"/>
        <v>5.6972783599999994</v>
      </c>
      <c r="O10" s="303">
        <f t="shared" si="2"/>
        <v>5.6972783599999994</v>
      </c>
      <c r="P10" s="300">
        <f t="shared" si="3"/>
        <v>19.940474259999995</v>
      </c>
    </row>
    <row r="11" spans="1:17">
      <c r="A11" s="343">
        <v>9</v>
      </c>
      <c r="B11" s="357" t="s">
        <v>632</v>
      </c>
      <c r="C11" s="387" t="s">
        <v>35</v>
      </c>
      <c r="D11" s="251">
        <v>1003110456720</v>
      </c>
      <c r="E11" s="191" t="s">
        <v>633</v>
      </c>
      <c r="F11" s="359">
        <v>556.86</v>
      </c>
      <c r="G11" s="355">
        <f t="shared" si="5"/>
        <v>41.096268000000002</v>
      </c>
      <c r="H11" s="347">
        <v>59.84</v>
      </c>
      <c r="I11" s="360">
        <f t="shared" si="6"/>
        <v>455.92373199999997</v>
      </c>
      <c r="J11" s="361" t="s">
        <v>16</v>
      </c>
      <c r="K11" s="347" t="s">
        <v>17</v>
      </c>
      <c r="L11" s="348">
        <f t="shared" si="4"/>
        <v>68.388559799999996</v>
      </c>
      <c r="M11" s="348">
        <f t="shared" si="0"/>
        <v>18.236949280000001</v>
      </c>
      <c r="N11" s="349">
        <f t="shared" si="1"/>
        <v>9.1184746400000005</v>
      </c>
      <c r="O11" s="362">
        <f t="shared" si="2"/>
        <v>9.1184746400000005</v>
      </c>
      <c r="P11" s="348">
        <f t="shared" si="3"/>
        <v>31.914661239999987</v>
      </c>
    </row>
    <row r="12" spans="1:17">
      <c r="A12" s="343">
        <v>10</v>
      </c>
      <c r="B12" s="363" t="s">
        <v>634</v>
      </c>
      <c r="C12" s="160" t="s">
        <v>35</v>
      </c>
      <c r="D12" s="254">
        <v>1003110456692</v>
      </c>
      <c r="E12" s="262">
        <v>5545639</v>
      </c>
      <c r="F12" s="364">
        <v>760.66</v>
      </c>
      <c r="G12" s="355">
        <f t="shared" si="5"/>
        <v>56.136707999999999</v>
      </c>
      <c r="H12" s="350">
        <v>253.55</v>
      </c>
      <c r="I12" s="355">
        <f t="shared" si="6"/>
        <v>450.97329199999996</v>
      </c>
      <c r="J12" s="361" t="s">
        <v>13</v>
      </c>
      <c r="K12" s="350" t="s">
        <v>25</v>
      </c>
      <c r="L12" s="348">
        <f t="shared" si="4"/>
        <v>67.645993799999985</v>
      </c>
      <c r="M12" s="348">
        <f t="shared" si="0"/>
        <v>18.038931679999997</v>
      </c>
      <c r="N12" s="349">
        <f t="shared" si="1"/>
        <v>9.0194658399999987</v>
      </c>
      <c r="O12" s="349">
        <f t="shared" si="2"/>
        <v>9.0194658399999987</v>
      </c>
      <c r="P12" s="346">
        <f t="shared" si="3"/>
        <v>31.568130439999987</v>
      </c>
    </row>
    <row r="13" spans="1:17">
      <c r="A13" s="343">
        <v>11</v>
      </c>
      <c r="B13" s="357" t="s">
        <v>635</v>
      </c>
      <c r="C13" s="387" t="s">
        <v>163</v>
      </c>
      <c r="D13" s="251">
        <v>1003110457052</v>
      </c>
      <c r="E13" s="191" t="s">
        <v>636</v>
      </c>
      <c r="F13" s="364">
        <v>490.26</v>
      </c>
      <c r="G13" s="360">
        <f t="shared" si="5"/>
        <v>36.181187999999999</v>
      </c>
      <c r="H13" s="347">
        <v>52.68</v>
      </c>
      <c r="I13" s="360">
        <f t="shared" si="6"/>
        <v>401.39881199999996</v>
      </c>
      <c r="J13" s="361" t="s">
        <v>13</v>
      </c>
      <c r="K13" s="347" t="s">
        <v>14</v>
      </c>
      <c r="L13" s="348">
        <f t="shared" si="4"/>
        <v>60.209821799999993</v>
      </c>
      <c r="M13" s="348">
        <f t="shared" si="0"/>
        <v>16.055952479999998</v>
      </c>
      <c r="N13" s="349">
        <f t="shared" si="1"/>
        <v>8.0279762399999992</v>
      </c>
      <c r="O13" s="362">
        <f t="shared" si="2"/>
        <v>8.0279762399999992</v>
      </c>
      <c r="P13" s="348">
        <f t="shared" si="3"/>
        <v>28.097916839999996</v>
      </c>
    </row>
    <row r="14" spans="1:17">
      <c r="A14" s="343">
        <v>12</v>
      </c>
      <c r="B14" s="159" t="s">
        <v>637</v>
      </c>
      <c r="C14" s="388" t="s">
        <v>35</v>
      </c>
      <c r="D14" s="264">
        <v>1003110457029</v>
      </c>
      <c r="E14" s="262" t="s">
        <v>638</v>
      </c>
      <c r="F14" s="364">
        <v>570.05999999999995</v>
      </c>
      <c r="G14" s="355">
        <f t="shared" si="5"/>
        <v>42.070428</v>
      </c>
      <c r="H14" s="350">
        <v>61.25</v>
      </c>
      <c r="I14" s="355">
        <f t="shared" si="6"/>
        <v>466.73957199999995</v>
      </c>
      <c r="J14" s="358" t="s">
        <v>13</v>
      </c>
      <c r="K14" s="350" t="s">
        <v>14</v>
      </c>
      <c r="L14" s="348">
        <f t="shared" si="4"/>
        <v>70.010935799999984</v>
      </c>
      <c r="M14" s="348">
        <f t="shared" si="0"/>
        <v>18.66958288</v>
      </c>
      <c r="N14" s="349">
        <f t="shared" si="1"/>
        <v>9.3347914400000001</v>
      </c>
      <c r="O14" s="349">
        <f t="shared" si="2"/>
        <v>9.3347914400000001</v>
      </c>
      <c r="P14" s="346">
        <f t="shared" si="3"/>
        <v>32.671770039999984</v>
      </c>
    </row>
    <row r="15" spans="1:17">
      <c r="A15" s="343">
        <v>13</v>
      </c>
      <c r="B15" s="365" t="s">
        <v>639</v>
      </c>
      <c r="C15" s="387" t="s">
        <v>35</v>
      </c>
      <c r="D15" s="266">
        <v>1003110462139</v>
      </c>
      <c r="E15" s="262">
        <v>5549018</v>
      </c>
      <c r="F15" s="366">
        <v>893.07</v>
      </c>
      <c r="G15" s="360">
        <f t="shared" si="5"/>
        <v>65.908566000000008</v>
      </c>
      <c r="H15" s="350">
        <v>0</v>
      </c>
      <c r="I15" s="360">
        <f t="shared" si="6"/>
        <v>827.1614340000001</v>
      </c>
      <c r="J15" s="361" t="s">
        <v>13</v>
      </c>
      <c r="K15" s="347" t="s">
        <v>26</v>
      </c>
      <c r="L15" s="348">
        <f t="shared" si="4"/>
        <v>124.0742151</v>
      </c>
      <c r="M15" s="348">
        <f t="shared" si="0"/>
        <v>33.086457360000004</v>
      </c>
      <c r="N15" s="349">
        <f t="shared" si="1"/>
        <v>16.543228680000002</v>
      </c>
      <c r="O15" s="362">
        <f t="shared" si="2"/>
        <v>16.543228680000002</v>
      </c>
      <c r="P15" s="348">
        <f t="shared" si="3"/>
        <v>57.901300380000009</v>
      </c>
    </row>
    <row r="16" spans="1:17">
      <c r="A16" s="343">
        <v>14</v>
      </c>
      <c r="B16" s="363" t="s">
        <v>640</v>
      </c>
      <c r="C16" s="386" t="s">
        <v>163</v>
      </c>
      <c r="D16" s="251">
        <v>51772025423</v>
      </c>
      <c r="E16" s="268">
        <v>5549199</v>
      </c>
      <c r="F16" s="364">
        <v>488.92</v>
      </c>
      <c r="G16" s="355">
        <f t="shared" si="5"/>
        <v>36.082296000000007</v>
      </c>
      <c r="H16" s="350">
        <v>162.91999999999999</v>
      </c>
      <c r="I16" s="355">
        <f t="shared" si="6"/>
        <v>289.91770400000007</v>
      </c>
      <c r="J16" s="358" t="s">
        <v>13</v>
      </c>
      <c r="K16" s="350" t="s">
        <v>641</v>
      </c>
      <c r="L16" s="348">
        <f t="shared" si="4"/>
        <v>43.487655600000011</v>
      </c>
      <c r="M16" s="348">
        <f t="shared" si="0"/>
        <v>11.596708160000004</v>
      </c>
      <c r="N16" s="349">
        <f t="shared" si="1"/>
        <v>5.798354080000002</v>
      </c>
      <c r="O16" s="349">
        <f t="shared" si="2"/>
        <v>5.798354080000002</v>
      </c>
      <c r="P16" s="346">
        <f t="shared" si="3"/>
        <v>20.294239279999999</v>
      </c>
    </row>
    <row r="17" spans="1:16">
      <c r="A17" s="343">
        <v>15</v>
      </c>
      <c r="B17" s="365" t="s">
        <v>642</v>
      </c>
      <c r="C17" s="389" t="s">
        <v>173</v>
      </c>
      <c r="D17" s="246">
        <v>1224870504</v>
      </c>
      <c r="E17" s="270" t="s">
        <v>643</v>
      </c>
      <c r="F17" s="347">
        <v>1154.42</v>
      </c>
      <c r="G17" s="360">
        <f t="shared" si="5"/>
        <v>85.196196000000015</v>
      </c>
      <c r="H17" s="350">
        <v>142.38</v>
      </c>
      <c r="I17" s="360">
        <f t="shared" si="6"/>
        <v>926.84380399999998</v>
      </c>
      <c r="J17" s="361" t="s">
        <v>13</v>
      </c>
      <c r="K17" s="347" t="s">
        <v>14</v>
      </c>
      <c r="L17" s="348">
        <f t="shared" si="4"/>
        <v>139.02657059999999</v>
      </c>
      <c r="M17" s="348">
        <f t="shared" si="0"/>
        <v>37.073752159999998</v>
      </c>
      <c r="N17" s="349">
        <f t="shared" si="1"/>
        <v>18.536876079999999</v>
      </c>
      <c r="O17" s="362">
        <f t="shared" si="2"/>
        <v>18.536876079999999</v>
      </c>
      <c r="P17" s="348">
        <f t="shared" si="3"/>
        <v>64.879066279999989</v>
      </c>
    </row>
    <row r="18" spans="1:16">
      <c r="A18" s="343">
        <v>16</v>
      </c>
      <c r="B18" s="499" t="s">
        <v>644</v>
      </c>
      <c r="C18" s="500" t="s">
        <v>31</v>
      </c>
      <c r="D18" s="403">
        <v>1003110491883</v>
      </c>
      <c r="E18" s="729" t="s">
        <v>645</v>
      </c>
      <c r="F18" s="294">
        <v>865.42</v>
      </c>
      <c r="G18" s="294">
        <f t="shared" si="5"/>
        <v>63.867995999999998</v>
      </c>
      <c r="H18" s="294">
        <v>106.74</v>
      </c>
      <c r="I18" s="294">
        <f t="shared" si="6"/>
        <v>694.812004</v>
      </c>
      <c r="J18" s="329" t="s">
        <v>13</v>
      </c>
      <c r="K18" s="294" t="s">
        <v>17</v>
      </c>
      <c r="L18" s="293">
        <f t="shared" si="4"/>
        <v>104.22180059999999</v>
      </c>
      <c r="M18" s="293">
        <f t="shared" si="0"/>
        <v>27.79248016</v>
      </c>
      <c r="N18" s="296">
        <f t="shared" si="1"/>
        <v>13.89624008</v>
      </c>
      <c r="O18" s="296">
        <f t="shared" si="2"/>
        <v>13.89624008</v>
      </c>
      <c r="P18" s="294">
        <f t="shared" si="3"/>
        <v>48.636840280000001</v>
      </c>
    </row>
    <row r="19" spans="1:16">
      <c r="A19" s="343">
        <v>17</v>
      </c>
      <c r="B19" s="365" t="s">
        <v>646</v>
      </c>
      <c r="C19" s="389" t="s">
        <v>35</v>
      </c>
      <c r="D19" s="251">
        <v>1003110471610</v>
      </c>
      <c r="E19" s="272" t="s">
        <v>647</v>
      </c>
      <c r="F19" s="347">
        <v>860.2</v>
      </c>
      <c r="G19" s="360">
        <f t="shared" si="5"/>
        <v>63.482760000000006</v>
      </c>
      <c r="H19" s="347">
        <v>106.1</v>
      </c>
      <c r="I19" s="360">
        <f t="shared" si="6"/>
        <v>690.61724000000004</v>
      </c>
      <c r="J19" s="361" t="s">
        <v>13</v>
      </c>
      <c r="K19" s="347" t="s">
        <v>17</v>
      </c>
      <c r="L19" s="348">
        <f t="shared" si="4"/>
        <v>103.592586</v>
      </c>
      <c r="M19" s="348">
        <f t="shared" si="0"/>
        <v>27.624689600000004</v>
      </c>
      <c r="N19" s="362">
        <f t="shared" si="1"/>
        <v>13.812344800000002</v>
      </c>
      <c r="O19" s="362">
        <f t="shared" si="2"/>
        <v>13.812344800000002</v>
      </c>
      <c r="P19" s="348">
        <f t="shared" si="3"/>
        <v>48.34320679999999</v>
      </c>
    </row>
    <row r="20" spans="1:16">
      <c r="A20" s="343">
        <v>18</v>
      </c>
      <c r="B20" s="363" t="s">
        <v>648</v>
      </c>
      <c r="C20" s="389" t="s">
        <v>173</v>
      </c>
      <c r="D20" s="254">
        <v>51772025423109</v>
      </c>
      <c r="E20" s="268">
        <v>5550260</v>
      </c>
      <c r="F20" s="350">
        <v>1412.95</v>
      </c>
      <c r="G20" s="355">
        <f t="shared" si="5"/>
        <v>104.27571</v>
      </c>
      <c r="H20" s="350">
        <v>174.27</v>
      </c>
      <c r="I20" s="346">
        <f t="shared" si="6"/>
        <v>1134.4042899999999</v>
      </c>
      <c r="J20" s="358" t="s">
        <v>13</v>
      </c>
      <c r="K20" s="350" t="s">
        <v>36</v>
      </c>
      <c r="L20" s="348">
        <f t="shared" si="4"/>
        <v>170.16064349999999</v>
      </c>
      <c r="M20" s="348">
        <f t="shared" si="0"/>
        <v>45.376171599999999</v>
      </c>
      <c r="N20" s="349">
        <f t="shared" si="1"/>
        <v>22.6880858</v>
      </c>
      <c r="O20" s="349">
        <f t="shared" si="2"/>
        <v>22.6880858</v>
      </c>
      <c r="P20" s="346">
        <f t="shared" si="3"/>
        <v>79.408300300000008</v>
      </c>
    </row>
    <row r="21" spans="1:16">
      <c r="A21" s="343">
        <v>19</v>
      </c>
      <c r="B21" s="56" t="s">
        <v>649</v>
      </c>
      <c r="C21" s="387" t="s">
        <v>173</v>
      </c>
      <c r="D21" s="251">
        <v>1003110468213</v>
      </c>
      <c r="E21" s="273" t="s">
        <v>650</v>
      </c>
      <c r="F21" s="347">
        <v>504.16</v>
      </c>
      <c r="G21" s="348">
        <f>F21*7.38%</f>
        <v>37.207008000000002</v>
      </c>
      <c r="H21" s="347">
        <v>62.18</v>
      </c>
      <c r="I21" s="348">
        <f t="shared" si="6"/>
        <v>404.77299199999999</v>
      </c>
      <c r="J21" s="361" t="s">
        <v>13</v>
      </c>
      <c r="K21" s="347" t="s">
        <v>17</v>
      </c>
      <c r="L21" s="348">
        <f t="shared" si="4"/>
        <v>60.715948799999993</v>
      </c>
      <c r="M21" s="348">
        <f t="shared" si="0"/>
        <v>16.19091968</v>
      </c>
      <c r="N21" s="362">
        <f t="shared" si="1"/>
        <v>8.0954598400000002</v>
      </c>
      <c r="O21" s="362">
        <f t="shared" si="2"/>
        <v>8.0954598400000002</v>
      </c>
      <c r="P21" s="348">
        <f t="shared" si="3"/>
        <v>28.334109439999995</v>
      </c>
    </row>
    <row r="22" spans="1:16">
      <c r="A22" s="343">
        <v>20</v>
      </c>
      <c r="B22" s="398" t="s">
        <v>34</v>
      </c>
      <c r="C22" s="165" t="s">
        <v>234</v>
      </c>
      <c r="D22" s="382" t="s">
        <v>32</v>
      </c>
      <c r="E22" s="399">
        <v>5552789</v>
      </c>
      <c r="F22" s="168">
        <v>1896.02</v>
      </c>
      <c r="G22" s="169">
        <f t="shared" si="5"/>
        <v>139.926276</v>
      </c>
      <c r="H22" s="168">
        <v>189.6</v>
      </c>
      <c r="I22" s="169">
        <f t="shared" si="6"/>
        <v>1566.4937240000002</v>
      </c>
      <c r="J22" s="167" t="s">
        <v>16</v>
      </c>
      <c r="K22" s="168" t="s">
        <v>17</v>
      </c>
      <c r="L22" s="170">
        <f t="shared" si="4"/>
        <v>234.97405860000001</v>
      </c>
      <c r="M22" s="170">
        <f t="shared" si="0"/>
        <v>62.659748960000009</v>
      </c>
      <c r="N22" s="171">
        <f t="shared" si="1"/>
        <v>31.329874480000004</v>
      </c>
      <c r="O22" s="171" t="s">
        <v>794</v>
      </c>
      <c r="P22" s="169" t="e">
        <f t="shared" si="3"/>
        <v>#VALUE!</v>
      </c>
    </row>
    <row r="23" spans="1:16">
      <c r="A23" s="343">
        <v>21</v>
      </c>
      <c r="B23" s="365" t="s">
        <v>513</v>
      </c>
      <c r="C23" s="387" t="s">
        <v>163</v>
      </c>
      <c r="D23" s="251">
        <v>51772025423109</v>
      </c>
      <c r="E23" s="274" t="s">
        <v>651</v>
      </c>
      <c r="F23" s="347">
        <v>606.28</v>
      </c>
      <c r="G23" s="348">
        <f t="shared" si="5"/>
        <v>44.743464000000003</v>
      </c>
      <c r="H23" s="347">
        <v>151.57</v>
      </c>
      <c r="I23" s="348">
        <f t="shared" si="6"/>
        <v>409.96653599999996</v>
      </c>
      <c r="J23" s="361" t="s">
        <v>13</v>
      </c>
      <c r="K23" s="347" t="s">
        <v>17</v>
      </c>
      <c r="L23" s="348">
        <f t="shared" si="4"/>
        <v>61.494980399999989</v>
      </c>
      <c r="M23" s="348">
        <f t="shared" si="0"/>
        <v>16.398661439999998</v>
      </c>
      <c r="N23" s="362">
        <f t="shared" si="1"/>
        <v>8.199330719999999</v>
      </c>
      <c r="O23" s="362">
        <f t="shared" si="2"/>
        <v>8.199330719999999</v>
      </c>
      <c r="P23" s="348">
        <f t="shared" si="3"/>
        <v>28.697657519999993</v>
      </c>
    </row>
    <row r="24" spans="1:16">
      <c r="A24" s="343">
        <v>22</v>
      </c>
      <c r="B24" s="365" t="s">
        <v>652</v>
      </c>
      <c r="C24" s="387" t="s">
        <v>368</v>
      </c>
      <c r="D24" s="251">
        <v>1003110465613</v>
      </c>
      <c r="E24" s="274" t="s">
        <v>653</v>
      </c>
      <c r="F24" s="347">
        <v>539.62</v>
      </c>
      <c r="G24" s="348">
        <f t="shared" si="5"/>
        <v>39.823956000000003</v>
      </c>
      <c r="H24" s="347">
        <v>142.61000000000001</v>
      </c>
      <c r="I24" s="348">
        <f t="shared" si="6"/>
        <v>357.18604399999998</v>
      </c>
      <c r="J24" s="361" t="s">
        <v>13</v>
      </c>
      <c r="K24" s="347" t="s">
        <v>17</v>
      </c>
      <c r="L24" s="348">
        <f t="shared" si="4"/>
        <v>53.577906599999999</v>
      </c>
      <c r="M24" s="348">
        <f t="shared" si="0"/>
        <v>14.28744176</v>
      </c>
      <c r="N24" s="362">
        <f t="shared" si="1"/>
        <v>7.1437208800000001</v>
      </c>
      <c r="O24" s="362">
        <f t="shared" si="2"/>
        <v>7.1437208800000001</v>
      </c>
      <c r="P24" s="348">
        <f t="shared" si="3"/>
        <v>25.003023079999995</v>
      </c>
    </row>
    <row r="25" spans="1:16">
      <c r="A25" s="343">
        <v>23</v>
      </c>
      <c r="B25" s="363" t="s">
        <v>654</v>
      </c>
      <c r="C25" s="388" t="s">
        <v>173</v>
      </c>
      <c r="D25" s="254">
        <v>1003110464891</v>
      </c>
      <c r="E25" s="268" t="s">
        <v>655</v>
      </c>
      <c r="F25" s="350">
        <v>575.79999999999995</v>
      </c>
      <c r="G25" s="346">
        <f t="shared" si="5"/>
        <v>42.494039999999998</v>
      </c>
      <c r="H25" s="350">
        <v>57.8</v>
      </c>
      <c r="I25" s="348">
        <f t="shared" si="6"/>
        <v>475.5059599999999</v>
      </c>
      <c r="J25" s="358" t="s">
        <v>13</v>
      </c>
      <c r="K25" s="350" t="s">
        <v>17</v>
      </c>
      <c r="L25" s="348">
        <f t="shared" si="4"/>
        <v>71.325893999999977</v>
      </c>
      <c r="M25" s="348">
        <f t="shared" si="0"/>
        <v>19.020238399999997</v>
      </c>
      <c r="N25" s="349">
        <f t="shared" si="1"/>
        <v>9.5101191999999983</v>
      </c>
      <c r="O25" s="349">
        <f t="shared" si="2"/>
        <v>9.5101191999999983</v>
      </c>
      <c r="P25" s="346">
        <f t="shared" si="3"/>
        <v>33.285417199999983</v>
      </c>
    </row>
    <row r="26" spans="1:16">
      <c r="A26" s="343">
        <v>24</v>
      </c>
      <c r="B26" s="367" t="s">
        <v>656</v>
      </c>
      <c r="C26" s="390" t="s">
        <v>234</v>
      </c>
      <c r="D26" s="277">
        <v>1003110462553</v>
      </c>
      <c r="E26" s="278" t="s">
        <v>657</v>
      </c>
      <c r="F26" s="350">
        <v>831.48</v>
      </c>
      <c r="G26" s="346">
        <f t="shared" si="5"/>
        <v>61.363224000000002</v>
      </c>
      <c r="H26" s="350">
        <v>69.290000000000006</v>
      </c>
      <c r="I26" s="348">
        <f t="shared" si="6"/>
        <v>700.82677600000011</v>
      </c>
      <c r="J26" s="368" t="s">
        <v>16</v>
      </c>
      <c r="K26" s="368" t="s">
        <v>17</v>
      </c>
      <c r="L26" s="348">
        <f t="shared" si="4"/>
        <v>105.12401640000002</v>
      </c>
      <c r="M26" s="348">
        <f t="shared" si="0"/>
        <v>28.033071040000006</v>
      </c>
      <c r="N26" s="349">
        <f t="shared" si="1"/>
        <v>14.016535520000003</v>
      </c>
      <c r="O26" s="349">
        <f t="shared" si="2"/>
        <v>14.016535520000003</v>
      </c>
      <c r="P26" s="346">
        <f t="shared" si="3"/>
        <v>49.057874319999996</v>
      </c>
    </row>
    <row r="27" spans="1:16">
      <c r="A27" s="343">
        <v>25</v>
      </c>
      <c r="B27" s="344" t="s">
        <v>658</v>
      </c>
      <c r="C27" s="388" t="s">
        <v>31</v>
      </c>
      <c r="D27" s="369">
        <v>1003110476812</v>
      </c>
      <c r="E27" s="268" t="s">
        <v>659</v>
      </c>
      <c r="F27" s="350">
        <v>384.1</v>
      </c>
      <c r="G27" s="346">
        <f t="shared" si="5"/>
        <v>28.346580000000003</v>
      </c>
      <c r="H27" s="350">
        <v>0</v>
      </c>
      <c r="I27" s="348">
        <f t="shared" si="6"/>
        <v>355.75342000000001</v>
      </c>
      <c r="J27" s="358" t="s">
        <v>13</v>
      </c>
      <c r="K27" s="350" t="s">
        <v>17</v>
      </c>
      <c r="L27" s="348">
        <f t="shared" si="4"/>
        <v>53.363013000000002</v>
      </c>
      <c r="M27" s="348">
        <f t="shared" si="0"/>
        <v>14.2301368</v>
      </c>
      <c r="N27" s="349">
        <f t="shared" si="1"/>
        <v>7.1150684000000002</v>
      </c>
      <c r="O27" s="349">
        <f t="shared" si="2"/>
        <v>7.1150684000000002</v>
      </c>
      <c r="P27" s="346">
        <f t="shared" si="3"/>
        <v>24.902739400000002</v>
      </c>
    </row>
    <row r="28" spans="1:16">
      <c r="A28" s="343">
        <v>26</v>
      </c>
      <c r="B28" s="344" t="s">
        <v>660</v>
      </c>
      <c r="C28" s="388" t="s">
        <v>163</v>
      </c>
      <c r="D28" s="254">
        <v>51772025423109</v>
      </c>
      <c r="E28" s="268">
        <v>5554193</v>
      </c>
      <c r="F28" s="350">
        <v>494.56</v>
      </c>
      <c r="G28" s="346">
        <f t="shared" si="5"/>
        <v>36.498528</v>
      </c>
      <c r="H28" s="350">
        <v>61</v>
      </c>
      <c r="I28" s="348">
        <f t="shared" si="6"/>
        <v>397.06147199999998</v>
      </c>
      <c r="J28" s="358" t="s">
        <v>13</v>
      </c>
      <c r="K28" s="350" t="s">
        <v>14</v>
      </c>
      <c r="L28" s="348">
        <f t="shared" si="4"/>
        <v>59.559220799999991</v>
      </c>
      <c r="M28" s="348">
        <f t="shared" si="0"/>
        <v>15.88245888</v>
      </c>
      <c r="N28" s="349">
        <f t="shared" si="1"/>
        <v>7.9412294399999999</v>
      </c>
      <c r="O28" s="349">
        <f t="shared" si="2"/>
        <v>7.9412294399999999</v>
      </c>
      <c r="P28" s="346">
        <f t="shared" si="3"/>
        <v>27.794303039999988</v>
      </c>
    </row>
    <row r="29" spans="1:16">
      <c r="A29" s="343">
        <v>27</v>
      </c>
      <c r="B29" s="344" t="s">
        <v>661</v>
      </c>
      <c r="C29" s="388" t="s">
        <v>163</v>
      </c>
      <c r="D29" s="254">
        <v>51772025423109</v>
      </c>
      <c r="E29" s="268">
        <v>5555641</v>
      </c>
      <c r="F29" s="350">
        <v>526.41999999999996</v>
      </c>
      <c r="G29" s="346">
        <f t="shared" si="5"/>
        <v>38.849795999999998</v>
      </c>
      <c r="H29" s="350">
        <v>64.930000000000007</v>
      </c>
      <c r="I29" s="348">
        <f t="shared" si="6"/>
        <v>422.64020399999998</v>
      </c>
      <c r="J29" s="358" t="s">
        <v>13</v>
      </c>
      <c r="K29" s="350" t="s">
        <v>14</v>
      </c>
      <c r="L29" s="348">
        <f t="shared" si="4"/>
        <v>63.396030599999996</v>
      </c>
      <c r="M29" s="348">
        <f t="shared" si="0"/>
        <v>16.90560816</v>
      </c>
      <c r="N29" s="349">
        <f t="shared" si="1"/>
        <v>8.4528040799999999</v>
      </c>
      <c r="O29" s="349">
        <f t="shared" si="2"/>
        <v>8.4528040799999999</v>
      </c>
      <c r="P29" s="346">
        <f t="shared" si="3"/>
        <v>29.584814279999996</v>
      </c>
    </row>
    <row r="30" spans="1:16">
      <c r="A30" s="343">
        <v>28</v>
      </c>
      <c r="B30" s="344" t="s">
        <v>662</v>
      </c>
      <c r="C30" s="388" t="s">
        <v>173</v>
      </c>
      <c r="D30" s="254">
        <v>2607861</v>
      </c>
      <c r="E30" s="268">
        <v>5555759</v>
      </c>
      <c r="F30" s="350">
        <v>709.28</v>
      </c>
      <c r="G30" s="346">
        <f t="shared" si="5"/>
        <v>52.344864000000001</v>
      </c>
      <c r="H30" s="350">
        <v>0</v>
      </c>
      <c r="I30" s="348">
        <f t="shared" si="6"/>
        <v>656.93513599999994</v>
      </c>
      <c r="J30" s="358" t="s">
        <v>13</v>
      </c>
      <c r="K30" s="350" t="s">
        <v>17</v>
      </c>
      <c r="L30" s="348">
        <f t="shared" si="4"/>
        <v>98.540270399999983</v>
      </c>
      <c r="M30" s="348">
        <f t="shared" si="0"/>
        <v>26.277405439999999</v>
      </c>
      <c r="N30" s="349">
        <f t="shared" si="1"/>
        <v>13.13870272</v>
      </c>
      <c r="O30" s="349">
        <f t="shared" si="2"/>
        <v>13.13870272</v>
      </c>
      <c r="P30" s="346">
        <f t="shared" si="3"/>
        <v>45.985459519999992</v>
      </c>
    </row>
    <row r="31" spans="1:16">
      <c r="A31" s="343">
        <v>29</v>
      </c>
      <c r="B31" s="344" t="s">
        <v>663</v>
      </c>
      <c r="C31" s="388" t="s">
        <v>35</v>
      </c>
      <c r="D31" s="254">
        <v>2597327</v>
      </c>
      <c r="E31" s="268" t="s">
        <v>664</v>
      </c>
      <c r="F31" s="350">
        <v>672.79</v>
      </c>
      <c r="G31" s="346">
        <f t="shared" si="5"/>
        <v>49.651902</v>
      </c>
      <c r="H31" s="350">
        <v>224.33</v>
      </c>
      <c r="I31" s="348">
        <f t="shared" si="6"/>
        <v>398.80809799999997</v>
      </c>
      <c r="J31" s="358" t="s">
        <v>16</v>
      </c>
      <c r="K31" s="350" t="s">
        <v>17</v>
      </c>
      <c r="L31" s="348">
        <f t="shared" si="4"/>
        <v>59.821214699999992</v>
      </c>
      <c r="M31" s="348">
        <f t="shared" si="0"/>
        <v>15.95232392</v>
      </c>
      <c r="N31" s="349">
        <f t="shared" si="1"/>
        <v>7.9761619599999998</v>
      </c>
      <c r="O31" s="349">
        <f t="shared" si="2"/>
        <v>7.9761619599999998</v>
      </c>
      <c r="P31" s="346">
        <f t="shared" si="3"/>
        <v>27.916566859999996</v>
      </c>
    </row>
    <row r="32" spans="1:16">
      <c r="A32" s="343">
        <v>30</v>
      </c>
      <c r="B32" s="344" t="s">
        <v>665</v>
      </c>
      <c r="C32" s="388" t="s">
        <v>163</v>
      </c>
      <c r="D32" s="254">
        <v>1003110479503</v>
      </c>
      <c r="E32" s="280">
        <v>5534461</v>
      </c>
      <c r="F32" s="350">
        <v>579.4</v>
      </c>
      <c r="G32" s="346">
        <f t="shared" si="5"/>
        <v>42.759720000000002</v>
      </c>
      <c r="H32" s="350">
        <v>62.24</v>
      </c>
      <c r="I32" s="348">
        <f t="shared" si="6"/>
        <v>474.40027999999995</v>
      </c>
      <c r="J32" s="358" t="s">
        <v>13</v>
      </c>
      <c r="K32" s="350" t="s">
        <v>14</v>
      </c>
      <c r="L32" s="348">
        <f t="shared" si="4"/>
        <v>71.16004199999999</v>
      </c>
      <c r="M32" s="348">
        <f t="shared" si="0"/>
        <v>18.976011199999999</v>
      </c>
      <c r="N32" s="349">
        <f t="shared" si="1"/>
        <v>9.4880055999999993</v>
      </c>
      <c r="O32" s="349">
        <f t="shared" si="2"/>
        <v>9.4880055999999993</v>
      </c>
      <c r="P32" s="346">
        <f t="shared" si="3"/>
        <v>33.208019599999986</v>
      </c>
    </row>
    <row r="33" spans="1:16">
      <c r="A33" s="343">
        <v>31</v>
      </c>
      <c r="B33" s="344" t="s">
        <v>666</v>
      </c>
      <c r="C33" s="388" t="s">
        <v>35</v>
      </c>
      <c r="D33" s="254">
        <v>1003110479399</v>
      </c>
      <c r="E33" s="280">
        <v>5557906</v>
      </c>
      <c r="F33" s="350">
        <v>820.86</v>
      </c>
      <c r="G33" s="346">
        <f t="shared" si="5"/>
        <v>60.579468000000006</v>
      </c>
      <c r="H33" s="350">
        <v>215.7</v>
      </c>
      <c r="I33" s="348">
        <f t="shared" si="6"/>
        <v>544.58053199999995</v>
      </c>
      <c r="J33" s="358" t="s">
        <v>13</v>
      </c>
      <c r="K33" s="350" t="s">
        <v>26</v>
      </c>
      <c r="L33" s="348">
        <f t="shared" si="4"/>
        <v>81.687079799999992</v>
      </c>
      <c r="M33" s="348">
        <f t="shared" si="0"/>
        <v>21.783221279999999</v>
      </c>
      <c r="N33" s="349">
        <f t="shared" si="1"/>
        <v>10.89161064</v>
      </c>
      <c r="O33" s="349">
        <f t="shared" si="2"/>
        <v>10.89161064</v>
      </c>
      <c r="P33" s="346">
        <f t="shared" si="3"/>
        <v>38.120637239999994</v>
      </c>
    </row>
    <row r="34" spans="1:16">
      <c r="A34" s="343">
        <v>32</v>
      </c>
      <c r="B34" s="344" t="s">
        <v>667</v>
      </c>
      <c r="C34" s="388" t="s">
        <v>35</v>
      </c>
      <c r="D34" s="254">
        <v>2597394</v>
      </c>
      <c r="E34" s="280">
        <v>5558194</v>
      </c>
      <c r="F34" s="350">
        <v>1187.05</v>
      </c>
      <c r="G34" s="346">
        <f t="shared" si="5"/>
        <v>87.604290000000006</v>
      </c>
      <c r="H34" s="350">
        <v>124.96</v>
      </c>
      <c r="I34" s="348">
        <f t="shared" si="6"/>
        <v>974.48570999999993</v>
      </c>
      <c r="J34" s="358" t="s">
        <v>16</v>
      </c>
      <c r="K34" s="350" t="s">
        <v>641</v>
      </c>
      <c r="L34" s="348">
        <f t="shared" si="4"/>
        <v>146.17285649999999</v>
      </c>
      <c r="M34" s="348">
        <f t="shared" si="0"/>
        <v>38.979428399999996</v>
      </c>
      <c r="N34" s="349">
        <f t="shared" si="1"/>
        <v>19.489714199999998</v>
      </c>
      <c r="O34" s="349">
        <f t="shared" si="2"/>
        <v>19.489714199999998</v>
      </c>
      <c r="P34" s="346">
        <f t="shared" si="3"/>
        <v>68.213999700000016</v>
      </c>
    </row>
    <row r="35" spans="1:16">
      <c r="A35" s="343">
        <v>33</v>
      </c>
      <c r="B35" s="344" t="s">
        <v>668</v>
      </c>
      <c r="C35" s="388" t="s">
        <v>234</v>
      </c>
      <c r="D35" s="370">
        <v>1003110475051</v>
      </c>
      <c r="E35" s="280">
        <v>5556780</v>
      </c>
      <c r="F35" s="350">
        <v>1188.6300000000001</v>
      </c>
      <c r="G35" s="346">
        <f t="shared" si="5"/>
        <v>87.720894000000015</v>
      </c>
      <c r="H35" s="350">
        <v>396.21</v>
      </c>
      <c r="I35" s="348">
        <f t="shared" si="6"/>
        <v>704.69910600000003</v>
      </c>
      <c r="J35" s="358" t="s">
        <v>13</v>
      </c>
      <c r="K35" s="350" t="s">
        <v>641</v>
      </c>
      <c r="L35" s="348">
        <f t="shared" si="4"/>
        <v>105.7048659</v>
      </c>
      <c r="M35" s="348">
        <f t="shared" si="0"/>
        <v>28.187964240000003</v>
      </c>
      <c r="N35" s="349">
        <f t="shared" si="1"/>
        <v>14.093982120000002</v>
      </c>
      <c r="O35" s="349">
        <f t="shared" si="2"/>
        <v>14.093982120000002</v>
      </c>
      <c r="P35" s="346">
        <f t="shared" si="3"/>
        <v>49.328937420000003</v>
      </c>
    </row>
    <row r="36" spans="1:16">
      <c r="A36" s="343">
        <v>34</v>
      </c>
      <c r="B36" s="344" t="s">
        <v>669</v>
      </c>
      <c r="C36" s="388" t="s">
        <v>163</v>
      </c>
      <c r="D36" s="254">
        <v>51772025423109</v>
      </c>
      <c r="E36" s="280" t="s">
        <v>670</v>
      </c>
      <c r="F36" s="350">
        <v>400.7</v>
      </c>
      <c r="G36" s="346">
        <f t="shared" si="5"/>
        <v>29.571660000000001</v>
      </c>
      <c r="H36" s="350">
        <v>200.35</v>
      </c>
      <c r="I36" s="348">
        <f t="shared" si="6"/>
        <v>170.77833999999999</v>
      </c>
      <c r="J36" s="358" t="s">
        <v>13</v>
      </c>
      <c r="K36" s="350" t="s">
        <v>36</v>
      </c>
      <c r="L36" s="348">
        <f t="shared" si="4"/>
        <v>25.616750999999997</v>
      </c>
      <c r="M36" s="348">
        <f t="shared" si="0"/>
        <v>6.8311335999999994</v>
      </c>
      <c r="N36" s="349">
        <f t="shared" si="1"/>
        <v>3.4155667999999997</v>
      </c>
      <c r="O36" s="349">
        <f t="shared" si="2"/>
        <v>3.4155667999999997</v>
      </c>
      <c r="P36" s="346">
        <f t="shared" si="3"/>
        <v>11.954483799999998</v>
      </c>
    </row>
    <row r="37" spans="1:16">
      <c r="A37" s="343">
        <v>35</v>
      </c>
      <c r="B37" s="344" t="s">
        <v>671</v>
      </c>
      <c r="C37" s="388" t="s">
        <v>12</v>
      </c>
      <c r="D37" s="254">
        <v>51772025423109</v>
      </c>
      <c r="E37" s="280" t="s">
        <v>672</v>
      </c>
      <c r="F37" s="350">
        <v>577.15</v>
      </c>
      <c r="G37" s="346">
        <f t="shared" si="5"/>
        <v>42.593670000000003</v>
      </c>
      <c r="H37" s="350">
        <v>57.72</v>
      </c>
      <c r="I37" s="348">
        <f t="shared" si="6"/>
        <v>476.83632999999998</v>
      </c>
      <c r="J37" s="358" t="s">
        <v>16</v>
      </c>
      <c r="K37" s="350" t="s">
        <v>14</v>
      </c>
      <c r="L37" s="348">
        <f t="shared" si="4"/>
        <v>71.525449499999993</v>
      </c>
      <c r="M37" s="348">
        <f t="shared" si="0"/>
        <v>19.073453199999999</v>
      </c>
      <c r="N37" s="349">
        <f t="shared" si="1"/>
        <v>9.5367265999999997</v>
      </c>
      <c r="O37" s="349">
        <f t="shared" si="2"/>
        <v>9.5367265999999997</v>
      </c>
      <c r="P37" s="346">
        <f t="shared" si="3"/>
        <v>33.378543099999987</v>
      </c>
    </row>
    <row r="38" spans="1:16">
      <c r="A38" s="343">
        <v>36</v>
      </c>
      <c r="B38" s="339" t="s">
        <v>673</v>
      </c>
      <c r="C38" s="327" t="s">
        <v>173</v>
      </c>
      <c r="D38" s="400">
        <v>1003110481979</v>
      </c>
      <c r="E38" s="401">
        <v>5560972</v>
      </c>
      <c r="F38" s="294">
        <v>544.41</v>
      </c>
      <c r="G38" s="294">
        <f t="shared" si="5"/>
        <v>40.177458000000001</v>
      </c>
      <c r="H38" s="294">
        <v>58.5</v>
      </c>
      <c r="I38" s="293">
        <f t="shared" si="6"/>
        <v>445.73254199999997</v>
      </c>
      <c r="J38" s="329" t="s">
        <v>13</v>
      </c>
      <c r="K38" s="294" t="s">
        <v>182</v>
      </c>
      <c r="L38" s="293">
        <f t="shared" si="4"/>
        <v>66.859881299999998</v>
      </c>
      <c r="M38" s="293">
        <f t="shared" si="0"/>
        <v>17.82930168</v>
      </c>
      <c r="N38" s="296">
        <f t="shared" si="1"/>
        <v>8.9146508400000002</v>
      </c>
      <c r="O38" s="296">
        <f t="shared" si="2"/>
        <v>8.9146508400000002</v>
      </c>
      <c r="P38" s="294">
        <f t="shared" si="3"/>
        <v>31.201277939999997</v>
      </c>
    </row>
    <row r="39" spans="1:16">
      <c r="A39" s="343">
        <v>37</v>
      </c>
      <c r="B39" s="344" t="s">
        <v>674</v>
      </c>
      <c r="C39" s="388" t="s">
        <v>163</v>
      </c>
      <c r="D39" s="254">
        <v>2598471</v>
      </c>
      <c r="E39" s="280">
        <v>5539199</v>
      </c>
      <c r="F39" s="350">
        <v>459.72</v>
      </c>
      <c r="G39" s="346">
        <f t="shared" si="5"/>
        <v>33.927336000000004</v>
      </c>
      <c r="H39" s="350">
        <v>45.97</v>
      </c>
      <c r="I39" s="348">
        <f t="shared" si="6"/>
        <v>379.82266400000003</v>
      </c>
      <c r="J39" s="358" t="s">
        <v>16</v>
      </c>
      <c r="K39" s="350" t="s">
        <v>266</v>
      </c>
      <c r="L39" s="348">
        <f t="shared" si="4"/>
        <v>56.9733996</v>
      </c>
      <c r="M39" s="348">
        <f t="shared" si="0"/>
        <v>15.192906560000001</v>
      </c>
      <c r="N39" s="349">
        <f t="shared" si="1"/>
        <v>7.5964532800000004</v>
      </c>
      <c r="O39" s="349">
        <f t="shared" si="2"/>
        <v>7.5964532800000004</v>
      </c>
      <c r="P39" s="346">
        <f t="shared" si="3"/>
        <v>26.587586479999999</v>
      </c>
    </row>
    <row r="40" spans="1:16">
      <c r="A40" s="343">
        <v>38</v>
      </c>
      <c r="B40" s="339" t="s">
        <v>675</v>
      </c>
      <c r="C40" s="327" t="s">
        <v>168</v>
      </c>
      <c r="D40" s="400">
        <v>1003110484952</v>
      </c>
      <c r="E40" s="401">
        <v>5562065</v>
      </c>
      <c r="F40" s="294">
        <v>550.98</v>
      </c>
      <c r="G40" s="294">
        <f t="shared" si="5"/>
        <v>40.662324000000005</v>
      </c>
      <c r="H40" s="294">
        <v>59.2</v>
      </c>
      <c r="I40" s="293">
        <f t="shared" si="6"/>
        <v>451.11767600000002</v>
      </c>
      <c r="J40" s="329" t="s">
        <v>13</v>
      </c>
      <c r="K40" s="294" t="s">
        <v>353</v>
      </c>
      <c r="L40" s="293">
        <f t="shared" si="4"/>
        <v>67.667651399999997</v>
      </c>
      <c r="M40" s="293">
        <f t="shared" si="0"/>
        <v>18.044707040000002</v>
      </c>
      <c r="N40" s="296">
        <f t="shared" si="1"/>
        <v>9.0223535200000011</v>
      </c>
      <c r="O40" s="296">
        <f t="shared" si="2"/>
        <v>9.0223535200000011</v>
      </c>
      <c r="P40" s="294">
        <f t="shared" si="3"/>
        <v>31.578237319999985</v>
      </c>
    </row>
    <row r="41" spans="1:16">
      <c r="A41" s="343">
        <v>39</v>
      </c>
      <c r="B41" s="344" t="s">
        <v>676</v>
      </c>
      <c r="C41" s="388" t="s">
        <v>163</v>
      </c>
      <c r="D41" s="254">
        <v>51772025423109</v>
      </c>
      <c r="E41" s="280">
        <v>5559884</v>
      </c>
      <c r="F41" s="350">
        <v>469.81</v>
      </c>
      <c r="G41" s="346">
        <f t="shared" si="5"/>
        <v>34.671978000000003</v>
      </c>
      <c r="H41" s="350">
        <v>46.98</v>
      </c>
      <c r="I41" s="348">
        <f t="shared" si="6"/>
        <v>388.15802199999996</v>
      </c>
      <c r="J41" s="358" t="s">
        <v>16</v>
      </c>
      <c r="K41" s="350" t="s">
        <v>211</v>
      </c>
      <c r="L41" s="348">
        <f t="shared" si="4"/>
        <v>58.22370329999999</v>
      </c>
      <c r="M41" s="348">
        <f t="shared" si="0"/>
        <v>15.526320879999998</v>
      </c>
      <c r="N41" s="349">
        <f t="shared" si="1"/>
        <v>7.7631604399999992</v>
      </c>
      <c r="O41" s="349">
        <f t="shared" si="2"/>
        <v>7.7631604399999992</v>
      </c>
      <c r="P41" s="346">
        <f t="shared" si="3"/>
        <v>27.17106153999999</v>
      </c>
    </row>
    <row r="42" spans="1:16">
      <c r="A42" s="343">
        <v>40</v>
      </c>
      <c r="B42" s="344" t="s">
        <v>342</v>
      </c>
      <c r="C42" s="388" t="s">
        <v>229</v>
      </c>
      <c r="D42" s="254">
        <v>51772025423109</v>
      </c>
      <c r="E42" s="280">
        <v>5557711</v>
      </c>
      <c r="F42" s="350">
        <v>1349.2</v>
      </c>
      <c r="G42" s="346">
        <f t="shared" si="5"/>
        <v>99.570960000000014</v>
      </c>
      <c r="H42" s="350">
        <v>134.91999999999999</v>
      </c>
      <c r="I42" s="348">
        <f t="shared" si="6"/>
        <v>1114.70904</v>
      </c>
      <c r="J42" s="358" t="s">
        <v>16</v>
      </c>
      <c r="K42" s="350" t="s">
        <v>50</v>
      </c>
      <c r="L42" s="348">
        <f t="shared" si="4"/>
        <v>167.206356</v>
      </c>
      <c r="M42" s="348">
        <f t="shared" si="0"/>
        <v>44.588361599999999</v>
      </c>
      <c r="N42" s="349">
        <f t="shared" si="1"/>
        <v>22.294180799999999</v>
      </c>
      <c r="O42" s="349">
        <f t="shared" si="2"/>
        <v>22.294180799999999</v>
      </c>
      <c r="P42" s="346">
        <f t="shared" si="3"/>
        <v>78.029632800000002</v>
      </c>
    </row>
    <row r="43" spans="1:16">
      <c r="A43" s="343">
        <v>41</v>
      </c>
      <c r="B43" s="344" t="s">
        <v>677</v>
      </c>
      <c r="C43" s="388" t="s">
        <v>173</v>
      </c>
      <c r="D43" s="254">
        <v>1003110483822</v>
      </c>
      <c r="E43" s="280">
        <v>5560532</v>
      </c>
      <c r="F43" s="350">
        <v>667.65</v>
      </c>
      <c r="G43" s="346">
        <f t="shared" si="5"/>
        <v>49.272570000000002</v>
      </c>
      <c r="H43" s="350">
        <v>82.35</v>
      </c>
      <c r="I43" s="348">
        <f t="shared" si="6"/>
        <v>536.02742999999998</v>
      </c>
      <c r="J43" s="358" t="s">
        <v>13</v>
      </c>
      <c r="K43" s="350" t="s">
        <v>14</v>
      </c>
      <c r="L43" s="348">
        <f t="shared" si="4"/>
        <v>80.404114499999991</v>
      </c>
      <c r="M43" s="348">
        <f t="shared" si="0"/>
        <v>21.441097199999998</v>
      </c>
      <c r="N43" s="349">
        <f t="shared" si="1"/>
        <v>10.720548599999999</v>
      </c>
      <c r="O43" s="349">
        <f t="shared" si="2"/>
        <v>10.720548599999999</v>
      </c>
      <c r="P43" s="346">
        <f t="shared" si="3"/>
        <v>37.521920099999988</v>
      </c>
    </row>
    <row r="44" spans="1:16">
      <c r="A44" s="343">
        <v>42</v>
      </c>
      <c r="B44" s="344" t="s">
        <v>678</v>
      </c>
      <c r="C44" s="388" t="s">
        <v>12</v>
      </c>
      <c r="D44" s="254">
        <v>1003110493178</v>
      </c>
      <c r="E44" s="280">
        <v>5567244</v>
      </c>
      <c r="F44" s="350">
        <v>657.22</v>
      </c>
      <c r="G44" s="346">
        <f t="shared" si="5"/>
        <v>48.502836000000002</v>
      </c>
      <c r="H44" s="350">
        <v>173.61</v>
      </c>
      <c r="I44" s="348">
        <f t="shared" si="6"/>
        <v>435.10716400000001</v>
      </c>
      <c r="J44" s="358" t="s">
        <v>13</v>
      </c>
      <c r="K44" s="350" t="s">
        <v>14</v>
      </c>
      <c r="L44" s="348">
        <f t="shared" si="4"/>
        <v>65.266074599999996</v>
      </c>
      <c r="M44" s="348">
        <f t="shared" si="0"/>
        <v>17.404286559999999</v>
      </c>
      <c r="N44" s="349">
        <f t="shared" si="1"/>
        <v>8.7021432799999996</v>
      </c>
      <c r="O44" s="349">
        <f t="shared" si="2"/>
        <v>8.7021432799999996</v>
      </c>
      <c r="P44" s="346">
        <f t="shared" si="3"/>
        <v>30.457501479999991</v>
      </c>
    </row>
    <row r="45" spans="1:16">
      <c r="A45" s="343">
        <v>43</v>
      </c>
      <c r="B45" s="344" t="s">
        <v>679</v>
      </c>
      <c r="C45" s="388" t="s">
        <v>12</v>
      </c>
      <c r="D45" s="254">
        <v>1003110490424</v>
      </c>
      <c r="E45" s="280">
        <v>5565502</v>
      </c>
      <c r="F45" s="350">
        <v>644.51</v>
      </c>
      <c r="G45" s="346">
        <f t="shared" si="5"/>
        <v>47.564838000000002</v>
      </c>
      <c r="H45" s="350">
        <v>69.25</v>
      </c>
      <c r="I45" s="348">
        <f t="shared" si="6"/>
        <v>527.69516199999998</v>
      </c>
      <c r="J45" s="358" t="s">
        <v>13</v>
      </c>
      <c r="K45" s="350" t="s">
        <v>17</v>
      </c>
      <c r="L45" s="348">
        <f t="shared" si="4"/>
        <v>79.154274299999997</v>
      </c>
      <c r="M45" s="348">
        <f t="shared" si="0"/>
        <v>21.107806480000001</v>
      </c>
      <c r="N45" s="349">
        <f t="shared" si="1"/>
        <v>10.55390324</v>
      </c>
      <c r="O45" s="349">
        <f t="shared" si="2"/>
        <v>10.55390324</v>
      </c>
      <c r="P45" s="346">
        <f t="shared" si="3"/>
        <v>36.938661339999996</v>
      </c>
    </row>
    <row r="46" spans="1:16">
      <c r="A46" s="343">
        <v>44</v>
      </c>
      <c r="B46" s="344" t="s">
        <v>680</v>
      </c>
      <c r="C46" s="388" t="s">
        <v>35</v>
      </c>
      <c r="D46" s="281">
        <v>2600263</v>
      </c>
      <c r="E46" s="280">
        <v>5565144</v>
      </c>
      <c r="F46" s="350">
        <v>618.84</v>
      </c>
      <c r="G46" s="346">
        <f t="shared" si="5"/>
        <v>45.670392000000007</v>
      </c>
      <c r="H46" s="350">
        <v>61.84</v>
      </c>
      <c r="I46" s="348">
        <f t="shared" si="6"/>
        <v>511.32960800000001</v>
      </c>
      <c r="J46" s="358" t="s">
        <v>16</v>
      </c>
      <c r="K46" s="350" t="s">
        <v>17</v>
      </c>
      <c r="L46" s="348">
        <f t="shared" si="4"/>
        <v>76.699441199999995</v>
      </c>
      <c r="M46" s="348">
        <f t="shared" si="0"/>
        <v>20.453184320000002</v>
      </c>
      <c r="N46" s="349">
        <f t="shared" si="1"/>
        <v>10.226592160000001</v>
      </c>
      <c r="O46" s="349">
        <f t="shared" si="2"/>
        <v>10.226592160000001</v>
      </c>
      <c r="P46" s="346">
        <f t="shared" si="3"/>
        <v>35.793072559999985</v>
      </c>
    </row>
    <row r="47" spans="1:16">
      <c r="A47" s="343">
        <v>45</v>
      </c>
      <c r="B47" s="339" t="s">
        <v>681</v>
      </c>
      <c r="C47" s="327" t="s">
        <v>173</v>
      </c>
      <c r="D47" s="400">
        <v>1003110492960</v>
      </c>
      <c r="E47" s="401">
        <v>5567183</v>
      </c>
      <c r="F47" s="294">
        <v>552.36</v>
      </c>
      <c r="G47" s="294">
        <f t="shared" si="5"/>
        <v>40.764168000000005</v>
      </c>
      <c r="H47" s="294">
        <v>59.35</v>
      </c>
      <c r="I47" s="293">
        <f t="shared" si="6"/>
        <v>452.24583200000001</v>
      </c>
      <c r="J47" s="329" t="s">
        <v>13</v>
      </c>
      <c r="K47" s="294" t="s">
        <v>14</v>
      </c>
      <c r="L47" s="293">
        <f t="shared" si="4"/>
        <v>67.836874800000004</v>
      </c>
      <c r="M47" s="293">
        <f t="shared" si="0"/>
        <v>18.089833280000001</v>
      </c>
      <c r="N47" s="296">
        <f t="shared" si="1"/>
        <v>9.0449166400000003</v>
      </c>
      <c r="O47" s="296">
        <f t="shared" si="2"/>
        <v>9.0449166400000003</v>
      </c>
      <c r="P47" s="294">
        <f t="shared" si="3"/>
        <v>31.657208239999999</v>
      </c>
    </row>
    <row r="48" spans="1:16">
      <c r="A48" s="343">
        <v>46</v>
      </c>
      <c r="B48" s="344" t="s">
        <v>682</v>
      </c>
      <c r="C48" s="388" t="s">
        <v>173</v>
      </c>
      <c r="D48" s="254">
        <v>1003110493757</v>
      </c>
      <c r="E48" s="280">
        <v>5566896</v>
      </c>
      <c r="F48" s="350">
        <v>547.08000000000004</v>
      </c>
      <c r="G48" s="346">
        <f t="shared" si="5"/>
        <v>40.374504000000009</v>
      </c>
      <c r="H48" s="350">
        <v>58.79</v>
      </c>
      <c r="I48" s="348">
        <f t="shared" si="6"/>
        <v>447.91549600000002</v>
      </c>
      <c r="J48" s="358" t="s">
        <v>13</v>
      </c>
      <c r="K48" s="350" t="s">
        <v>211</v>
      </c>
      <c r="L48" s="348">
        <f t="shared" si="4"/>
        <v>67.187324399999994</v>
      </c>
      <c r="M48" s="348">
        <f t="shared" si="0"/>
        <v>17.916619840000003</v>
      </c>
      <c r="N48" s="349">
        <f t="shared" si="1"/>
        <v>8.9583099200000014</v>
      </c>
      <c r="O48" s="349">
        <f t="shared" si="2"/>
        <v>8.9583099200000014</v>
      </c>
      <c r="P48" s="346">
        <f t="shared" si="3"/>
        <v>31.354084719999992</v>
      </c>
    </row>
    <row r="49" spans="1:16">
      <c r="A49" s="343">
        <v>47</v>
      </c>
      <c r="B49" s="344" t="s">
        <v>683</v>
      </c>
      <c r="C49" s="388" t="s">
        <v>163</v>
      </c>
      <c r="D49" s="254">
        <v>1003110509889</v>
      </c>
      <c r="E49" s="280">
        <v>5569412</v>
      </c>
      <c r="F49" s="350">
        <v>559.55999999999995</v>
      </c>
      <c r="G49" s="346">
        <f t="shared" si="5"/>
        <v>41.295527999999997</v>
      </c>
      <c r="H49" s="350">
        <v>147.81</v>
      </c>
      <c r="I49" s="348">
        <f t="shared" si="6"/>
        <v>370.45447199999995</v>
      </c>
      <c r="J49" s="358" t="s">
        <v>13</v>
      </c>
      <c r="K49" s="350" t="s">
        <v>26</v>
      </c>
      <c r="L49" s="348">
        <f t="shared" si="4"/>
        <v>55.56817079999999</v>
      </c>
      <c r="M49" s="348">
        <f t="shared" si="0"/>
        <v>14.818178879999998</v>
      </c>
      <c r="N49" s="349">
        <f t="shared" si="1"/>
        <v>7.4090894399999989</v>
      </c>
      <c r="O49" s="349">
        <f t="shared" si="2"/>
        <v>7.4090894399999989</v>
      </c>
      <c r="P49" s="346">
        <f t="shared" si="3"/>
        <v>25.931813039999998</v>
      </c>
    </row>
    <row r="50" spans="1:16">
      <c r="A50" s="343">
        <v>48</v>
      </c>
      <c r="B50" s="344" t="s">
        <v>684</v>
      </c>
      <c r="C50" s="388" t="s">
        <v>173</v>
      </c>
      <c r="D50" s="254">
        <v>1003110498561</v>
      </c>
      <c r="E50" s="280">
        <v>5569476</v>
      </c>
      <c r="F50" s="350">
        <v>613.63</v>
      </c>
      <c r="G50" s="346">
        <f t="shared" si="5"/>
        <v>45.285893999999999</v>
      </c>
      <c r="H50" s="350">
        <v>65.94</v>
      </c>
      <c r="I50" s="348">
        <f t="shared" si="6"/>
        <v>502.40410600000001</v>
      </c>
      <c r="J50" s="358" t="s">
        <v>13</v>
      </c>
      <c r="K50" s="350" t="s">
        <v>26</v>
      </c>
      <c r="L50" s="348">
        <f t="shared" si="4"/>
        <v>75.360615899999999</v>
      </c>
      <c r="M50" s="348">
        <f t="shared" si="0"/>
        <v>20.09616424</v>
      </c>
      <c r="N50" s="349">
        <f t="shared" si="1"/>
        <v>10.04808212</v>
      </c>
      <c r="O50" s="349">
        <f t="shared" si="2"/>
        <v>10.04808212</v>
      </c>
      <c r="P50" s="346">
        <f t="shared" si="3"/>
        <v>35.168287419999999</v>
      </c>
    </row>
    <row r="51" spans="1:16">
      <c r="A51" s="343">
        <v>49</v>
      </c>
      <c r="B51" s="344" t="s">
        <v>685</v>
      </c>
      <c r="C51" s="388" t="s">
        <v>168</v>
      </c>
      <c r="D51" s="254">
        <v>2602320</v>
      </c>
      <c r="E51" s="280">
        <v>5558060</v>
      </c>
      <c r="F51" s="350">
        <v>668.95</v>
      </c>
      <c r="G51" s="346">
        <f t="shared" si="5"/>
        <v>49.368510000000008</v>
      </c>
      <c r="H51" s="350">
        <v>70.42</v>
      </c>
      <c r="I51" s="348">
        <f t="shared" si="6"/>
        <v>549.16149000000007</v>
      </c>
      <c r="J51" s="358" t="s">
        <v>16</v>
      </c>
      <c r="K51" s="350" t="s">
        <v>17</v>
      </c>
      <c r="L51" s="348">
        <f t="shared" si="4"/>
        <v>82.374223500000014</v>
      </c>
      <c r="M51" s="348">
        <f t="shared" si="0"/>
        <v>21.966459600000004</v>
      </c>
      <c r="N51" s="349">
        <f t="shared" si="1"/>
        <v>10.983229800000002</v>
      </c>
      <c r="O51" s="349">
        <f t="shared" si="2"/>
        <v>10.983229800000002</v>
      </c>
      <c r="P51" s="346">
        <f t="shared" si="3"/>
        <v>38.441304299999999</v>
      </c>
    </row>
    <row r="52" spans="1:16">
      <c r="A52" s="343">
        <v>50</v>
      </c>
      <c r="B52" s="344" t="s">
        <v>686</v>
      </c>
      <c r="C52" s="388" t="s">
        <v>168</v>
      </c>
      <c r="D52" s="254">
        <v>2025615442</v>
      </c>
      <c r="E52" s="280">
        <v>5572822</v>
      </c>
      <c r="F52" s="350">
        <v>470.16</v>
      </c>
      <c r="G52" s="346">
        <f t="shared" si="5"/>
        <v>34.697808000000002</v>
      </c>
      <c r="H52" s="350">
        <v>61.22</v>
      </c>
      <c r="I52" s="348">
        <f t="shared" si="6"/>
        <v>374.24219200000005</v>
      </c>
      <c r="J52" s="358" t="s">
        <v>13</v>
      </c>
      <c r="K52" s="350" t="s">
        <v>266</v>
      </c>
      <c r="L52" s="348">
        <f t="shared" si="4"/>
        <v>56.136328800000008</v>
      </c>
      <c r="M52" s="348">
        <f t="shared" si="0"/>
        <v>14.969687680000002</v>
      </c>
      <c r="N52" s="349">
        <f t="shared" si="1"/>
        <v>7.4848438400000008</v>
      </c>
      <c r="O52" s="349">
        <f t="shared" si="2"/>
        <v>7.4848438400000008</v>
      </c>
      <c r="P52" s="346">
        <f t="shared" si="3"/>
        <v>26.196953440000005</v>
      </c>
    </row>
    <row r="53" spans="1:16">
      <c r="A53" s="343">
        <v>51</v>
      </c>
      <c r="B53" s="339" t="s">
        <v>687</v>
      </c>
      <c r="C53" s="327" t="s">
        <v>688</v>
      </c>
      <c r="D53" s="400">
        <v>1003110509856</v>
      </c>
      <c r="E53" s="401">
        <v>5571300</v>
      </c>
      <c r="F53" s="294">
        <v>605.33000000000004</v>
      </c>
      <c r="G53" s="294">
        <f t="shared" si="5"/>
        <v>44.673354000000003</v>
      </c>
      <c r="H53" s="294">
        <v>65.040000000000006</v>
      </c>
      <c r="I53" s="293">
        <f t="shared" si="6"/>
        <v>495.616646</v>
      </c>
      <c r="J53" s="329" t="s">
        <v>13</v>
      </c>
      <c r="K53" s="294" t="s">
        <v>14</v>
      </c>
      <c r="L53" s="293">
        <f t="shared" si="4"/>
        <v>74.3424969</v>
      </c>
      <c r="M53" s="293">
        <f t="shared" si="0"/>
        <v>19.824665840000002</v>
      </c>
      <c r="N53" s="296">
        <f t="shared" si="1"/>
        <v>9.9123329200000008</v>
      </c>
      <c r="O53" s="296">
        <f t="shared" si="2"/>
        <v>9.9123329200000008</v>
      </c>
      <c r="P53" s="294">
        <f t="shared" si="3"/>
        <v>34.693165219999997</v>
      </c>
    </row>
    <row r="54" spans="1:16">
      <c r="A54" s="343">
        <v>52</v>
      </c>
      <c r="B54" s="344" t="s">
        <v>689</v>
      </c>
      <c r="C54" s="388" t="s">
        <v>168</v>
      </c>
      <c r="D54" s="254">
        <v>2604153</v>
      </c>
      <c r="E54" s="280">
        <v>5572429</v>
      </c>
      <c r="F54" s="350">
        <v>823.6</v>
      </c>
      <c r="G54" s="346">
        <f t="shared" si="5"/>
        <v>60.781680000000009</v>
      </c>
      <c r="H54" s="350">
        <v>82.36</v>
      </c>
      <c r="I54" s="348">
        <f t="shared" si="6"/>
        <v>680.45831999999996</v>
      </c>
      <c r="J54" s="358" t="s">
        <v>16</v>
      </c>
      <c r="K54" s="350" t="s">
        <v>49</v>
      </c>
      <c r="L54" s="348">
        <f t="shared" si="4"/>
        <v>102.06874799999999</v>
      </c>
      <c r="M54" s="348">
        <f t="shared" si="0"/>
        <v>27.218332799999999</v>
      </c>
      <c r="N54" s="349">
        <f t="shared" si="1"/>
        <v>13.609166399999999</v>
      </c>
      <c r="O54" s="349">
        <f t="shared" si="2"/>
        <v>13.609166399999999</v>
      </c>
      <c r="P54" s="346">
        <f t="shared" si="3"/>
        <v>47.632082399999987</v>
      </c>
    </row>
    <row r="55" spans="1:16">
      <c r="A55" s="343">
        <v>53</v>
      </c>
      <c r="B55" s="344" t="s">
        <v>690</v>
      </c>
      <c r="C55" s="388" t="s">
        <v>12</v>
      </c>
      <c r="D55" s="371">
        <v>1003110503214</v>
      </c>
      <c r="E55" s="280">
        <v>5571627</v>
      </c>
      <c r="F55" s="350">
        <v>680.77</v>
      </c>
      <c r="G55" s="346">
        <f t="shared" si="5"/>
        <v>50.240825999999998</v>
      </c>
      <c r="H55" s="350">
        <v>73.150000000000006</v>
      </c>
      <c r="I55" s="348">
        <f t="shared" si="6"/>
        <v>557.37917400000003</v>
      </c>
      <c r="J55" s="358" t="s">
        <v>13</v>
      </c>
      <c r="K55" s="350" t="s">
        <v>14</v>
      </c>
      <c r="L55" s="348">
        <f t="shared" si="4"/>
        <v>83.606876100000008</v>
      </c>
      <c r="M55" s="348">
        <f t="shared" si="0"/>
        <v>22.295166960000003</v>
      </c>
      <c r="N55" s="349">
        <f t="shared" si="1"/>
        <v>11.147583480000002</v>
      </c>
      <c r="O55" s="349">
        <f t="shared" si="2"/>
        <v>11.147583480000002</v>
      </c>
      <c r="P55" s="346">
        <f t="shared" si="3"/>
        <v>39.016542180000002</v>
      </c>
    </row>
    <row r="56" spans="1:16">
      <c r="A56" s="343">
        <v>54</v>
      </c>
      <c r="B56" s="344" t="s">
        <v>691</v>
      </c>
      <c r="C56" s="388" t="s">
        <v>35</v>
      </c>
      <c r="D56" s="254">
        <v>2603041</v>
      </c>
      <c r="E56" s="280" t="s">
        <v>692</v>
      </c>
      <c r="F56" s="350">
        <v>498.92</v>
      </c>
      <c r="G56" s="346">
        <f t="shared" si="5"/>
        <v>36.820296000000006</v>
      </c>
      <c r="H56" s="350">
        <v>124.73</v>
      </c>
      <c r="I56" s="348">
        <f t="shared" si="6"/>
        <v>337.36970400000001</v>
      </c>
      <c r="J56" s="358" t="s">
        <v>16</v>
      </c>
      <c r="K56" s="350" t="s">
        <v>17</v>
      </c>
      <c r="L56" s="348">
        <f t="shared" si="4"/>
        <v>50.605455599999999</v>
      </c>
      <c r="M56" s="348">
        <f t="shared" si="0"/>
        <v>13.494788160000001</v>
      </c>
      <c r="N56" s="349">
        <f t="shared" si="1"/>
        <v>6.7473940800000003</v>
      </c>
      <c r="O56" s="349">
        <f t="shared" si="2"/>
        <v>6.7473940800000003</v>
      </c>
      <c r="P56" s="346">
        <f t="shared" si="3"/>
        <v>23.615879280000001</v>
      </c>
    </row>
    <row r="57" spans="1:16">
      <c r="A57" s="343">
        <v>55</v>
      </c>
      <c r="B57" s="339" t="s">
        <v>693</v>
      </c>
      <c r="C57" s="327" t="s">
        <v>163</v>
      </c>
      <c r="D57" s="400">
        <v>1003110508728</v>
      </c>
      <c r="E57" s="401">
        <v>5574816</v>
      </c>
      <c r="F57" s="294">
        <v>574.92999999999995</v>
      </c>
      <c r="G57" s="294">
        <f t="shared" si="5"/>
        <v>42.429834</v>
      </c>
      <c r="H57" s="294">
        <v>61.78</v>
      </c>
      <c r="I57" s="293">
        <f t="shared" si="6"/>
        <v>470.72016599999995</v>
      </c>
      <c r="J57" s="329" t="s">
        <v>13</v>
      </c>
      <c r="K57" s="294" t="s">
        <v>235</v>
      </c>
      <c r="L57" s="293">
        <f t="shared" si="4"/>
        <v>70.60802489999999</v>
      </c>
      <c r="M57" s="293">
        <f t="shared" si="0"/>
        <v>18.82880664</v>
      </c>
      <c r="N57" s="296">
        <f t="shared" si="1"/>
        <v>9.4144033199999999</v>
      </c>
      <c r="O57" s="296">
        <f t="shared" si="2"/>
        <v>9.4144033199999999</v>
      </c>
      <c r="P57" s="294">
        <f t="shared" si="3"/>
        <v>32.950411619999997</v>
      </c>
    </row>
    <row r="58" spans="1:16">
      <c r="A58" s="343">
        <v>56</v>
      </c>
      <c r="B58" s="344" t="s">
        <v>694</v>
      </c>
      <c r="C58" s="388" t="s">
        <v>35</v>
      </c>
      <c r="D58" s="254">
        <v>1003110506251</v>
      </c>
      <c r="E58" s="280" t="s">
        <v>695</v>
      </c>
      <c r="F58" s="350">
        <v>536.35</v>
      </c>
      <c r="G58" s="346">
        <f t="shared" si="5"/>
        <v>39.582630000000002</v>
      </c>
      <c r="H58" s="350">
        <v>0</v>
      </c>
      <c r="I58" s="348">
        <f t="shared" si="6"/>
        <v>496.76737000000003</v>
      </c>
      <c r="J58" s="358" t="s">
        <v>13</v>
      </c>
      <c r="K58" s="350" t="s">
        <v>207</v>
      </c>
      <c r="L58" s="348">
        <f t="shared" si="4"/>
        <v>74.515105500000004</v>
      </c>
      <c r="M58" s="348">
        <f t="shared" si="0"/>
        <v>19.870694800000003</v>
      </c>
      <c r="N58" s="349">
        <f t="shared" si="1"/>
        <v>9.9353474000000013</v>
      </c>
      <c r="O58" s="349">
        <f t="shared" si="2"/>
        <v>9.9353474000000013</v>
      </c>
      <c r="P58" s="346">
        <f t="shared" si="3"/>
        <v>34.773715899999999</v>
      </c>
    </row>
    <row r="59" spans="1:16">
      <c r="A59" s="343">
        <v>57</v>
      </c>
      <c r="B59" s="344" t="s">
        <v>696</v>
      </c>
      <c r="C59" s="388" t="s">
        <v>173</v>
      </c>
      <c r="D59" s="283">
        <v>1003110508643</v>
      </c>
      <c r="E59" s="280" t="s">
        <v>697</v>
      </c>
      <c r="F59" s="350">
        <v>510.58</v>
      </c>
      <c r="G59" s="346">
        <f t="shared" si="5"/>
        <v>37.680804000000002</v>
      </c>
      <c r="H59" s="350">
        <v>54.86</v>
      </c>
      <c r="I59" s="348">
        <f t="shared" si="6"/>
        <v>418.03919599999995</v>
      </c>
      <c r="J59" s="358" t="s">
        <v>13</v>
      </c>
      <c r="K59" s="350" t="s">
        <v>33</v>
      </c>
      <c r="L59" s="348">
        <f t="shared" si="4"/>
        <v>62.705879399999986</v>
      </c>
      <c r="M59" s="348">
        <f t="shared" si="0"/>
        <v>16.721567839999999</v>
      </c>
      <c r="N59" s="349">
        <f t="shared" si="1"/>
        <v>8.3607839199999994</v>
      </c>
      <c r="O59" s="349">
        <f t="shared" si="2"/>
        <v>8.3607839199999994</v>
      </c>
      <c r="P59" s="346">
        <f t="shared" si="3"/>
        <v>29.262743719999992</v>
      </c>
    </row>
    <row r="60" spans="1:16">
      <c r="A60" s="343">
        <v>58</v>
      </c>
      <c r="B60" s="344" t="s">
        <v>698</v>
      </c>
      <c r="C60" s="388" t="s">
        <v>699</v>
      </c>
      <c r="D60" s="284">
        <v>1003110512409</v>
      </c>
      <c r="E60" s="280">
        <v>5577241</v>
      </c>
      <c r="F60" s="350">
        <v>635.64</v>
      </c>
      <c r="G60" s="346">
        <f t="shared" si="5"/>
        <v>46.910232000000001</v>
      </c>
      <c r="H60" s="350">
        <v>167.91</v>
      </c>
      <c r="I60" s="348">
        <f t="shared" si="6"/>
        <v>420.81976800000007</v>
      </c>
      <c r="J60" s="358" t="s">
        <v>13</v>
      </c>
      <c r="K60" s="350" t="s">
        <v>17</v>
      </c>
      <c r="L60" s="348">
        <f t="shared" si="4"/>
        <v>63.12296520000001</v>
      </c>
      <c r="M60" s="348">
        <f t="shared" si="0"/>
        <v>16.832790720000002</v>
      </c>
      <c r="N60" s="349">
        <f t="shared" si="1"/>
        <v>8.416395360000001</v>
      </c>
      <c r="O60" s="349">
        <f t="shared" si="2"/>
        <v>8.416395360000001</v>
      </c>
      <c r="P60" s="346">
        <f t="shared" si="3"/>
        <v>29.457383759999999</v>
      </c>
    </row>
    <row r="61" spans="1:16">
      <c r="A61" s="343">
        <v>59</v>
      </c>
      <c r="B61" s="344" t="s">
        <v>700</v>
      </c>
      <c r="C61" s="388" t="s">
        <v>163</v>
      </c>
      <c r="D61" s="254">
        <v>1003110515462</v>
      </c>
      <c r="E61" s="280">
        <v>5578740</v>
      </c>
      <c r="F61" s="350">
        <v>516.98</v>
      </c>
      <c r="G61" s="346">
        <f t="shared" si="5"/>
        <v>38.153124000000005</v>
      </c>
      <c r="H61" s="350">
        <v>55.55</v>
      </c>
      <c r="I61" s="348">
        <f t="shared" si="6"/>
        <v>423.27687600000002</v>
      </c>
      <c r="J61" s="358" t="s">
        <v>13</v>
      </c>
      <c r="K61" s="350" t="s">
        <v>14</v>
      </c>
      <c r="L61" s="348">
        <f t="shared" si="4"/>
        <v>63.4915314</v>
      </c>
      <c r="M61" s="348">
        <f t="shared" si="0"/>
        <v>16.93107504</v>
      </c>
      <c r="N61" s="349">
        <f t="shared" si="1"/>
        <v>8.4655375199999998</v>
      </c>
      <c r="O61" s="349">
        <f t="shared" si="2"/>
        <v>8.4655375199999998</v>
      </c>
      <c r="P61" s="346">
        <f t="shared" si="3"/>
        <v>29.629381320000007</v>
      </c>
    </row>
    <row r="62" spans="1:16">
      <c r="A62" s="343">
        <v>60</v>
      </c>
      <c r="B62" s="339" t="s">
        <v>701</v>
      </c>
      <c r="C62" s="327" t="s">
        <v>184</v>
      </c>
      <c r="D62" s="400">
        <v>1003110514591</v>
      </c>
      <c r="E62" s="401">
        <v>5578391</v>
      </c>
      <c r="F62" s="294">
        <v>571.88</v>
      </c>
      <c r="G62" s="294">
        <f t="shared" si="5"/>
        <v>42.204744000000005</v>
      </c>
      <c r="H62" s="294">
        <v>61.45</v>
      </c>
      <c r="I62" s="293">
        <f t="shared" si="6"/>
        <v>468.225256</v>
      </c>
      <c r="J62" s="329" t="s">
        <v>13</v>
      </c>
      <c r="K62" s="294" t="s">
        <v>266</v>
      </c>
      <c r="L62" s="293">
        <f t="shared" si="4"/>
        <v>70.233788399999995</v>
      </c>
      <c r="M62" s="293">
        <f t="shared" si="0"/>
        <v>18.729010240000001</v>
      </c>
      <c r="N62" s="296">
        <f t="shared" si="1"/>
        <v>9.3645051200000005</v>
      </c>
      <c r="O62" s="296">
        <f t="shared" si="2"/>
        <v>9.3645051200000005</v>
      </c>
      <c r="P62" s="294">
        <f t="shared" si="3"/>
        <v>32.775767919999993</v>
      </c>
    </row>
    <row r="63" spans="1:16">
      <c r="A63" s="343">
        <v>61</v>
      </c>
      <c r="B63" s="344" t="s">
        <v>702</v>
      </c>
      <c r="C63" s="388" t="s">
        <v>163</v>
      </c>
      <c r="D63" s="254">
        <v>1003110511250</v>
      </c>
      <c r="E63" s="280">
        <v>5575796</v>
      </c>
      <c r="F63" s="350">
        <v>549.91</v>
      </c>
      <c r="G63" s="346">
        <f t="shared" si="5"/>
        <v>40.583357999999997</v>
      </c>
      <c r="H63" s="350">
        <v>59.09</v>
      </c>
      <c r="I63" s="348">
        <f t="shared" si="6"/>
        <v>450.23664199999996</v>
      </c>
      <c r="J63" s="358" t="s">
        <v>13</v>
      </c>
      <c r="K63" s="350" t="s">
        <v>26</v>
      </c>
      <c r="L63" s="348">
        <f t="shared" si="4"/>
        <v>67.535496299999991</v>
      </c>
      <c r="M63" s="348">
        <f t="shared" si="0"/>
        <v>18.009465679999998</v>
      </c>
      <c r="N63" s="349">
        <f t="shared" si="1"/>
        <v>9.0047328399999991</v>
      </c>
      <c r="O63" s="349">
        <f t="shared" si="2"/>
        <v>9.0047328399999991</v>
      </c>
      <c r="P63" s="346">
        <f t="shared" si="3"/>
        <v>31.516564939999999</v>
      </c>
    </row>
    <row r="64" spans="1:16">
      <c r="A64" s="343">
        <v>62</v>
      </c>
      <c r="B64" s="339" t="s">
        <v>703</v>
      </c>
      <c r="C64" s="327" t="s">
        <v>173</v>
      </c>
      <c r="D64" s="400">
        <v>1003110511223</v>
      </c>
      <c r="E64" s="401">
        <v>5575759</v>
      </c>
      <c r="F64" s="294">
        <v>557.27</v>
      </c>
      <c r="G64" s="294">
        <f t="shared" si="5"/>
        <v>41.126525999999998</v>
      </c>
      <c r="H64" s="294">
        <v>59.88</v>
      </c>
      <c r="I64" s="293">
        <f t="shared" si="6"/>
        <v>456.26347399999997</v>
      </c>
      <c r="J64" s="329" t="s">
        <v>13</v>
      </c>
      <c r="K64" s="294" t="s">
        <v>26</v>
      </c>
      <c r="L64" s="293">
        <f t="shared" si="4"/>
        <v>68.439521099999993</v>
      </c>
      <c r="M64" s="293">
        <f t="shared" si="0"/>
        <v>18.25053896</v>
      </c>
      <c r="N64" s="296">
        <f t="shared" si="1"/>
        <v>9.12526948</v>
      </c>
      <c r="O64" s="296">
        <f t="shared" si="2"/>
        <v>9.12526948</v>
      </c>
      <c r="P64" s="294">
        <f t="shared" si="3"/>
        <v>31.938443179999993</v>
      </c>
    </row>
    <row r="65" spans="1:16">
      <c r="A65" s="343">
        <v>63</v>
      </c>
      <c r="B65" s="344" t="s">
        <v>704</v>
      </c>
      <c r="C65" s="388" t="s">
        <v>173</v>
      </c>
      <c r="D65" s="254">
        <v>1003110517281</v>
      </c>
      <c r="E65" s="280">
        <v>5580781</v>
      </c>
      <c r="F65" s="350">
        <v>545.79</v>
      </c>
      <c r="G65" s="346">
        <f t="shared" si="5"/>
        <v>40.279302000000001</v>
      </c>
      <c r="H65" s="350">
        <v>58.65</v>
      </c>
      <c r="I65" s="348">
        <f t="shared" si="6"/>
        <v>446.86069799999996</v>
      </c>
      <c r="J65" s="358" t="s">
        <v>13</v>
      </c>
      <c r="K65" s="350" t="s">
        <v>50</v>
      </c>
      <c r="L65" s="348">
        <f t="shared" si="4"/>
        <v>67.029104699999991</v>
      </c>
      <c r="M65" s="348">
        <f t="shared" si="0"/>
        <v>17.874427919999999</v>
      </c>
      <c r="N65" s="349">
        <f t="shared" si="1"/>
        <v>8.9372139599999993</v>
      </c>
      <c r="O65" s="349">
        <f t="shared" si="2"/>
        <v>8.9372139599999993</v>
      </c>
      <c r="P65" s="346">
        <f t="shared" si="3"/>
        <v>31.280248859999986</v>
      </c>
    </row>
    <row r="66" spans="1:16">
      <c r="A66" s="343">
        <v>64</v>
      </c>
      <c r="B66" s="344" t="s">
        <v>705</v>
      </c>
      <c r="C66" s="388" t="s">
        <v>35</v>
      </c>
      <c r="D66" s="254">
        <v>1003110517248</v>
      </c>
      <c r="E66" s="280">
        <v>5580584</v>
      </c>
      <c r="F66" s="350">
        <v>672.92</v>
      </c>
      <c r="G66" s="346">
        <f t="shared" si="5"/>
        <v>49.661496</v>
      </c>
      <c r="H66" s="350">
        <v>72.31</v>
      </c>
      <c r="I66" s="348">
        <f t="shared" si="6"/>
        <v>550.94850399999996</v>
      </c>
      <c r="J66" s="358" t="s">
        <v>13</v>
      </c>
      <c r="K66" s="350" t="s">
        <v>14</v>
      </c>
      <c r="L66" s="348">
        <f t="shared" si="4"/>
        <v>82.642275599999991</v>
      </c>
      <c r="M66" s="348">
        <f t="shared" si="0"/>
        <v>22.037940159999998</v>
      </c>
      <c r="N66" s="349">
        <f t="shared" si="1"/>
        <v>11.018970079999999</v>
      </c>
      <c r="O66" s="349">
        <f t="shared" si="2"/>
        <v>11.018970079999999</v>
      </c>
      <c r="P66" s="346">
        <f t="shared" si="3"/>
        <v>38.566395279999995</v>
      </c>
    </row>
    <row r="67" spans="1:16">
      <c r="A67" s="343">
        <v>65</v>
      </c>
      <c r="B67" s="339" t="s">
        <v>706</v>
      </c>
      <c r="C67" s="327" t="s">
        <v>173</v>
      </c>
      <c r="D67" s="400">
        <v>1003110517151</v>
      </c>
      <c r="E67" s="401">
        <v>5580420</v>
      </c>
      <c r="F67" s="294">
        <v>586.48</v>
      </c>
      <c r="G67" s="294">
        <f t="shared" si="5"/>
        <v>43.282224000000006</v>
      </c>
      <c r="H67" s="294">
        <v>63.02</v>
      </c>
      <c r="I67" s="293">
        <f t="shared" si="6"/>
        <v>480.17777599999999</v>
      </c>
      <c r="J67" s="329" t="s">
        <v>13</v>
      </c>
      <c r="K67" s="294" t="s">
        <v>14</v>
      </c>
      <c r="L67" s="293">
        <f t="shared" si="4"/>
        <v>72.026666399999996</v>
      </c>
      <c r="M67" s="293">
        <f t="shared" ref="M67:M142" si="7">I67*4%</f>
        <v>19.207111040000001</v>
      </c>
      <c r="N67" s="296">
        <f t="shared" ref="N67:N142" si="8">I67*2%</f>
        <v>9.6035555200000005</v>
      </c>
      <c r="O67" s="296">
        <f t="shared" ref="O67:O142" si="9">I67*2%</f>
        <v>9.6035555200000005</v>
      </c>
      <c r="P67" s="294">
        <f t="shared" ref="P67:P142" si="10">L67-M67-N67-O67</f>
        <v>33.612444319999994</v>
      </c>
    </row>
    <row r="68" spans="1:16">
      <c r="A68" s="343">
        <v>66</v>
      </c>
      <c r="B68" s="339" t="s">
        <v>707</v>
      </c>
      <c r="C68" s="327" t="s">
        <v>173</v>
      </c>
      <c r="D68" s="400">
        <v>1003110516982</v>
      </c>
      <c r="E68" s="401">
        <v>5579914</v>
      </c>
      <c r="F68" s="294">
        <v>542.03</v>
      </c>
      <c r="G68" s="294">
        <f t="shared" si="5"/>
        <v>40.001814000000003</v>
      </c>
      <c r="H68" s="294">
        <v>58.24</v>
      </c>
      <c r="I68" s="293">
        <f t="shared" si="6"/>
        <v>443.78818599999994</v>
      </c>
      <c r="J68" s="329" t="s">
        <v>13</v>
      </c>
      <c r="K68" s="294" t="s">
        <v>17</v>
      </c>
      <c r="L68" s="293">
        <f t="shared" ref="L68:L142" si="11">I68*15%</f>
        <v>66.568227899999982</v>
      </c>
      <c r="M68" s="293">
        <f t="shared" si="7"/>
        <v>17.751527439999997</v>
      </c>
      <c r="N68" s="296">
        <f t="shared" si="8"/>
        <v>8.8757637199999984</v>
      </c>
      <c r="O68" s="296">
        <f t="shared" si="9"/>
        <v>8.8757637199999984</v>
      </c>
      <c r="P68" s="294">
        <f t="shared" si="10"/>
        <v>31.065173019999985</v>
      </c>
    </row>
    <row r="69" spans="1:16">
      <c r="A69" s="343">
        <v>67</v>
      </c>
      <c r="B69" s="344" t="s">
        <v>708</v>
      </c>
      <c r="C69" s="388" t="s">
        <v>173</v>
      </c>
      <c r="D69" s="254">
        <v>1003110523120</v>
      </c>
      <c r="E69" s="280">
        <v>5583010</v>
      </c>
      <c r="F69" s="350">
        <v>564.92999999999995</v>
      </c>
      <c r="G69" s="373">
        <f t="shared" ref="G69:G142" si="12">F69*7.38%</f>
        <v>41.691834</v>
      </c>
      <c r="H69" s="350">
        <v>60.7</v>
      </c>
      <c r="I69" s="374">
        <f t="shared" ref="I69:I142" si="13">F69-G69-H69</f>
        <v>462.53816599999999</v>
      </c>
      <c r="J69" s="358" t="s">
        <v>13</v>
      </c>
      <c r="K69" s="350" t="s">
        <v>14</v>
      </c>
      <c r="L69" s="348">
        <f t="shared" si="11"/>
        <v>69.38072489999999</v>
      </c>
      <c r="M69" s="348">
        <f t="shared" si="7"/>
        <v>18.501526640000002</v>
      </c>
      <c r="N69" s="372">
        <f t="shared" si="8"/>
        <v>9.2507633200000008</v>
      </c>
      <c r="O69" s="372">
        <f t="shared" si="9"/>
        <v>9.2507633200000008</v>
      </c>
      <c r="P69" s="373">
        <f t="shared" si="10"/>
        <v>32.377671619999987</v>
      </c>
    </row>
    <row r="70" spans="1:16">
      <c r="A70" s="343">
        <v>68</v>
      </c>
      <c r="B70" s="344" t="s">
        <v>709</v>
      </c>
      <c r="C70" s="388" t="s">
        <v>163</v>
      </c>
      <c r="D70" s="254">
        <v>1003110522447</v>
      </c>
      <c r="E70" s="280">
        <v>5583680</v>
      </c>
      <c r="F70" s="350">
        <v>530.54</v>
      </c>
      <c r="G70" s="346">
        <f t="shared" si="12"/>
        <v>39.153852000000001</v>
      </c>
      <c r="H70" s="350">
        <v>140.15</v>
      </c>
      <c r="I70" s="348">
        <f t="shared" si="13"/>
        <v>351.23614799999996</v>
      </c>
      <c r="J70" s="358" t="s">
        <v>13</v>
      </c>
      <c r="K70" s="350" t="s">
        <v>49</v>
      </c>
      <c r="L70" s="348">
        <f t="shared" si="11"/>
        <v>52.685422199999991</v>
      </c>
      <c r="M70" s="348">
        <f t="shared" si="7"/>
        <v>14.049445919999998</v>
      </c>
      <c r="N70" s="349">
        <f t="shared" si="8"/>
        <v>7.0247229599999992</v>
      </c>
      <c r="O70" s="349">
        <f t="shared" si="9"/>
        <v>7.0247229599999992</v>
      </c>
      <c r="P70" s="346">
        <f t="shared" si="10"/>
        <v>24.586530359999998</v>
      </c>
    </row>
    <row r="71" spans="1:16">
      <c r="A71" s="343">
        <v>69</v>
      </c>
      <c r="B71" s="344" t="s">
        <v>710</v>
      </c>
      <c r="C71" s="388" t="s">
        <v>368</v>
      </c>
      <c r="D71" s="254">
        <v>1003110550837</v>
      </c>
      <c r="E71" s="280">
        <v>5578297</v>
      </c>
      <c r="F71" s="350">
        <v>564.16</v>
      </c>
      <c r="G71" s="346">
        <f t="shared" si="12"/>
        <v>41.635007999999999</v>
      </c>
      <c r="H71" s="350">
        <v>188.06</v>
      </c>
      <c r="I71" s="348">
        <f t="shared" si="13"/>
        <v>334.464992</v>
      </c>
      <c r="J71" s="358" t="s">
        <v>16</v>
      </c>
      <c r="K71" s="350" t="s">
        <v>17</v>
      </c>
      <c r="L71" s="348">
        <f t="shared" si="11"/>
        <v>50.169748800000001</v>
      </c>
      <c r="M71" s="348">
        <f t="shared" si="7"/>
        <v>13.378599680000001</v>
      </c>
      <c r="N71" s="349">
        <f t="shared" si="8"/>
        <v>6.6892998400000003</v>
      </c>
      <c r="O71" s="349">
        <f t="shared" si="9"/>
        <v>6.6892998400000003</v>
      </c>
      <c r="P71" s="346">
        <f t="shared" si="10"/>
        <v>23.412549439999999</v>
      </c>
    </row>
    <row r="72" spans="1:16">
      <c r="A72" s="343">
        <v>70</v>
      </c>
      <c r="B72" s="344" t="s">
        <v>711</v>
      </c>
      <c r="C72" s="388" t="s">
        <v>163</v>
      </c>
      <c r="D72" s="254">
        <v>1003110531142</v>
      </c>
      <c r="E72" s="280">
        <v>5586666</v>
      </c>
      <c r="F72" s="350">
        <v>500.14</v>
      </c>
      <c r="G72" s="346">
        <f t="shared" si="12"/>
        <v>36.910332000000004</v>
      </c>
      <c r="H72" s="350">
        <v>125.03</v>
      </c>
      <c r="I72" s="348">
        <f t="shared" si="13"/>
        <v>338.19966799999997</v>
      </c>
      <c r="J72" s="358" t="s">
        <v>13</v>
      </c>
      <c r="K72" s="350" t="s">
        <v>26</v>
      </c>
      <c r="L72" s="348">
        <f t="shared" si="11"/>
        <v>50.729950199999998</v>
      </c>
      <c r="M72" s="348">
        <f t="shared" si="7"/>
        <v>13.527986719999999</v>
      </c>
      <c r="N72" s="349">
        <f t="shared" si="8"/>
        <v>6.7639933599999997</v>
      </c>
      <c r="O72" s="349">
        <f t="shared" si="9"/>
        <v>6.7639933599999997</v>
      </c>
      <c r="P72" s="346">
        <f t="shared" si="10"/>
        <v>23.673976759999995</v>
      </c>
    </row>
    <row r="73" spans="1:16">
      <c r="A73" s="343">
        <v>71</v>
      </c>
      <c r="B73" s="344" t="s">
        <v>712</v>
      </c>
      <c r="C73" s="388" t="s">
        <v>35</v>
      </c>
      <c r="D73" s="254">
        <v>51772025423110</v>
      </c>
      <c r="E73" s="280">
        <v>5587387</v>
      </c>
      <c r="F73" s="350">
        <v>612.86</v>
      </c>
      <c r="G73" s="346">
        <f t="shared" si="12"/>
        <v>45.229068000000005</v>
      </c>
      <c r="H73" s="350">
        <v>51.07</v>
      </c>
      <c r="I73" s="348">
        <f t="shared" si="13"/>
        <v>516.56093199999998</v>
      </c>
      <c r="J73" s="358" t="s">
        <v>16</v>
      </c>
      <c r="K73" s="350" t="s">
        <v>17</v>
      </c>
      <c r="L73" s="348">
        <f t="shared" si="11"/>
        <v>77.484139799999994</v>
      </c>
      <c r="M73" s="348">
        <f t="shared" si="7"/>
        <v>20.662437279999999</v>
      </c>
      <c r="N73" s="349">
        <f t="shared" si="8"/>
        <v>10.331218639999999</v>
      </c>
      <c r="O73" s="349">
        <f t="shared" si="9"/>
        <v>10.331218639999999</v>
      </c>
      <c r="P73" s="346">
        <f t="shared" si="10"/>
        <v>36.159265239999996</v>
      </c>
    </row>
    <row r="74" spans="1:16">
      <c r="A74" s="343">
        <v>72</v>
      </c>
      <c r="B74" s="344" t="s">
        <v>713</v>
      </c>
      <c r="C74" s="388" t="s">
        <v>163</v>
      </c>
      <c r="D74" s="288">
        <v>1003110528339</v>
      </c>
      <c r="E74" s="280">
        <v>5587237</v>
      </c>
      <c r="F74" s="350">
        <v>531.78</v>
      </c>
      <c r="G74" s="346">
        <f t="shared" si="12"/>
        <v>39.245364000000002</v>
      </c>
      <c r="H74" s="350">
        <v>177.26</v>
      </c>
      <c r="I74" s="348">
        <f t="shared" si="13"/>
        <v>315.27463599999999</v>
      </c>
      <c r="J74" s="358" t="s">
        <v>13</v>
      </c>
      <c r="K74" s="350" t="s">
        <v>182</v>
      </c>
      <c r="L74" s="348">
        <f t="shared" si="11"/>
        <v>47.291195399999999</v>
      </c>
      <c r="M74" s="348">
        <f t="shared" si="7"/>
        <v>12.61098544</v>
      </c>
      <c r="N74" s="349">
        <f t="shared" si="8"/>
        <v>6.3054927200000002</v>
      </c>
      <c r="O74" s="349">
        <f t="shared" si="9"/>
        <v>6.3054927200000002</v>
      </c>
      <c r="P74" s="346">
        <f t="shared" si="10"/>
        <v>22.069224519999999</v>
      </c>
    </row>
    <row r="75" spans="1:16">
      <c r="A75" s="343">
        <v>73</v>
      </c>
      <c r="B75" s="344" t="s">
        <v>714</v>
      </c>
      <c r="C75" s="388" t="s">
        <v>173</v>
      </c>
      <c r="D75" s="254">
        <v>5177202542310</v>
      </c>
      <c r="E75" s="280">
        <v>5587081</v>
      </c>
      <c r="F75" s="350">
        <v>1329.4</v>
      </c>
      <c r="G75" s="346">
        <f t="shared" si="12"/>
        <v>98.10972000000001</v>
      </c>
      <c r="H75" s="350">
        <v>132.94</v>
      </c>
      <c r="I75" s="348">
        <f t="shared" si="13"/>
        <v>1098.3502800000001</v>
      </c>
      <c r="J75" s="358" t="s">
        <v>16</v>
      </c>
      <c r="K75" s="350" t="s">
        <v>17</v>
      </c>
      <c r="L75" s="348">
        <f t="shared" si="11"/>
        <v>164.75254200000001</v>
      </c>
      <c r="M75" s="348">
        <f t="shared" si="7"/>
        <v>43.934011200000008</v>
      </c>
      <c r="N75" s="349">
        <f t="shared" si="8"/>
        <v>21.967005600000004</v>
      </c>
      <c r="O75" s="349">
        <f t="shared" si="9"/>
        <v>21.967005600000004</v>
      </c>
      <c r="P75" s="346">
        <f t="shared" si="10"/>
        <v>76.884519599999976</v>
      </c>
    </row>
    <row r="76" spans="1:16">
      <c r="A76" s="343">
        <v>74</v>
      </c>
      <c r="B76" s="344" t="s">
        <v>715</v>
      </c>
      <c r="C76" s="388" t="s">
        <v>368</v>
      </c>
      <c r="D76" s="254">
        <v>1003110525531</v>
      </c>
      <c r="E76" s="280" t="s">
        <v>716</v>
      </c>
      <c r="F76" s="350">
        <v>520.32000000000005</v>
      </c>
      <c r="G76" s="346">
        <f t="shared" si="12"/>
        <v>38.399616000000009</v>
      </c>
      <c r="H76" s="350">
        <v>173.44</v>
      </c>
      <c r="I76" s="348">
        <f t="shared" si="13"/>
        <v>308.48038400000002</v>
      </c>
      <c r="J76" s="358" t="s">
        <v>13</v>
      </c>
      <c r="K76" s="350" t="s">
        <v>17</v>
      </c>
      <c r="L76" s="348">
        <f t="shared" si="11"/>
        <v>46.272057600000004</v>
      </c>
      <c r="M76" s="348">
        <f t="shared" si="7"/>
        <v>12.339215360000001</v>
      </c>
      <c r="N76" s="349">
        <f t="shared" si="8"/>
        <v>6.1696076800000004</v>
      </c>
      <c r="O76" s="349">
        <f t="shared" si="9"/>
        <v>6.1696076800000004</v>
      </c>
      <c r="P76" s="346">
        <f t="shared" si="10"/>
        <v>21.593626880000002</v>
      </c>
    </row>
    <row r="77" spans="1:16">
      <c r="A77" s="343">
        <v>75</v>
      </c>
      <c r="B77" s="344" t="s">
        <v>717</v>
      </c>
      <c r="C77" s="388" t="s">
        <v>163</v>
      </c>
      <c r="D77" s="254">
        <v>517720254231</v>
      </c>
      <c r="E77" s="280">
        <v>5589616</v>
      </c>
      <c r="F77" s="350">
        <v>565.61</v>
      </c>
      <c r="G77" s="346">
        <f t="shared" si="12"/>
        <v>41.742018000000002</v>
      </c>
      <c r="H77" s="350">
        <v>60.78</v>
      </c>
      <c r="I77" s="348">
        <f t="shared" si="13"/>
        <v>463.08798200000001</v>
      </c>
      <c r="J77" s="358" t="s">
        <v>13</v>
      </c>
      <c r="K77" s="350" t="s">
        <v>26</v>
      </c>
      <c r="L77" s="348">
        <f t="shared" si="11"/>
        <v>69.463197300000004</v>
      </c>
      <c r="M77" s="348">
        <f t="shared" si="7"/>
        <v>18.523519280000002</v>
      </c>
      <c r="N77" s="349">
        <f t="shared" si="8"/>
        <v>9.2617596400000011</v>
      </c>
      <c r="O77" s="349">
        <f t="shared" si="9"/>
        <v>9.2617596400000011</v>
      </c>
      <c r="P77" s="346">
        <f t="shared" si="10"/>
        <v>32.41615874</v>
      </c>
    </row>
    <row r="78" spans="1:16">
      <c r="A78" s="343">
        <v>76</v>
      </c>
      <c r="B78" s="344" t="s">
        <v>718</v>
      </c>
      <c r="C78" s="388" t="s">
        <v>163</v>
      </c>
      <c r="D78" s="254">
        <v>5177202542310</v>
      </c>
      <c r="E78" s="280">
        <v>5589081</v>
      </c>
      <c r="F78" s="350">
        <v>551.35</v>
      </c>
      <c r="G78" s="346">
        <f t="shared" si="12"/>
        <v>40.689630000000001</v>
      </c>
      <c r="H78" s="350">
        <v>68</v>
      </c>
      <c r="I78" s="348">
        <f t="shared" si="13"/>
        <v>442.66037</v>
      </c>
      <c r="J78" s="358" t="s">
        <v>13</v>
      </c>
      <c r="K78" s="350" t="s">
        <v>14</v>
      </c>
      <c r="L78" s="348">
        <f t="shared" si="11"/>
        <v>66.399055500000003</v>
      </c>
      <c r="M78" s="348">
        <f t="shared" si="7"/>
        <v>17.706414800000001</v>
      </c>
      <c r="N78" s="349">
        <f t="shared" si="8"/>
        <v>8.8532074000000005</v>
      </c>
      <c r="O78" s="349">
        <f t="shared" si="9"/>
        <v>8.8532074000000005</v>
      </c>
      <c r="P78" s="346">
        <f t="shared" si="10"/>
        <v>30.986225899999994</v>
      </c>
    </row>
    <row r="79" spans="1:16">
      <c r="A79" s="343">
        <v>77</v>
      </c>
      <c r="B79" s="344" t="s">
        <v>719</v>
      </c>
      <c r="C79" s="388" t="s">
        <v>173</v>
      </c>
      <c r="D79" s="254">
        <v>51772025423110</v>
      </c>
      <c r="E79" s="280">
        <v>5588831</v>
      </c>
      <c r="F79" s="350">
        <v>539.16999999999996</v>
      </c>
      <c r="G79" s="346">
        <f t="shared" si="12"/>
        <v>39.790745999999999</v>
      </c>
      <c r="H79" s="350">
        <v>179.72</v>
      </c>
      <c r="I79" s="348">
        <f t="shared" si="13"/>
        <v>319.65925399999992</v>
      </c>
      <c r="J79" s="358" t="s">
        <v>13</v>
      </c>
      <c r="K79" s="350" t="s">
        <v>49</v>
      </c>
      <c r="L79" s="348">
        <f t="shared" si="11"/>
        <v>47.948888099999984</v>
      </c>
      <c r="M79" s="348">
        <f t="shared" si="7"/>
        <v>12.786370159999997</v>
      </c>
      <c r="N79" s="349">
        <f t="shared" si="8"/>
        <v>6.3931850799999985</v>
      </c>
      <c r="O79" s="349">
        <f t="shared" si="9"/>
        <v>6.3931850799999985</v>
      </c>
      <c r="P79" s="346">
        <f t="shared" si="10"/>
        <v>22.376147779999989</v>
      </c>
    </row>
    <row r="80" spans="1:16">
      <c r="A80" s="343">
        <v>78</v>
      </c>
      <c r="B80" s="344" t="s">
        <v>720</v>
      </c>
      <c r="C80" s="388" t="s">
        <v>163</v>
      </c>
      <c r="D80" s="254">
        <v>51772025423110</v>
      </c>
      <c r="E80" s="280">
        <v>5587010</v>
      </c>
      <c r="F80" s="350">
        <v>554.64</v>
      </c>
      <c r="G80" s="346">
        <f t="shared" si="12"/>
        <v>40.932431999999999</v>
      </c>
      <c r="H80" s="350">
        <v>138.66</v>
      </c>
      <c r="I80" s="348">
        <f t="shared" si="13"/>
        <v>375.04756800000007</v>
      </c>
      <c r="J80" s="358" t="s">
        <v>13</v>
      </c>
      <c r="K80" s="350" t="s">
        <v>26</v>
      </c>
      <c r="L80" s="348">
        <f t="shared" si="11"/>
        <v>56.257135200000008</v>
      </c>
      <c r="M80" s="348">
        <f t="shared" si="7"/>
        <v>15.001902720000004</v>
      </c>
      <c r="N80" s="349">
        <f t="shared" si="8"/>
        <v>7.500951360000002</v>
      </c>
      <c r="O80" s="349">
        <f t="shared" si="9"/>
        <v>7.500951360000002</v>
      </c>
      <c r="P80" s="346">
        <f t="shared" si="10"/>
        <v>26.25332976</v>
      </c>
    </row>
    <row r="81" spans="1:16">
      <c r="A81" s="343">
        <v>79</v>
      </c>
      <c r="B81" s="344" t="s">
        <v>721</v>
      </c>
      <c r="C81" s="388" t="s">
        <v>35</v>
      </c>
      <c r="D81" s="254">
        <v>2612830</v>
      </c>
      <c r="E81" s="280">
        <v>5589932</v>
      </c>
      <c r="F81" s="350">
        <v>601.20000000000005</v>
      </c>
      <c r="G81" s="346">
        <f t="shared" si="12"/>
        <v>44.368560000000009</v>
      </c>
      <c r="H81" s="350">
        <v>60.12</v>
      </c>
      <c r="I81" s="348">
        <f t="shared" si="13"/>
        <v>496.71144000000004</v>
      </c>
      <c r="J81" s="358" t="s">
        <v>16</v>
      </c>
      <c r="K81" s="350" t="s">
        <v>50</v>
      </c>
      <c r="L81" s="348">
        <f t="shared" si="11"/>
        <v>74.506715999999997</v>
      </c>
      <c r="M81" s="348">
        <f t="shared" si="7"/>
        <v>19.868457600000003</v>
      </c>
      <c r="N81" s="349">
        <f t="shared" si="8"/>
        <v>9.9342288000000014</v>
      </c>
      <c r="O81" s="349">
        <f t="shared" si="9"/>
        <v>9.9342288000000014</v>
      </c>
      <c r="P81" s="346">
        <f t="shared" si="10"/>
        <v>34.769800799999999</v>
      </c>
    </row>
    <row r="82" spans="1:16">
      <c r="A82" s="343">
        <v>80</v>
      </c>
      <c r="B82" s="344" t="s">
        <v>722</v>
      </c>
      <c r="C82" s="388" t="s">
        <v>163</v>
      </c>
      <c r="D82" s="254">
        <v>2612911</v>
      </c>
      <c r="E82" s="280">
        <v>5586292</v>
      </c>
      <c r="F82" s="350">
        <v>459.7</v>
      </c>
      <c r="G82" s="346">
        <f t="shared" si="12"/>
        <v>33.92586</v>
      </c>
      <c r="H82" s="350">
        <v>45.97</v>
      </c>
      <c r="I82" s="348">
        <f t="shared" si="13"/>
        <v>379.80413999999996</v>
      </c>
      <c r="J82" s="358" t="s">
        <v>16</v>
      </c>
      <c r="K82" s="350" t="s">
        <v>26</v>
      </c>
      <c r="L82" s="348">
        <f t="shared" si="11"/>
        <v>56.970620999999994</v>
      </c>
      <c r="M82" s="348">
        <f t="shared" si="7"/>
        <v>15.192165599999999</v>
      </c>
      <c r="N82" s="349">
        <f t="shared" si="8"/>
        <v>7.5960827999999996</v>
      </c>
      <c r="O82" s="349">
        <f t="shared" si="9"/>
        <v>7.5960827999999996</v>
      </c>
      <c r="P82" s="346">
        <f t="shared" si="10"/>
        <v>26.586289800000003</v>
      </c>
    </row>
    <row r="83" spans="1:16">
      <c r="A83" s="343">
        <v>81</v>
      </c>
      <c r="B83" s="344" t="s">
        <v>723</v>
      </c>
      <c r="C83" s="388" t="s">
        <v>35</v>
      </c>
      <c r="D83" s="254">
        <v>1224809158</v>
      </c>
      <c r="E83" s="280" t="s">
        <v>724</v>
      </c>
      <c r="F83" s="350">
        <v>884.23</v>
      </c>
      <c r="G83" s="346">
        <f t="shared" si="12"/>
        <v>65.256174000000001</v>
      </c>
      <c r="H83" s="350">
        <v>0</v>
      </c>
      <c r="I83" s="348">
        <f t="shared" si="13"/>
        <v>818.97382600000003</v>
      </c>
      <c r="J83" s="358" t="s">
        <v>13</v>
      </c>
      <c r="K83" s="350" t="s">
        <v>17</v>
      </c>
      <c r="L83" s="348">
        <f t="shared" si="11"/>
        <v>122.84607389999999</v>
      </c>
      <c r="M83" s="348">
        <f t="shared" si="7"/>
        <v>32.758953040000002</v>
      </c>
      <c r="N83" s="349">
        <f t="shared" si="8"/>
        <v>16.379476520000001</v>
      </c>
      <c r="O83" s="349">
        <f t="shared" si="9"/>
        <v>16.379476520000001</v>
      </c>
      <c r="P83" s="346">
        <f t="shared" si="10"/>
        <v>57.328167820000004</v>
      </c>
    </row>
    <row r="84" spans="1:16">
      <c r="A84" s="343">
        <v>82</v>
      </c>
      <c r="B84" s="344" t="s">
        <v>725</v>
      </c>
      <c r="C84" s="388" t="s">
        <v>163</v>
      </c>
      <c r="D84" s="254">
        <v>2613730</v>
      </c>
      <c r="E84" s="280">
        <v>5592052</v>
      </c>
      <c r="F84" s="350">
        <v>461.42</v>
      </c>
      <c r="G84" s="346">
        <f t="shared" si="12"/>
        <v>34.052796000000001</v>
      </c>
      <c r="H84" s="350">
        <v>48.57</v>
      </c>
      <c r="I84" s="348">
        <f t="shared" si="13"/>
        <v>378.79720400000002</v>
      </c>
      <c r="J84" s="358" t="s">
        <v>16</v>
      </c>
      <c r="K84" s="350" t="s">
        <v>17</v>
      </c>
      <c r="L84" s="348">
        <f t="shared" si="11"/>
        <v>56.819580600000002</v>
      </c>
      <c r="M84" s="348">
        <f t="shared" si="7"/>
        <v>15.15188816</v>
      </c>
      <c r="N84" s="349">
        <f t="shared" si="8"/>
        <v>7.5759440800000002</v>
      </c>
      <c r="O84" s="349">
        <f t="shared" si="9"/>
        <v>7.5759440800000002</v>
      </c>
      <c r="P84" s="346">
        <f t="shared" si="10"/>
        <v>26.515804280000005</v>
      </c>
    </row>
    <row r="85" spans="1:16">
      <c r="A85" s="343">
        <v>83</v>
      </c>
      <c r="B85" s="344" t="s">
        <v>726</v>
      </c>
      <c r="C85" s="388" t="s">
        <v>35</v>
      </c>
      <c r="D85" s="254">
        <v>1003110535763</v>
      </c>
      <c r="E85" s="280" t="s">
        <v>727</v>
      </c>
      <c r="F85" s="350">
        <v>528.57000000000005</v>
      </c>
      <c r="G85" s="346">
        <f t="shared" si="12"/>
        <v>39.008466000000006</v>
      </c>
      <c r="H85" s="350">
        <v>65.19</v>
      </c>
      <c r="I85" s="348">
        <f t="shared" si="13"/>
        <v>424.37153400000005</v>
      </c>
      <c r="J85" s="358" t="s">
        <v>13</v>
      </c>
      <c r="K85" s="350" t="s">
        <v>264</v>
      </c>
      <c r="L85" s="348">
        <f t="shared" si="11"/>
        <v>63.655730100000007</v>
      </c>
      <c r="M85" s="348">
        <f t="shared" si="7"/>
        <v>16.974861360000002</v>
      </c>
      <c r="N85" s="349">
        <f t="shared" si="8"/>
        <v>8.487430680000001</v>
      </c>
      <c r="O85" s="349">
        <f t="shared" si="9"/>
        <v>8.487430680000001</v>
      </c>
      <c r="P85" s="346">
        <f t="shared" si="10"/>
        <v>29.706007380000003</v>
      </c>
    </row>
    <row r="86" spans="1:16">
      <c r="A86" s="343">
        <v>84</v>
      </c>
      <c r="B86" s="344" t="s">
        <v>728</v>
      </c>
      <c r="C86" s="388" t="s">
        <v>173</v>
      </c>
      <c r="D86" s="254">
        <v>1003110538607</v>
      </c>
      <c r="E86" s="280">
        <v>5592895</v>
      </c>
      <c r="F86" s="350">
        <v>647.34</v>
      </c>
      <c r="G86" s="346">
        <f t="shared" si="12"/>
        <v>47.773692000000004</v>
      </c>
      <c r="H86" s="350">
        <v>69.56</v>
      </c>
      <c r="I86" s="348">
        <f t="shared" si="13"/>
        <v>530.00630799999999</v>
      </c>
      <c r="J86" s="358" t="s">
        <v>13</v>
      </c>
      <c r="K86" s="350" t="s">
        <v>17</v>
      </c>
      <c r="L86" s="348">
        <f t="shared" si="11"/>
        <v>79.500946200000001</v>
      </c>
      <c r="M86" s="348">
        <f t="shared" si="7"/>
        <v>21.200252320000001</v>
      </c>
      <c r="N86" s="349">
        <f t="shared" si="8"/>
        <v>10.60012616</v>
      </c>
      <c r="O86" s="349">
        <f t="shared" si="9"/>
        <v>10.60012616</v>
      </c>
      <c r="P86" s="346">
        <f t="shared" si="10"/>
        <v>37.100441559999993</v>
      </c>
    </row>
    <row r="87" spans="1:16">
      <c r="A87" s="343">
        <v>85</v>
      </c>
      <c r="B87" s="344" t="s">
        <v>729</v>
      </c>
      <c r="C87" s="388" t="s">
        <v>35</v>
      </c>
      <c r="D87" s="254">
        <v>2614329</v>
      </c>
      <c r="E87" s="280" t="s">
        <v>730</v>
      </c>
      <c r="F87" s="350">
        <v>800.82</v>
      </c>
      <c r="G87" s="346">
        <f t="shared" si="12"/>
        <v>59.100516000000006</v>
      </c>
      <c r="H87" s="350">
        <v>68.03</v>
      </c>
      <c r="I87" s="348">
        <f t="shared" si="13"/>
        <v>673.68948400000011</v>
      </c>
      <c r="J87" s="358" t="s">
        <v>16</v>
      </c>
      <c r="K87" s="350" t="s">
        <v>17</v>
      </c>
      <c r="L87" s="348">
        <f t="shared" si="11"/>
        <v>101.05342260000002</v>
      </c>
      <c r="M87" s="348">
        <f t="shared" si="7"/>
        <v>26.947579360000006</v>
      </c>
      <c r="N87" s="349">
        <f t="shared" si="8"/>
        <v>13.473789680000003</v>
      </c>
      <c r="O87" s="349">
        <f t="shared" si="9"/>
        <v>13.473789680000003</v>
      </c>
      <c r="P87" s="346">
        <f t="shared" si="10"/>
        <v>47.158263880000007</v>
      </c>
    </row>
    <row r="88" spans="1:16">
      <c r="A88" s="343">
        <v>86</v>
      </c>
      <c r="B88" s="344" t="s">
        <v>731</v>
      </c>
      <c r="C88" s="388" t="s">
        <v>173</v>
      </c>
      <c r="D88" s="254">
        <v>1003110545716</v>
      </c>
      <c r="E88" s="280">
        <v>5596207</v>
      </c>
      <c r="F88" s="350">
        <v>660.49</v>
      </c>
      <c r="G88" s="346">
        <f t="shared" si="12"/>
        <v>48.744162000000003</v>
      </c>
      <c r="H88" s="350">
        <v>70.97</v>
      </c>
      <c r="I88" s="348">
        <f t="shared" si="13"/>
        <v>540.77583800000002</v>
      </c>
      <c r="J88" s="358" t="s">
        <v>13</v>
      </c>
      <c r="K88" s="350" t="s">
        <v>17</v>
      </c>
      <c r="L88" s="348">
        <f t="shared" si="11"/>
        <v>81.116375700000006</v>
      </c>
      <c r="M88" s="348">
        <f t="shared" si="7"/>
        <v>21.631033520000003</v>
      </c>
      <c r="N88" s="349">
        <f t="shared" si="8"/>
        <v>10.815516760000001</v>
      </c>
      <c r="O88" s="349">
        <f t="shared" si="9"/>
        <v>10.815516760000001</v>
      </c>
      <c r="P88" s="346">
        <f t="shared" si="10"/>
        <v>37.854308660000001</v>
      </c>
    </row>
    <row r="89" spans="1:16">
      <c r="A89" s="343">
        <v>87</v>
      </c>
      <c r="B89" s="339" t="s">
        <v>732</v>
      </c>
      <c r="C89" s="327" t="s">
        <v>234</v>
      </c>
      <c r="D89" s="400">
        <v>1003110551079</v>
      </c>
      <c r="E89" s="401">
        <v>5595641</v>
      </c>
      <c r="F89" s="294">
        <v>540.36</v>
      </c>
      <c r="G89" s="294">
        <f t="shared" si="12"/>
        <v>39.878568000000001</v>
      </c>
      <c r="H89" s="294">
        <v>66.650000000000006</v>
      </c>
      <c r="I89" s="293">
        <f t="shared" si="13"/>
        <v>433.83143200000006</v>
      </c>
      <c r="J89" s="329" t="s">
        <v>13</v>
      </c>
      <c r="K89" s="294" t="s">
        <v>733</v>
      </c>
      <c r="L89" s="293">
        <f t="shared" si="11"/>
        <v>65.07471480000001</v>
      </c>
      <c r="M89" s="293">
        <f t="shared" si="7"/>
        <v>17.353257280000005</v>
      </c>
      <c r="N89" s="296">
        <f t="shared" si="8"/>
        <v>8.6766286400000023</v>
      </c>
      <c r="O89" s="296">
        <f t="shared" si="9"/>
        <v>8.6766286400000023</v>
      </c>
      <c r="P89" s="294">
        <f t="shared" si="10"/>
        <v>30.368200239999993</v>
      </c>
    </row>
    <row r="90" spans="1:16">
      <c r="A90" s="343">
        <v>88</v>
      </c>
      <c r="B90" s="339" t="s">
        <v>734</v>
      </c>
      <c r="C90" s="327" t="s">
        <v>229</v>
      </c>
      <c r="D90" s="400">
        <v>1003110544630</v>
      </c>
      <c r="E90" s="401">
        <v>5577346</v>
      </c>
      <c r="F90" s="294">
        <v>1123.26</v>
      </c>
      <c r="G90" s="294">
        <f t="shared" si="12"/>
        <v>82.896588000000008</v>
      </c>
      <c r="H90" s="294">
        <v>117.41</v>
      </c>
      <c r="I90" s="293">
        <f t="shared" si="13"/>
        <v>922.95341199999996</v>
      </c>
      <c r="J90" s="329" t="s">
        <v>13</v>
      </c>
      <c r="K90" s="294" t="s">
        <v>14</v>
      </c>
      <c r="L90" s="293">
        <f t="shared" si="11"/>
        <v>138.44301179999999</v>
      </c>
      <c r="M90" s="293">
        <f t="shared" si="7"/>
        <v>36.918136480000001</v>
      </c>
      <c r="N90" s="296">
        <f t="shared" si="8"/>
        <v>18.459068240000001</v>
      </c>
      <c r="O90" s="296">
        <f t="shared" si="9"/>
        <v>18.459068240000001</v>
      </c>
      <c r="P90" s="294">
        <f t="shared" si="10"/>
        <v>64.606738839999991</v>
      </c>
    </row>
    <row r="91" spans="1:16">
      <c r="A91" s="343">
        <v>89</v>
      </c>
      <c r="B91" s="344" t="s">
        <v>735</v>
      </c>
      <c r="C91" s="388" t="s">
        <v>163</v>
      </c>
      <c r="D91" s="254">
        <v>2025822461</v>
      </c>
      <c r="E91" s="280">
        <v>5596386</v>
      </c>
      <c r="F91" s="350">
        <v>494.36</v>
      </c>
      <c r="G91" s="346">
        <f t="shared" si="12"/>
        <v>36.483768000000005</v>
      </c>
      <c r="H91" s="350">
        <v>123.59</v>
      </c>
      <c r="I91" s="348">
        <f t="shared" si="13"/>
        <v>334.28623200000004</v>
      </c>
      <c r="J91" s="358" t="s">
        <v>13</v>
      </c>
      <c r="K91" s="350" t="s">
        <v>14</v>
      </c>
      <c r="L91" s="348">
        <f t="shared" si="11"/>
        <v>50.142934800000006</v>
      </c>
      <c r="M91" s="348">
        <f t="shared" si="7"/>
        <v>13.371449280000002</v>
      </c>
      <c r="N91" s="349">
        <f t="shared" si="8"/>
        <v>6.685724640000001</v>
      </c>
      <c r="O91" s="349">
        <f t="shared" si="9"/>
        <v>6.685724640000001</v>
      </c>
      <c r="P91" s="346">
        <f t="shared" si="10"/>
        <v>23.400036240000006</v>
      </c>
    </row>
    <row r="92" spans="1:16">
      <c r="A92" s="343">
        <v>90</v>
      </c>
      <c r="B92" s="344" t="s">
        <v>736</v>
      </c>
      <c r="C92" s="388" t="s">
        <v>168</v>
      </c>
      <c r="D92" s="254">
        <v>2615767</v>
      </c>
      <c r="E92" s="280">
        <v>5596747</v>
      </c>
      <c r="F92" s="350">
        <v>518.21</v>
      </c>
      <c r="G92" s="346">
        <f t="shared" si="12"/>
        <v>38.243898000000002</v>
      </c>
      <c r="H92" s="350">
        <v>54.55</v>
      </c>
      <c r="I92" s="348">
        <f t="shared" si="13"/>
        <v>425.41610200000002</v>
      </c>
      <c r="J92" s="358" t="s">
        <v>16</v>
      </c>
      <c r="K92" s="350" t="s">
        <v>164</v>
      </c>
      <c r="L92" s="348">
        <f t="shared" si="11"/>
        <v>63.812415299999998</v>
      </c>
      <c r="M92" s="348">
        <f t="shared" si="7"/>
        <v>17.016644080000003</v>
      </c>
      <c r="N92" s="349">
        <f t="shared" si="8"/>
        <v>8.5083220400000013</v>
      </c>
      <c r="O92" s="349">
        <f t="shared" si="9"/>
        <v>8.5083220400000013</v>
      </c>
      <c r="P92" s="346">
        <f t="shared" si="10"/>
        <v>29.779127139999986</v>
      </c>
    </row>
    <row r="93" spans="1:16">
      <c r="A93" s="343">
        <v>91</v>
      </c>
      <c r="B93" s="344" t="s">
        <v>737</v>
      </c>
      <c r="C93" s="388" t="s">
        <v>234</v>
      </c>
      <c r="D93" s="254">
        <v>1003110547995</v>
      </c>
      <c r="E93" s="280">
        <v>5598767</v>
      </c>
      <c r="F93" s="350">
        <v>634.44000000000005</v>
      </c>
      <c r="G93" s="346">
        <f t="shared" si="12"/>
        <v>46.821672000000007</v>
      </c>
      <c r="H93" s="350">
        <v>167.59</v>
      </c>
      <c r="I93" s="348">
        <f t="shared" si="13"/>
        <v>420.02832799999999</v>
      </c>
      <c r="J93" s="358" t="s">
        <v>13</v>
      </c>
      <c r="K93" s="350" t="s">
        <v>14</v>
      </c>
      <c r="L93" s="348">
        <f t="shared" si="11"/>
        <v>63.004249199999997</v>
      </c>
      <c r="M93" s="348">
        <f t="shared" si="7"/>
        <v>16.801133119999999</v>
      </c>
      <c r="N93" s="349">
        <f t="shared" si="8"/>
        <v>8.4005665599999997</v>
      </c>
      <c r="O93" s="349">
        <f t="shared" si="9"/>
        <v>8.4005665599999997</v>
      </c>
      <c r="P93" s="346">
        <f t="shared" si="10"/>
        <v>29.401982959999998</v>
      </c>
    </row>
    <row r="94" spans="1:16">
      <c r="A94" s="343">
        <v>92</v>
      </c>
      <c r="B94" s="344" t="s">
        <v>738</v>
      </c>
      <c r="C94" s="388" t="s">
        <v>70</v>
      </c>
      <c r="D94" s="254">
        <v>51772025523110</v>
      </c>
      <c r="E94" s="280">
        <v>5598643</v>
      </c>
      <c r="F94" s="350">
        <v>436.71</v>
      </c>
      <c r="G94" s="346">
        <f t="shared" si="12"/>
        <v>32.229198000000004</v>
      </c>
      <c r="H94" s="350">
        <v>56.87</v>
      </c>
      <c r="I94" s="348">
        <f t="shared" si="13"/>
        <v>347.61080199999998</v>
      </c>
      <c r="J94" s="358" t="s">
        <v>16</v>
      </c>
      <c r="K94" s="350" t="s">
        <v>14</v>
      </c>
      <c r="L94" s="348">
        <f t="shared" si="11"/>
        <v>52.141620299999992</v>
      </c>
      <c r="M94" s="348">
        <f t="shared" si="7"/>
        <v>13.904432079999999</v>
      </c>
      <c r="N94" s="349">
        <f t="shared" si="8"/>
        <v>6.9522160399999997</v>
      </c>
      <c r="O94" s="349">
        <f t="shared" si="9"/>
        <v>6.9522160399999997</v>
      </c>
      <c r="P94" s="346">
        <f t="shared" si="10"/>
        <v>24.332756139999994</v>
      </c>
    </row>
    <row r="95" spans="1:16">
      <c r="A95" s="343">
        <v>93</v>
      </c>
      <c r="B95" s="363" t="s">
        <v>739</v>
      </c>
      <c r="C95" s="388" t="s">
        <v>163</v>
      </c>
      <c r="D95" s="254">
        <v>1003110550535</v>
      </c>
      <c r="E95" s="280">
        <v>5600897</v>
      </c>
      <c r="F95" s="350">
        <v>532.29999999999995</v>
      </c>
      <c r="G95" s="346">
        <f t="shared" si="12"/>
        <v>39.283740000000002</v>
      </c>
      <c r="H95" s="350">
        <v>57.2</v>
      </c>
      <c r="I95" s="348">
        <f t="shared" si="13"/>
        <v>435.81625999999994</v>
      </c>
      <c r="J95" s="358" t="s">
        <v>13</v>
      </c>
      <c r="K95" s="350" t="s">
        <v>216</v>
      </c>
      <c r="L95" s="348">
        <f t="shared" si="11"/>
        <v>65.372438999999986</v>
      </c>
      <c r="M95" s="348">
        <f t="shared" si="7"/>
        <v>17.432650399999996</v>
      </c>
      <c r="N95" s="349">
        <f t="shared" si="8"/>
        <v>8.7163251999999982</v>
      </c>
      <c r="O95" s="349">
        <f t="shared" si="9"/>
        <v>8.7163251999999982</v>
      </c>
      <c r="P95" s="346">
        <f t="shared" si="10"/>
        <v>30.507138199999986</v>
      </c>
    </row>
    <row r="96" spans="1:16">
      <c r="A96" s="343">
        <v>94</v>
      </c>
      <c r="B96" s="344" t="s">
        <v>617</v>
      </c>
      <c r="C96" s="388" t="s">
        <v>35</v>
      </c>
      <c r="D96" s="254">
        <v>1003110553054</v>
      </c>
      <c r="E96" s="280">
        <v>5602708</v>
      </c>
      <c r="F96" s="350">
        <v>706.32</v>
      </c>
      <c r="G96" s="346">
        <f t="shared" si="12"/>
        <v>52.126416000000006</v>
      </c>
      <c r="H96" s="350">
        <v>235.44</v>
      </c>
      <c r="I96" s="348">
        <f t="shared" si="13"/>
        <v>418.7535840000001</v>
      </c>
      <c r="J96" s="358" t="s">
        <v>13</v>
      </c>
      <c r="K96" s="350" t="s">
        <v>17</v>
      </c>
      <c r="L96" s="348">
        <f t="shared" si="11"/>
        <v>62.813037600000015</v>
      </c>
      <c r="M96" s="348">
        <f t="shared" si="7"/>
        <v>16.750143360000003</v>
      </c>
      <c r="N96" s="349">
        <f t="shared" si="8"/>
        <v>8.3750716800000014</v>
      </c>
      <c r="O96" s="349">
        <f t="shared" si="9"/>
        <v>8.3750716800000014</v>
      </c>
      <c r="P96" s="346">
        <f t="shared" si="10"/>
        <v>29.312750880000014</v>
      </c>
    </row>
    <row r="97" spans="1:16">
      <c r="A97" s="343">
        <v>95</v>
      </c>
      <c r="B97" s="344" t="s">
        <v>740</v>
      </c>
      <c r="C97" s="388" t="s">
        <v>163</v>
      </c>
      <c r="D97" s="254">
        <v>2619762</v>
      </c>
      <c r="E97" s="280">
        <v>5602570</v>
      </c>
      <c r="F97" s="350">
        <v>706.59</v>
      </c>
      <c r="G97" s="346">
        <f t="shared" si="12"/>
        <v>52.146342000000004</v>
      </c>
      <c r="H97" s="350">
        <v>87.41</v>
      </c>
      <c r="I97" s="348">
        <f t="shared" si="13"/>
        <v>567.03365800000006</v>
      </c>
      <c r="J97" s="358" t="s">
        <v>13</v>
      </c>
      <c r="K97" s="350" t="s">
        <v>14</v>
      </c>
      <c r="L97" s="348">
        <f t="shared" si="11"/>
        <v>85.0550487</v>
      </c>
      <c r="M97" s="348">
        <f t="shared" si="7"/>
        <v>22.681346320000003</v>
      </c>
      <c r="N97" s="349">
        <f t="shared" si="8"/>
        <v>11.340673160000001</v>
      </c>
      <c r="O97" s="349">
        <f t="shared" si="9"/>
        <v>11.340673160000001</v>
      </c>
      <c r="P97" s="346">
        <f t="shared" si="10"/>
        <v>39.692356059999994</v>
      </c>
    </row>
    <row r="98" spans="1:16">
      <c r="A98" s="343">
        <v>96</v>
      </c>
      <c r="B98" s="344" t="s">
        <v>741</v>
      </c>
      <c r="C98" s="388" t="s">
        <v>229</v>
      </c>
      <c r="D98" s="254">
        <v>1003110551617</v>
      </c>
      <c r="E98" s="280">
        <v>5602320</v>
      </c>
      <c r="F98" s="350">
        <v>970.95</v>
      </c>
      <c r="G98" s="346">
        <f t="shared" si="12"/>
        <v>71.656110000000012</v>
      </c>
      <c r="H98" s="350">
        <v>256.48</v>
      </c>
      <c r="I98" s="348">
        <f t="shared" si="13"/>
        <v>642.81389000000001</v>
      </c>
      <c r="J98" s="358" t="s">
        <v>13</v>
      </c>
      <c r="K98" s="350" t="s">
        <v>182</v>
      </c>
      <c r="L98" s="348">
        <f t="shared" si="11"/>
        <v>96.422083499999999</v>
      </c>
      <c r="M98" s="348">
        <f t="shared" si="7"/>
        <v>25.712555600000002</v>
      </c>
      <c r="N98" s="349">
        <f t="shared" si="8"/>
        <v>12.856277800000001</v>
      </c>
      <c r="O98" s="349">
        <f t="shared" si="9"/>
        <v>12.856277800000001</v>
      </c>
      <c r="P98" s="346">
        <f t="shared" si="10"/>
        <v>44.996972299999996</v>
      </c>
    </row>
    <row r="99" spans="1:16">
      <c r="A99" s="343">
        <v>97</v>
      </c>
      <c r="B99" s="344" t="s">
        <v>742</v>
      </c>
      <c r="C99" s="388" t="s">
        <v>70</v>
      </c>
      <c r="D99" s="254">
        <v>2617395</v>
      </c>
      <c r="E99" s="280">
        <v>5601953</v>
      </c>
      <c r="F99" s="350">
        <v>599.76</v>
      </c>
      <c r="G99" s="346">
        <f t="shared" si="12"/>
        <v>44.262288000000005</v>
      </c>
      <c r="H99" s="350">
        <v>52.61</v>
      </c>
      <c r="I99" s="348">
        <f t="shared" si="13"/>
        <v>502.88771199999996</v>
      </c>
      <c r="J99" s="358" t="s">
        <v>16</v>
      </c>
      <c r="K99" s="350" t="s">
        <v>164</v>
      </c>
      <c r="L99" s="348">
        <f t="shared" si="11"/>
        <v>75.433156799999992</v>
      </c>
      <c r="M99" s="348">
        <f t="shared" si="7"/>
        <v>20.115508479999999</v>
      </c>
      <c r="N99" s="349">
        <f t="shared" si="8"/>
        <v>10.05775424</v>
      </c>
      <c r="O99" s="349">
        <f t="shared" si="9"/>
        <v>10.05775424</v>
      </c>
      <c r="P99" s="346">
        <f t="shared" si="10"/>
        <v>35.202139839999987</v>
      </c>
    </row>
    <row r="100" spans="1:16">
      <c r="A100" s="343">
        <v>98</v>
      </c>
      <c r="B100" s="339" t="s">
        <v>743</v>
      </c>
      <c r="C100" s="327" t="s">
        <v>12</v>
      </c>
      <c r="D100" s="400">
        <v>1003110560022</v>
      </c>
      <c r="E100" s="401">
        <v>5603522</v>
      </c>
      <c r="F100" s="294">
        <v>648.98</v>
      </c>
      <c r="G100" s="294">
        <f t="shared" si="12"/>
        <v>47.894724000000004</v>
      </c>
      <c r="H100" s="294">
        <v>69.739999999999995</v>
      </c>
      <c r="I100" s="293">
        <f t="shared" si="13"/>
        <v>531.34527600000001</v>
      </c>
      <c r="J100" s="329" t="s">
        <v>16</v>
      </c>
      <c r="K100" s="294" t="s">
        <v>166</v>
      </c>
      <c r="L100" s="293">
        <f t="shared" si="11"/>
        <v>79.701791400000005</v>
      </c>
      <c r="M100" s="293">
        <f t="shared" si="7"/>
        <v>21.253811040000002</v>
      </c>
      <c r="N100" s="296">
        <f t="shared" si="8"/>
        <v>10.626905520000001</v>
      </c>
      <c r="O100" s="296">
        <f t="shared" si="9"/>
        <v>10.626905520000001</v>
      </c>
      <c r="P100" s="294">
        <f t="shared" si="10"/>
        <v>37.19416932</v>
      </c>
    </row>
    <row r="101" spans="1:16">
      <c r="A101" s="343">
        <v>99</v>
      </c>
      <c r="B101" s="344" t="s">
        <v>744</v>
      </c>
      <c r="C101" s="388" t="s">
        <v>70</v>
      </c>
      <c r="D101" s="254">
        <v>355205205</v>
      </c>
      <c r="E101" s="280">
        <v>5560577</v>
      </c>
      <c r="F101" s="350">
        <v>643.49</v>
      </c>
      <c r="G101" s="346">
        <f t="shared" si="12"/>
        <v>47.489562000000006</v>
      </c>
      <c r="H101" s="350">
        <v>157.41</v>
      </c>
      <c r="I101" s="348">
        <f t="shared" si="13"/>
        <v>438.59043800000006</v>
      </c>
      <c r="J101" s="358" t="s">
        <v>13</v>
      </c>
      <c r="K101" s="350" t="s">
        <v>14</v>
      </c>
      <c r="L101" s="348">
        <f t="shared" si="11"/>
        <v>65.788565700000007</v>
      </c>
      <c r="M101" s="348">
        <f t="shared" si="7"/>
        <v>17.543617520000002</v>
      </c>
      <c r="N101" s="349">
        <f t="shared" si="8"/>
        <v>8.7718087600000008</v>
      </c>
      <c r="O101" s="349">
        <f t="shared" si="9"/>
        <v>8.7718087600000008</v>
      </c>
      <c r="P101" s="346">
        <f t="shared" si="10"/>
        <v>30.701330660000011</v>
      </c>
    </row>
    <row r="102" spans="1:16">
      <c r="A102" s="343">
        <v>100</v>
      </c>
      <c r="B102" s="339" t="s">
        <v>745</v>
      </c>
      <c r="C102" s="327" t="s">
        <v>31</v>
      </c>
      <c r="D102" s="400">
        <v>1003110554392</v>
      </c>
      <c r="E102" s="401">
        <v>5593090</v>
      </c>
      <c r="F102" s="294">
        <v>570.70000000000005</v>
      </c>
      <c r="G102" s="294">
        <f t="shared" si="12"/>
        <v>42.117660000000008</v>
      </c>
      <c r="H102" s="294">
        <v>70.39</v>
      </c>
      <c r="I102" s="293">
        <f t="shared" si="13"/>
        <v>458.19234000000006</v>
      </c>
      <c r="J102" s="329" t="s">
        <v>13</v>
      </c>
      <c r="K102" s="294" t="s">
        <v>33</v>
      </c>
      <c r="L102" s="293">
        <f t="shared" si="11"/>
        <v>68.728851000000006</v>
      </c>
      <c r="M102" s="293">
        <f t="shared" si="7"/>
        <v>18.327693600000003</v>
      </c>
      <c r="N102" s="296">
        <f t="shared" si="8"/>
        <v>9.1638468000000017</v>
      </c>
      <c r="O102" s="296">
        <f t="shared" si="9"/>
        <v>9.1638468000000017</v>
      </c>
      <c r="P102" s="294">
        <f t="shared" si="10"/>
        <v>32.073463799999999</v>
      </c>
    </row>
    <row r="103" spans="1:16">
      <c r="A103" s="343">
        <v>101</v>
      </c>
      <c r="B103" s="344" t="s">
        <v>746</v>
      </c>
      <c r="C103" s="388" t="s">
        <v>173</v>
      </c>
      <c r="D103" s="254">
        <v>1003110556333</v>
      </c>
      <c r="E103" s="280">
        <v>5604147</v>
      </c>
      <c r="F103" s="350">
        <v>646.96</v>
      </c>
      <c r="G103" s="346">
        <f t="shared" si="12"/>
        <v>47.745648000000003</v>
      </c>
      <c r="H103" s="350">
        <v>79.8</v>
      </c>
      <c r="I103" s="348">
        <f t="shared" si="13"/>
        <v>519.41435200000012</v>
      </c>
      <c r="J103" s="358" t="s">
        <v>16</v>
      </c>
      <c r="K103" s="350" t="s">
        <v>17</v>
      </c>
      <c r="L103" s="348">
        <f t="shared" si="11"/>
        <v>77.912152800000015</v>
      </c>
      <c r="M103" s="348">
        <f t="shared" si="7"/>
        <v>20.776574080000007</v>
      </c>
      <c r="N103" s="349">
        <f t="shared" si="8"/>
        <v>10.388287040000003</v>
      </c>
      <c r="O103" s="349">
        <f t="shared" si="9"/>
        <v>10.388287040000003</v>
      </c>
      <c r="P103" s="346">
        <f t="shared" si="10"/>
        <v>36.359004640000009</v>
      </c>
    </row>
    <row r="104" spans="1:16">
      <c r="A104" s="343">
        <v>102</v>
      </c>
      <c r="B104" s="344" t="s">
        <v>747</v>
      </c>
      <c r="C104" s="388" t="s">
        <v>12</v>
      </c>
      <c r="D104" s="254">
        <v>10031105555838</v>
      </c>
      <c r="E104" s="280">
        <v>5604021</v>
      </c>
      <c r="F104" s="350">
        <v>620.54</v>
      </c>
      <c r="G104" s="346">
        <f t="shared" si="12"/>
        <v>45.795852000000004</v>
      </c>
      <c r="H104" s="350">
        <v>76.540000000000006</v>
      </c>
      <c r="I104" s="348">
        <f t="shared" si="13"/>
        <v>498.20414799999998</v>
      </c>
      <c r="J104" s="358" t="s">
        <v>13</v>
      </c>
      <c r="K104" s="350" t="s">
        <v>641</v>
      </c>
      <c r="L104" s="348">
        <f t="shared" si="11"/>
        <v>74.730622199999999</v>
      </c>
      <c r="M104" s="348">
        <f t="shared" si="7"/>
        <v>19.928165919999998</v>
      </c>
      <c r="N104" s="349">
        <f t="shared" si="8"/>
        <v>9.9640829599999989</v>
      </c>
      <c r="O104" s="349">
        <f t="shared" si="9"/>
        <v>9.9640829599999989</v>
      </c>
      <c r="P104" s="346">
        <f t="shared" si="10"/>
        <v>34.874290360000003</v>
      </c>
    </row>
    <row r="105" spans="1:16">
      <c r="A105" s="343">
        <v>103</v>
      </c>
      <c r="B105" s="344" t="s">
        <v>748</v>
      </c>
      <c r="C105" s="388" t="s">
        <v>173</v>
      </c>
      <c r="D105" s="254">
        <v>1003110555583</v>
      </c>
      <c r="E105" s="280" t="s">
        <v>749</v>
      </c>
      <c r="F105" s="350">
        <v>504.52</v>
      </c>
      <c r="G105" s="346">
        <f t="shared" si="12"/>
        <v>37.233575999999999</v>
      </c>
      <c r="H105" s="350">
        <v>133.27000000000001</v>
      </c>
      <c r="I105" s="348">
        <f t="shared" si="13"/>
        <v>334.01642400000003</v>
      </c>
      <c r="J105" s="358" t="s">
        <v>13</v>
      </c>
      <c r="K105" s="350" t="s">
        <v>17</v>
      </c>
      <c r="L105" s="348">
        <f t="shared" si="11"/>
        <v>50.1024636</v>
      </c>
      <c r="M105" s="348">
        <f t="shared" si="7"/>
        <v>13.360656960000002</v>
      </c>
      <c r="N105" s="349">
        <f t="shared" si="8"/>
        <v>6.6803284800000009</v>
      </c>
      <c r="O105" s="349">
        <f t="shared" si="9"/>
        <v>6.6803284800000009</v>
      </c>
      <c r="P105" s="346">
        <f t="shared" si="10"/>
        <v>23.38114968</v>
      </c>
    </row>
    <row r="106" spans="1:16">
      <c r="A106" s="343">
        <v>104</v>
      </c>
      <c r="B106" s="344" t="s">
        <v>750</v>
      </c>
      <c r="C106" s="388" t="s">
        <v>35</v>
      </c>
      <c r="D106" s="254">
        <v>1003110558164</v>
      </c>
      <c r="E106" s="280" t="s">
        <v>751</v>
      </c>
      <c r="F106" s="350">
        <v>537.28</v>
      </c>
      <c r="G106" s="346">
        <f t="shared" si="12"/>
        <v>39.651263999999998</v>
      </c>
      <c r="H106" s="350">
        <v>0</v>
      </c>
      <c r="I106" s="348">
        <f t="shared" si="13"/>
        <v>497.628736</v>
      </c>
      <c r="J106" s="358" t="s">
        <v>13</v>
      </c>
      <c r="K106" s="350" t="s">
        <v>17</v>
      </c>
      <c r="L106" s="348">
        <f t="shared" si="11"/>
        <v>74.644310399999995</v>
      </c>
      <c r="M106" s="348">
        <f t="shared" si="7"/>
        <v>19.905149439999999</v>
      </c>
      <c r="N106" s="349">
        <f t="shared" si="8"/>
        <v>9.9525747199999994</v>
      </c>
      <c r="O106" s="349">
        <f t="shared" si="9"/>
        <v>9.9525747199999994</v>
      </c>
      <c r="P106" s="346">
        <f t="shared" si="10"/>
        <v>34.83401151999999</v>
      </c>
    </row>
    <row r="107" spans="1:16">
      <c r="A107" s="343">
        <v>105</v>
      </c>
      <c r="B107" s="344" t="s">
        <v>752</v>
      </c>
      <c r="C107" s="388" t="s">
        <v>163</v>
      </c>
      <c r="D107" s="254">
        <v>1003110554657</v>
      </c>
      <c r="E107" s="280" t="s">
        <v>753</v>
      </c>
      <c r="F107" s="350">
        <v>449.47</v>
      </c>
      <c r="G107" s="346">
        <f t="shared" si="12"/>
        <v>33.170886000000003</v>
      </c>
      <c r="H107" s="350">
        <v>48.01</v>
      </c>
      <c r="I107" s="348">
        <f t="shared" si="13"/>
        <v>368.28911400000004</v>
      </c>
      <c r="J107" s="358" t="s">
        <v>13</v>
      </c>
      <c r="K107" s="350" t="s">
        <v>14</v>
      </c>
      <c r="L107" s="348">
        <f t="shared" si="11"/>
        <v>55.243367100000007</v>
      </c>
      <c r="M107" s="348">
        <f t="shared" si="7"/>
        <v>14.731564560000002</v>
      </c>
      <c r="N107" s="349">
        <f t="shared" si="8"/>
        <v>7.3657822800000012</v>
      </c>
      <c r="O107" s="349">
        <f t="shared" si="9"/>
        <v>7.3657822800000012</v>
      </c>
      <c r="P107" s="346">
        <f t="shared" si="10"/>
        <v>25.780237979999999</v>
      </c>
    </row>
    <row r="108" spans="1:16">
      <c r="A108" s="343">
        <v>106</v>
      </c>
      <c r="B108" s="344" t="s">
        <v>754</v>
      </c>
      <c r="C108" s="388" t="s">
        <v>173</v>
      </c>
      <c r="D108" s="254">
        <v>10031106563916</v>
      </c>
      <c r="E108" s="280">
        <v>5608736</v>
      </c>
      <c r="F108" s="350">
        <v>657.51</v>
      </c>
      <c r="G108" s="346">
        <f t="shared" si="12"/>
        <v>48.524238000000004</v>
      </c>
      <c r="H108" s="350">
        <v>219.17</v>
      </c>
      <c r="I108" s="348">
        <f t="shared" si="13"/>
        <v>389.81576200000006</v>
      </c>
      <c r="J108" s="358" t="s">
        <v>13</v>
      </c>
      <c r="K108" s="350" t="s">
        <v>491</v>
      </c>
      <c r="L108" s="348">
        <f t="shared" si="11"/>
        <v>58.47236430000001</v>
      </c>
      <c r="M108" s="348">
        <f t="shared" si="7"/>
        <v>15.592630480000002</v>
      </c>
      <c r="N108" s="349">
        <f t="shared" si="8"/>
        <v>7.7963152400000011</v>
      </c>
      <c r="O108" s="349">
        <f t="shared" si="9"/>
        <v>7.7963152400000011</v>
      </c>
      <c r="P108" s="346">
        <f t="shared" si="10"/>
        <v>27.287103340000005</v>
      </c>
    </row>
    <row r="109" spans="1:16">
      <c r="A109" s="343">
        <v>107</v>
      </c>
      <c r="B109" s="344" t="s">
        <v>755</v>
      </c>
      <c r="C109" s="388" t="s">
        <v>173</v>
      </c>
      <c r="D109" s="254">
        <v>1003110563527</v>
      </c>
      <c r="E109" s="280">
        <v>5608596</v>
      </c>
      <c r="F109" s="350">
        <v>810.88</v>
      </c>
      <c r="G109" s="346">
        <f t="shared" si="12"/>
        <v>59.842944000000003</v>
      </c>
      <c r="H109" s="350">
        <v>270.3</v>
      </c>
      <c r="I109" s="348">
        <f t="shared" si="13"/>
        <v>480.737056</v>
      </c>
      <c r="J109" s="358" t="s">
        <v>13</v>
      </c>
      <c r="K109" s="350" t="s">
        <v>266</v>
      </c>
      <c r="L109" s="348">
        <f t="shared" si="11"/>
        <v>72.110558400000002</v>
      </c>
      <c r="M109" s="348">
        <f t="shared" si="7"/>
        <v>19.229482239999999</v>
      </c>
      <c r="N109" s="349">
        <f t="shared" si="8"/>
        <v>9.6147411199999997</v>
      </c>
      <c r="O109" s="349">
        <f t="shared" si="9"/>
        <v>9.6147411199999997</v>
      </c>
      <c r="P109" s="346">
        <f t="shared" si="10"/>
        <v>33.65159392000001</v>
      </c>
    </row>
    <row r="110" spans="1:16">
      <c r="A110" s="343">
        <v>108</v>
      </c>
      <c r="B110" s="344" t="s">
        <v>756</v>
      </c>
      <c r="C110" s="388" t="s">
        <v>70</v>
      </c>
      <c r="D110" s="254">
        <v>1003110562903</v>
      </c>
      <c r="E110" s="280">
        <v>5607340</v>
      </c>
      <c r="F110" s="350">
        <v>509.15</v>
      </c>
      <c r="G110" s="346">
        <f t="shared" si="12"/>
        <v>37.575270000000003</v>
      </c>
      <c r="H110" s="350">
        <v>0</v>
      </c>
      <c r="I110" s="348">
        <f t="shared" si="13"/>
        <v>471.57472999999999</v>
      </c>
      <c r="J110" s="358" t="s">
        <v>13</v>
      </c>
      <c r="K110" s="350" t="s">
        <v>49</v>
      </c>
      <c r="L110" s="348">
        <f t="shared" si="11"/>
        <v>70.736209500000001</v>
      </c>
      <c r="M110" s="348">
        <f t="shared" si="7"/>
        <v>18.862989200000001</v>
      </c>
      <c r="N110" s="349">
        <f t="shared" si="8"/>
        <v>9.4314946000000006</v>
      </c>
      <c r="O110" s="349">
        <f t="shared" si="9"/>
        <v>9.4314946000000006</v>
      </c>
      <c r="P110" s="346">
        <f t="shared" si="10"/>
        <v>33.010231099999999</v>
      </c>
    </row>
    <row r="111" spans="1:16">
      <c r="A111" s="343">
        <v>109</v>
      </c>
      <c r="B111" s="407" t="s">
        <v>757</v>
      </c>
      <c r="C111" s="298" t="s">
        <v>163</v>
      </c>
      <c r="D111" s="408">
        <v>1003110564405</v>
      </c>
      <c r="E111" s="409">
        <v>5605712</v>
      </c>
      <c r="F111" s="300">
        <v>509.21</v>
      </c>
      <c r="G111" s="300">
        <f t="shared" si="12"/>
        <v>37.579698</v>
      </c>
      <c r="H111" s="300">
        <v>254.61</v>
      </c>
      <c r="I111" s="301">
        <f t="shared" si="13"/>
        <v>217.02030199999996</v>
      </c>
      <c r="J111" s="302" t="s">
        <v>16</v>
      </c>
      <c r="K111" s="300" t="s">
        <v>14</v>
      </c>
      <c r="L111" s="301">
        <f t="shared" si="11"/>
        <v>32.553045299999994</v>
      </c>
      <c r="M111" s="301">
        <f t="shared" si="7"/>
        <v>8.680812079999999</v>
      </c>
      <c r="N111" s="303">
        <f t="shared" si="8"/>
        <v>4.3404060399999995</v>
      </c>
      <c r="O111" s="303">
        <f t="shared" si="9"/>
        <v>4.3404060399999995</v>
      </c>
      <c r="P111" s="300">
        <f t="shared" si="10"/>
        <v>15.191421139999994</v>
      </c>
    </row>
    <row r="112" spans="1:16">
      <c r="A112" s="343">
        <v>110</v>
      </c>
      <c r="B112" s="344" t="s">
        <v>758</v>
      </c>
      <c r="C112" s="388" t="s">
        <v>12</v>
      </c>
      <c r="D112" s="254">
        <v>1003110561123</v>
      </c>
      <c r="E112" s="280">
        <v>5595598</v>
      </c>
      <c r="F112" s="350">
        <v>766.7</v>
      </c>
      <c r="G112" s="346">
        <f t="shared" si="12"/>
        <v>56.582460000000005</v>
      </c>
      <c r="H112" s="350">
        <v>76.67</v>
      </c>
      <c r="I112" s="348">
        <f t="shared" si="13"/>
        <v>633.44754000000012</v>
      </c>
      <c r="J112" s="358" t="s">
        <v>13</v>
      </c>
      <c r="K112" s="350" t="s">
        <v>17</v>
      </c>
      <c r="L112" s="348">
        <f t="shared" si="11"/>
        <v>95.01713100000002</v>
      </c>
      <c r="M112" s="348">
        <f t="shared" si="7"/>
        <v>25.337901600000006</v>
      </c>
      <c r="N112" s="349">
        <f t="shared" si="8"/>
        <v>12.668950800000003</v>
      </c>
      <c r="O112" s="349">
        <f t="shared" si="9"/>
        <v>12.668950800000003</v>
      </c>
      <c r="P112" s="346">
        <f t="shared" si="10"/>
        <v>44.341327800000002</v>
      </c>
    </row>
    <row r="113" spans="1:16">
      <c r="A113" s="343">
        <v>111</v>
      </c>
      <c r="B113" s="344" t="s">
        <v>759</v>
      </c>
      <c r="C113" s="388" t="s">
        <v>173</v>
      </c>
      <c r="D113" s="254">
        <v>1003110560731</v>
      </c>
      <c r="E113" s="280">
        <v>5606783</v>
      </c>
      <c r="F113" s="350">
        <v>759.12</v>
      </c>
      <c r="G113" s="346">
        <f t="shared" si="12"/>
        <v>56.023056000000004</v>
      </c>
      <c r="H113" s="350">
        <v>63.26</v>
      </c>
      <c r="I113" s="348">
        <f t="shared" si="13"/>
        <v>639.83694400000002</v>
      </c>
      <c r="J113" s="358" t="s">
        <v>13</v>
      </c>
      <c r="K113" s="350" t="s">
        <v>14</v>
      </c>
      <c r="L113" s="348">
        <f t="shared" si="11"/>
        <v>95.9755416</v>
      </c>
      <c r="M113" s="348">
        <f t="shared" si="7"/>
        <v>25.593477760000003</v>
      </c>
      <c r="N113" s="349">
        <f t="shared" si="8"/>
        <v>12.796738880000001</v>
      </c>
      <c r="O113" s="349">
        <f t="shared" si="9"/>
        <v>12.796738880000001</v>
      </c>
      <c r="P113" s="346">
        <f t="shared" si="10"/>
        <v>44.788586080000002</v>
      </c>
    </row>
    <row r="114" spans="1:16">
      <c r="A114" s="343">
        <v>112</v>
      </c>
      <c r="B114" s="344" t="s">
        <v>760</v>
      </c>
      <c r="C114" s="388" t="s">
        <v>35</v>
      </c>
      <c r="D114" s="254">
        <v>35509888</v>
      </c>
      <c r="E114" s="280">
        <v>5606569</v>
      </c>
      <c r="F114" s="350">
        <v>879.84</v>
      </c>
      <c r="G114" s="346">
        <f t="shared" si="12"/>
        <v>64.932192000000001</v>
      </c>
      <c r="H114" s="350">
        <v>439.92</v>
      </c>
      <c r="I114" s="348">
        <f t="shared" si="13"/>
        <v>374.98780800000003</v>
      </c>
      <c r="J114" s="358" t="s">
        <v>13</v>
      </c>
      <c r="K114" s="350" t="s">
        <v>25</v>
      </c>
      <c r="L114" s="348">
        <f t="shared" si="11"/>
        <v>56.248171200000002</v>
      </c>
      <c r="M114" s="348">
        <f t="shared" si="7"/>
        <v>14.999512320000001</v>
      </c>
      <c r="N114" s="349">
        <f t="shared" si="8"/>
        <v>7.4997561600000004</v>
      </c>
      <c r="O114" s="349">
        <f t="shared" si="9"/>
        <v>7.4997561600000004</v>
      </c>
      <c r="P114" s="346">
        <f t="shared" si="10"/>
        <v>26.249146560000003</v>
      </c>
    </row>
    <row r="115" spans="1:16">
      <c r="A115" s="343">
        <v>113</v>
      </c>
      <c r="B115" s="344" t="s">
        <v>761</v>
      </c>
      <c r="C115" s="388" t="s">
        <v>163</v>
      </c>
      <c r="D115" s="254">
        <v>51772025423</v>
      </c>
      <c r="E115" s="280">
        <v>5606094</v>
      </c>
      <c r="F115" s="350">
        <v>568.61</v>
      </c>
      <c r="G115" s="346">
        <f t="shared" si="12"/>
        <v>41.963418000000004</v>
      </c>
      <c r="H115" s="350">
        <v>56.86</v>
      </c>
      <c r="I115" s="348">
        <f t="shared" si="13"/>
        <v>469.78658199999995</v>
      </c>
      <c r="J115" s="358" t="s">
        <v>16</v>
      </c>
      <c r="K115" s="350" t="s">
        <v>211</v>
      </c>
      <c r="L115" s="348">
        <f t="shared" si="11"/>
        <v>70.46798729999999</v>
      </c>
      <c r="M115" s="348">
        <f t="shared" si="7"/>
        <v>18.791463279999999</v>
      </c>
      <c r="N115" s="349">
        <f t="shared" si="8"/>
        <v>9.3957316399999993</v>
      </c>
      <c r="O115" s="349">
        <f t="shared" si="9"/>
        <v>9.3957316399999993</v>
      </c>
      <c r="P115" s="346">
        <f t="shared" si="10"/>
        <v>32.885060739999986</v>
      </c>
    </row>
    <row r="116" spans="1:16">
      <c r="A116" s="343">
        <v>114</v>
      </c>
      <c r="B116" s="344" t="s">
        <v>762</v>
      </c>
      <c r="C116" s="388" t="s">
        <v>163</v>
      </c>
      <c r="D116" s="254">
        <v>1003110561538</v>
      </c>
      <c r="E116" s="280" t="s">
        <v>763</v>
      </c>
      <c r="F116" s="350">
        <v>441.36</v>
      </c>
      <c r="G116" s="346">
        <f t="shared" si="12"/>
        <v>32.572368000000004</v>
      </c>
      <c r="H116" s="350">
        <v>147.12</v>
      </c>
      <c r="I116" s="348">
        <f t="shared" si="13"/>
        <v>261.66763200000003</v>
      </c>
      <c r="J116" s="358" t="s">
        <v>13</v>
      </c>
      <c r="K116" s="350" t="s">
        <v>17</v>
      </c>
      <c r="L116" s="348">
        <f t="shared" si="11"/>
        <v>39.250144800000001</v>
      </c>
      <c r="M116" s="348">
        <f t="shared" si="7"/>
        <v>10.466705280000001</v>
      </c>
      <c r="N116" s="349">
        <f t="shared" si="8"/>
        <v>5.2333526400000006</v>
      </c>
      <c r="O116" s="349">
        <f t="shared" si="9"/>
        <v>5.2333526400000006</v>
      </c>
      <c r="P116" s="346">
        <f t="shared" si="10"/>
        <v>18.316734240000002</v>
      </c>
    </row>
    <row r="117" spans="1:16">
      <c r="A117" s="343">
        <v>115</v>
      </c>
      <c r="B117" s="344" t="s">
        <v>764</v>
      </c>
      <c r="C117" s="388" t="s">
        <v>70</v>
      </c>
      <c r="D117" s="254">
        <v>1003110575714</v>
      </c>
      <c r="E117" s="280" t="s">
        <v>765</v>
      </c>
      <c r="F117" s="350">
        <v>477.85</v>
      </c>
      <c r="G117" s="346">
        <f t="shared" si="12"/>
        <v>35.265330000000006</v>
      </c>
      <c r="H117" s="350">
        <v>52.81</v>
      </c>
      <c r="I117" s="348">
        <f t="shared" si="13"/>
        <v>389.77467000000001</v>
      </c>
      <c r="J117" s="358" t="s">
        <v>13</v>
      </c>
      <c r="K117" s="350" t="s">
        <v>17</v>
      </c>
      <c r="L117" s="348">
        <f t="shared" si="11"/>
        <v>58.466200499999999</v>
      </c>
      <c r="M117" s="348">
        <f t="shared" si="7"/>
        <v>15.590986800000001</v>
      </c>
      <c r="N117" s="349">
        <f t="shared" si="8"/>
        <v>7.7954934000000007</v>
      </c>
      <c r="O117" s="349">
        <f t="shared" si="9"/>
        <v>7.7954934000000007</v>
      </c>
      <c r="P117" s="346">
        <f t="shared" si="10"/>
        <v>27.284226899999997</v>
      </c>
    </row>
    <row r="118" spans="1:16">
      <c r="A118" s="343">
        <v>116</v>
      </c>
      <c r="B118" s="344" t="s">
        <v>766</v>
      </c>
      <c r="C118" s="388" t="s">
        <v>35</v>
      </c>
      <c r="D118" s="254">
        <v>2631223</v>
      </c>
      <c r="E118" s="280">
        <v>5612362</v>
      </c>
      <c r="F118" s="350">
        <v>640.41</v>
      </c>
      <c r="G118" s="346">
        <f t="shared" si="12"/>
        <v>47.262258000000003</v>
      </c>
      <c r="H118" s="350">
        <v>79.22</v>
      </c>
      <c r="I118" s="348">
        <f t="shared" si="13"/>
        <v>513.92774199999997</v>
      </c>
      <c r="J118" s="358" t="s">
        <v>13</v>
      </c>
      <c r="K118" s="350" t="s">
        <v>17</v>
      </c>
      <c r="L118" s="348">
        <f t="shared" si="11"/>
        <v>77.089161299999986</v>
      </c>
      <c r="M118" s="348">
        <f t="shared" si="7"/>
        <v>20.55710968</v>
      </c>
      <c r="N118" s="349">
        <f t="shared" si="8"/>
        <v>10.27855484</v>
      </c>
      <c r="O118" s="349">
        <f t="shared" si="9"/>
        <v>10.27855484</v>
      </c>
      <c r="P118" s="346">
        <f t="shared" si="10"/>
        <v>35.974941939999994</v>
      </c>
    </row>
    <row r="119" spans="1:16">
      <c r="A119" s="343">
        <v>117</v>
      </c>
      <c r="B119" s="344" t="s">
        <v>767</v>
      </c>
      <c r="C119" s="388" t="s">
        <v>35</v>
      </c>
      <c r="D119" s="254">
        <v>712621651</v>
      </c>
      <c r="E119" s="280">
        <v>5539481</v>
      </c>
      <c r="F119" s="350">
        <v>880.97</v>
      </c>
      <c r="G119" s="346">
        <f t="shared" si="12"/>
        <v>65.015585999999999</v>
      </c>
      <c r="H119" s="350">
        <v>77.28</v>
      </c>
      <c r="I119" s="348">
        <f t="shared" si="13"/>
        <v>738.67441400000007</v>
      </c>
      <c r="J119" s="358" t="s">
        <v>16</v>
      </c>
      <c r="K119" s="350" t="s">
        <v>266</v>
      </c>
      <c r="L119" s="348">
        <f t="shared" si="11"/>
        <v>110.80116210000001</v>
      </c>
      <c r="M119" s="348">
        <f t="shared" si="7"/>
        <v>29.546976560000004</v>
      </c>
      <c r="N119" s="349">
        <f t="shared" si="8"/>
        <v>14.773488280000002</v>
      </c>
      <c r="O119" s="349">
        <f t="shared" si="9"/>
        <v>14.773488280000002</v>
      </c>
      <c r="P119" s="346">
        <f t="shared" si="10"/>
        <v>51.707208979999997</v>
      </c>
    </row>
    <row r="120" spans="1:16">
      <c r="A120" s="343">
        <v>118</v>
      </c>
      <c r="B120" s="344" t="s">
        <v>768</v>
      </c>
      <c r="C120" s="388" t="s">
        <v>163</v>
      </c>
      <c r="D120" s="254">
        <v>51772025423</v>
      </c>
      <c r="E120" s="280">
        <v>5610604</v>
      </c>
      <c r="F120" s="350">
        <v>511.87</v>
      </c>
      <c r="G120" s="346">
        <f t="shared" si="12"/>
        <v>37.776006000000002</v>
      </c>
      <c r="H120" s="350">
        <v>63.13</v>
      </c>
      <c r="I120" s="348">
        <f t="shared" si="13"/>
        <v>410.96399400000001</v>
      </c>
      <c r="J120" s="358" t="s">
        <v>13</v>
      </c>
      <c r="K120" s="350" t="s">
        <v>14</v>
      </c>
      <c r="L120" s="348">
        <f t="shared" si="11"/>
        <v>61.644599100000001</v>
      </c>
      <c r="M120" s="348">
        <f t="shared" si="7"/>
        <v>16.43855976</v>
      </c>
      <c r="N120" s="349">
        <f t="shared" si="8"/>
        <v>8.2192798800000002</v>
      </c>
      <c r="O120" s="349">
        <f t="shared" si="9"/>
        <v>8.2192798800000002</v>
      </c>
      <c r="P120" s="346">
        <f t="shared" si="10"/>
        <v>28.76747958</v>
      </c>
    </row>
    <row r="121" spans="1:16">
      <c r="A121" s="343">
        <v>119</v>
      </c>
      <c r="B121" s="344" t="s">
        <v>769</v>
      </c>
      <c r="C121" s="388" t="s">
        <v>770</v>
      </c>
      <c r="D121" s="254">
        <v>100311056877</v>
      </c>
      <c r="E121" s="280">
        <v>5608199</v>
      </c>
      <c r="F121" s="350">
        <v>757.43</v>
      </c>
      <c r="G121" s="346">
        <f t="shared" si="12"/>
        <v>55.898333999999998</v>
      </c>
      <c r="H121" s="350">
        <v>81.39</v>
      </c>
      <c r="I121" s="348">
        <f t="shared" si="13"/>
        <v>620.14166599999999</v>
      </c>
      <c r="J121" s="358" t="s">
        <v>13</v>
      </c>
      <c r="K121" s="350" t="s">
        <v>17</v>
      </c>
      <c r="L121" s="346">
        <f t="shared" si="11"/>
        <v>93.021249900000001</v>
      </c>
      <c r="M121" s="348">
        <f t="shared" si="7"/>
        <v>24.805666639999998</v>
      </c>
      <c r="N121" s="349">
        <f t="shared" si="8"/>
        <v>12.402833319999999</v>
      </c>
      <c r="O121" s="349">
        <f t="shared" si="9"/>
        <v>12.402833319999999</v>
      </c>
      <c r="P121" s="346">
        <f t="shared" si="10"/>
        <v>43.409916620000004</v>
      </c>
    </row>
    <row r="122" spans="1:16">
      <c r="A122" s="343">
        <v>120</v>
      </c>
      <c r="B122" s="344" t="s">
        <v>771</v>
      </c>
      <c r="C122" s="388" t="s">
        <v>35</v>
      </c>
      <c r="D122" s="254">
        <v>712621155</v>
      </c>
      <c r="E122" s="280">
        <v>5610769</v>
      </c>
      <c r="F122" s="350">
        <v>1001.01</v>
      </c>
      <c r="G122" s="346">
        <f t="shared" si="12"/>
        <v>73.874538000000001</v>
      </c>
      <c r="H122" s="350">
        <v>87.81</v>
      </c>
      <c r="I122" s="348">
        <f t="shared" si="13"/>
        <v>839.32546200000002</v>
      </c>
      <c r="J122" s="358" t="s">
        <v>16</v>
      </c>
      <c r="K122" s="350" t="s">
        <v>266</v>
      </c>
      <c r="L122" s="346">
        <f t="shared" si="11"/>
        <v>125.8988193</v>
      </c>
      <c r="M122" s="348">
        <f t="shared" si="7"/>
        <v>33.573018480000002</v>
      </c>
      <c r="N122" s="349">
        <f t="shared" si="8"/>
        <v>16.786509240000001</v>
      </c>
      <c r="O122" s="349">
        <f t="shared" si="9"/>
        <v>16.786509240000001</v>
      </c>
      <c r="P122" s="346">
        <f t="shared" si="10"/>
        <v>58.752782339999996</v>
      </c>
    </row>
    <row r="123" spans="1:16">
      <c r="A123" s="343">
        <v>121</v>
      </c>
      <c r="B123" s="344" t="s">
        <v>772</v>
      </c>
      <c r="C123" s="388" t="s">
        <v>35</v>
      </c>
      <c r="D123" s="254">
        <v>1003110565746</v>
      </c>
      <c r="E123" s="280">
        <v>5609997</v>
      </c>
      <c r="F123" s="350">
        <v>766.21</v>
      </c>
      <c r="G123" s="346">
        <f t="shared" si="12"/>
        <v>56.546298000000007</v>
      </c>
      <c r="H123" s="350">
        <v>82.33</v>
      </c>
      <c r="I123" s="348">
        <f t="shared" si="13"/>
        <v>627.33370200000002</v>
      </c>
      <c r="J123" s="358" t="s">
        <v>13</v>
      </c>
      <c r="K123" s="350" t="s">
        <v>49</v>
      </c>
      <c r="L123" s="346">
        <f t="shared" si="11"/>
        <v>94.100055299999994</v>
      </c>
      <c r="M123" s="348">
        <f t="shared" si="7"/>
        <v>25.093348080000002</v>
      </c>
      <c r="N123" s="349">
        <f t="shared" si="8"/>
        <v>12.546674040000001</v>
      </c>
      <c r="O123" s="349">
        <f t="shared" si="9"/>
        <v>12.546674040000001</v>
      </c>
      <c r="P123" s="346">
        <f t="shared" si="10"/>
        <v>43.913359139999997</v>
      </c>
    </row>
    <row r="124" spans="1:16">
      <c r="A124" s="343">
        <v>122</v>
      </c>
      <c r="B124" s="344" t="s">
        <v>773</v>
      </c>
      <c r="C124" s="388" t="s">
        <v>466</v>
      </c>
      <c r="D124" s="254">
        <v>51772025423</v>
      </c>
      <c r="E124" s="280">
        <v>5607215</v>
      </c>
      <c r="F124" s="350">
        <v>615.05999999999995</v>
      </c>
      <c r="G124" s="346">
        <f t="shared" si="12"/>
        <v>45.391427999999998</v>
      </c>
      <c r="H124" s="350">
        <v>76.88</v>
      </c>
      <c r="I124" s="348">
        <f t="shared" si="13"/>
        <v>492.78857199999993</v>
      </c>
      <c r="J124" s="358" t="s">
        <v>16</v>
      </c>
      <c r="K124" s="350" t="s">
        <v>26</v>
      </c>
      <c r="L124" s="346">
        <f t="shared" si="11"/>
        <v>73.918285799999992</v>
      </c>
      <c r="M124" s="348">
        <f t="shared" si="7"/>
        <v>19.711542879999996</v>
      </c>
      <c r="N124" s="349">
        <f t="shared" si="8"/>
        <v>9.8557714399999981</v>
      </c>
      <c r="O124" s="349">
        <f t="shared" si="9"/>
        <v>9.8557714399999981</v>
      </c>
      <c r="P124" s="346">
        <f t="shared" si="10"/>
        <v>34.49520004</v>
      </c>
    </row>
    <row r="125" spans="1:16">
      <c r="A125" s="343">
        <v>123</v>
      </c>
      <c r="B125" s="344" t="s">
        <v>774</v>
      </c>
      <c r="C125" s="388" t="s">
        <v>234</v>
      </c>
      <c r="D125" s="254">
        <v>1003110571435</v>
      </c>
      <c r="E125" s="280" t="s">
        <v>775</v>
      </c>
      <c r="F125" s="350">
        <v>525.79</v>
      </c>
      <c r="G125" s="346">
        <f t="shared" si="12"/>
        <v>38.803302000000002</v>
      </c>
      <c r="H125" s="350">
        <v>56.44</v>
      </c>
      <c r="I125" s="348">
        <f t="shared" si="13"/>
        <v>430.54669799999994</v>
      </c>
      <c r="J125" s="358" t="s">
        <v>13</v>
      </c>
      <c r="K125" s="350" t="s">
        <v>14</v>
      </c>
      <c r="L125" s="346">
        <f t="shared" si="11"/>
        <v>64.582004699999985</v>
      </c>
      <c r="M125" s="348">
        <f t="shared" si="7"/>
        <v>17.221867919999998</v>
      </c>
      <c r="N125" s="349">
        <f t="shared" si="8"/>
        <v>8.6109339599999988</v>
      </c>
      <c r="O125" s="349">
        <f t="shared" si="9"/>
        <v>8.6109339599999988</v>
      </c>
      <c r="P125" s="346">
        <f t="shared" si="10"/>
        <v>30.138268859999997</v>
      </c>
    </row>
    <row r="126" spans="1:16">
      <c r="A126" s="343">
        <v>124</v>
      </c>
      <c r="B126" s="344" t="s">
        <v>776</v>
      </c>
      <c r="C126" s="388" t="s">
        <v>163</v>
      </c>
      <c r="D126" s="254">
        <v>1003110579495</v>
      </c>
      <c r="E126" s="280">
        <v>5613649</v>
      </c>
      <c r="F126" s="350">
        <v>527.49</v>
      </c>
      <c r="G126" s="346">
        <f t="shared" si="12"/>
        <v>38.928762000000006</v>
      </c>
      <c r="H126" s="350">
        <v>0</v>
      </c>
      <c r="I126" s="348">
        <f t="shared" si="13"/>
        <v>488.561238</v>
      </c>
      <c r="J126" s="358" t="s">
        <v>13</v>
      </c>
      <c r="K126" s="350" t="s">
        <v>26</v>
      </c>
      <c r="L126" s="346">
        <f t="shared" si="11"/>
        <v>73.284185699999995</v>
      </c>
      <c r="M126" s="348">
        <f t="shared" si="7"/>
        <v>19.542449520000002</v>
      </c>
      <c r="N126" s="349">
        <f t="shared" si="8"/>
        <v>9.7712247600000008</v>
      </c>
      <c r="O126" s="349">
        <f t="shared" si="9"/>
        <v>9.7712247600000008</v>
      </c>
      <c r="P126" s="346">
        <f t="shared" si="10"/>
        <v>34.199286659999984</v>
      </c>
    </row>
    <row r="127" spans="1:16">
      <c r="A127" s="343">
        <v>125</v>
      </c>
      <c r="B127" s="344" t="s">
        <v>537</v>
      </c>
      <c r="C127" s="388" t="s">
        <v>229</v>
      </c>
      <c r="D127" s="254">
        <v>71262395956</v>
      </c>
      <c r="E127" s="280">
        <v>5615717</v>
      </c>
      <c r="F127" s="350">
        <v>1380.3</v>
      </c>
      <c r="G127" s="346">
        <f t="shared" si="12"/>
        <v>101.86614</v>
      </c>
      <c r="H127" s="350">
        <v>138.03</v>
      </c>
      <c r="I127" s="348">
        <f t="shared" si="13"/>
        <v>1140.4038599999999</v>
      </c>
      <c r="J127" s="358" t="s">
        <v>16</v>
      </c>
      <c r="K127" s="350" t="s">
        <v>50</v>
      </c>
      <c r="L127" s="346">
        <f t="shared" si="11"/>
        <v>171.06057899999999</v>
      </c>
      <c r="M127" s="348">
        <f t="shared" si="7"/>
        <v>45.616154399999999</v>
      </c>
      <c r="N127" s="349">
        <f t="shared" si="8"/>
        <v>22.8080772</v>
      </c>
      <c r="O127" s="349">
        <f t="shared" si="9"/>
        <v>22.8080772</v>
      </c>
      <c r="P127" s="346">
        <f t="shared" si="10"/>
        <v>79.828270199999992</v>
      </c>
    </row>
    <row r="128" spans="1:16">
      <c r="A128" s="343">
        <v>126</v>
      </c>
      <c r="B128" s="344" t="s">
        <v>777</v>
      </c>
      <c r="C128" s="388" t="s">
        <v>234</v>
      </c>
      <c r="D128" s="254">
        <v>1003110575108</v>
      </c>
      <c r="E128" s="280">
        <v>5615597</v>
      </c>
      <c r="F128" s="350">
        <v>666.49</v>
      </c>
      <c r="G128" s="346">
        <f t="shared" si="12"/>
        <v>49.186962000000001</v>
      </c>
      <c r="H128" s="350">
        <v>71.62</v>
      </c>
      <c r="I128" s="348">
        <f t="shared" si="13"/>
        <v>545.68303800000001</v>
      </c>
      <c r="J128" s="358" t="s">
        <v>13</v>
      </c>
      <c r="K128" s="350" t="s">
        <v>353</v>
      </c>
      <c r="L128" s="346">
        <f t="shared" si="11"/>
        <v>81.852455699999993</v>
      </c>
      <c r="M128" s="348">
        <f t="shared" si="7"/>
        <v>21.827321520000002</v>
      </c>
      <c r="N128" s="349">
        <f t="shared" si="8"/>
        <v>10.913660760000001</v>
      </c>
      <c r="O128" s="349">
        <f t="shared" si="9"/>
        <v>10.913660760000001</v>
      </c>
      <c r="P128" s="346">
        <f t="shared" si="10"/>
        <v>38.197812659999997</v>
      </c>
    </row>
    <row r="129" spans="1:16">
      <c r="A129" s="343">
        <v>127</v>
      </c>
      <c r="B129" s="344" t="s">
        <v>778</v>
      </c>
      <c r="C129" s="388" t="s">
        <v>35</v>
      </c>
      <c r="D129" s="254">
        <v>1003115749876</v>
      </c>
      <c r="E129" s="280">
        <v>5612752</v>
      </c>
      <c r="F129" s="350">
        <v>819.8</v>
      </c>
      <c r="G129" s="346">
        <f t="shared" si="12"/>
        <v>60.501240000000003</v>
      </c>
      <c r="H129" s="350">
        <v>88.09</v>
      </c>
      <c r="I129" s="348">
        <f t="shared" si="13"/>
        <v>671.20875999999987</v>
      </c>
      <c r="J129" s="358" t="s">
        <v>13</v>
      </c>
      <c r="K129" s="350" t="s">
        <v>25</v>
      </c>
      <c r="L129" s="346">
        <f t="shared" si="11"/>
        <v>100.68131399999997</v>
      </c>
      <c r="M129" s="348">
        <f t="shared" si="7"/>
        <v>26.848350399999994</v>
      </c>
      <c r="N129" s="349">
        <f t="shared" si="8"/>
        <v>13.424175199999997</v>
      </c>
      <c r="O129" s="349">
        <f t="shared" si="9"/>
        <v>13.424175199999997</v>
      </c>
      <c r="P129" s="346">
        <f t="shared" si="10"/>
        <v>46.984613199999984</v>
      </c>
    </row>
    <row r="130" spans="1:16">
      <c r="A130" s="343">
        <v>128</v>
      </c>
      <c r="B130" s="344" t="s">
        <v>779</v>
      </c>
      <c r="C130" s="444" t="s">
        <v>31</v>
      </c>
      <c r="D130" s="254">
        <v>10031110631383</v>
      </c>
      <c r="E130" s="280">
        <v>5584088</v>
      </c>
      <c r="F130" s="350">
        <v>625.32000000000005</v>
      </c>
      <c r="G130" s="346">
        <f t="shared" si="12"/>
        <v>46.148616000000004</v>
      </c>
      <c r="H130" s="350">
        <v>77.13</v>
      </c>
      <c r="I130" s="348">
        <f t="shared" si="13"/>
        <v>502.04138399999999</v>
      </c>
      <c r="J130" s="358" t="s">
        <v>13</v>
      </c>
      <c r="K130" s="350" t="s">
        <v>26</v>
      </c>
      <c r="L130" s="346">
        <f t="shared" si="11"/>
        <v>75.306207599999993</v>
      </c>
      <c r="M130" s="348">
        <f t="shared" si="7"/>
        <v>20.081655359999999</v>
      </c>
      <c r="N130" s="349">
        <f t="shared" si="8"/>
        <v>10.04082768</v>
      </c>
      <c r="O130" s="349">
        <f t="shared" si="9"/>
        <v>10.04082768</v>
      </c>
      <c r="P130" s="346">
        <f t="shared" si="10"/>
        <v>35.142896879999995</v>
      </c>
    </row>
    <row r="131" spans="1:16">
      <c r="A131" s="343">
        <v>129</v>
      </c>
      <c r="B131" s="344" t="s">
        <v>780</v>
      </c>
      <c r="C131" s="388" t="s">
        <v>173</v>
      </c>
      <c r="D131" s="254">
        <v>712623573</v>
      </c>
      <c r="E131" s="280">
        <v>5580676</v>
      </c>
      <c r="F131" s="350">
        <v>1668.8</v>
      </c>
      <c r="G131" s="346">
        <f t="shared" si="12"/>
        <v>123.15744000000001</v>
      </c>
      <c r="H131" s="350">
        <v>166.88</v>
      </c>
      <c r="I131" s="348">
        <f t="shared" si="13"/>
        <v>1378.7625600000001</v>
      </c>
      <c r="J131" s="358" t="s">
        <v>16</v>
      </c>
      <c r="K131" s="350" t="s">
        <v>17</v>
      </c>
      <c r="L131" s="346">
        <f t="shared" si="11"/>
        <v>206.81438400000002</v>
      </c>
      <c r="M131" s="348">
        <f t="shared" si="7"/>
        <v>55.150502400000008</v>
      </c>
      <c r="N131" s="349">
        <f t="shared" si="8"/>
        <v>27.575251200000004</v>
      </c>
      <c r="O131" s="349">
        <f t="shared" si="9"/>
        <v>27.575251200000004</v>
      </c>
      <c r="P131" s="346">
        <f t="shared" si="10"/>
        <v>96.513379200000031</v>
      </c>
    </row>
    <row r="132" spans="1:16">
      <c r="A132" s="343">
        <v>130</v>
      </c>
      <c r="B132" s="344" t="s">
        <v>781</v>
      </c>
      <c r="C132" s="388" t="s">
        <v>163</v>
      </c>
      <c r="D132" s="254">
        <v>100311574243</v>
      </c>
      <c r="E132" s="280">
        <v>5615076</v>
      </c>
      <c r="F132" s="350">
        <v>506.15</v>
      </c>
      <c r="G132" s="346">
        <f t="shared" si="12"/>
        <v>37.353870000000001</v>
      </c>
      <c r="H132" s="350">
        <v>54.39</v>
      </c>
      <c r="I132" s="348">
        <f t="shared" si="13"/>
        <v>414.40612999999996</v>
      </c>
      <c r="J132" s="358" t="s">
        <v>13</v>
      </c>
      <c r="K132" s="350" t="s">
        <v>17</v>
      </c>
      <c r="L132" s="346">
        <f t="shared" si="11"/>
        <v>62.160919499999991</v>
      </c>
      <c r="M132" s="348">
        <f t="shared" si="7"/>
        <v>16.576245199999999</v>
      </c>
      <c r="N132" s="349">
        <f t="shared" si="8"/>
        <v>8.2881225999999995</v>
      </c>
      <c r="O132" s="349">
        <f t="shared" si="9"/>
        <v>8.2881225999999995</v>
      </c>
      <c r="P132" s="346">
        <f t="shared" si="10"/>
        <v>29.008429099999987</v>
      </c>
    </row>
    <row r="133" spans="1:16">
      <c r="A133" s="343">
        <v>131</v>
      </c>
      <c r="B133" s="339" t="s">
        <v>782</v>
      </c>
      <c r="C133" s="327" t="s">
        <v>35</v>
      </c>
      <c r="D133" s="400">
        <v>1003110574115</v>
      </c>
      <c r="E133" s="401">
        <v>5615010</v>
      </c>
      <c r="F133" s="294">
        <v>735.9</v>
      </c>
      <c r="G133" s="294">
        <f t="shared" si="12"/>
        <v>54.309420000000003</v>
      </c>
      <c r="H133" s="294">
        <v>90.76</v>
      </c>
      <c r="I133" s="293">
        <f t="shared" si="13"/>
        <v>590.83057999999994</v>
      </c>
      <c r="J133" s="329" t="s">
        <v>13</v>
      </c>
      <c r="K133" s="294" t="s">
        <v>164</v>
      </c>
      <c r="L133" s="294">
        <f t="shared" si="11"/>
        <v>88.624586999999991</v>
      </c>
      <c r="M133" s="293">
        <f t="shared" si="7"/>
        <v>23.6332232</v>
      </c>
      <c r="N133" s="296">
        <f t="shared" si="8"/>
        <v>11.8166116</v>
      </c>
      <c r="O133" s="296">
        <f t="shared" si="9"/>
        <v>11.8166116</v>
      </c>
      <c r="P133" s="294">
        <f t="shared" si="10"/>
        <v>41.358140599999984</v>
      </c>
    </row>
    <row r="134" spans="1:16">
      <c r="A134" s="343">
        <v>132</v>
      </c>
      <c r="B134" s="339" t="s">
        <v>783</v>
      </c>
      <c r="C134" s="327" t="s">
        <v>234</v>
      </c>
      <c r="D134" s="400">
        <v>1003110572592</v>
      </c>
      <c r="E134" s="401">
        <v>5612789</v>
      </c>
      <c r="F134" s="294">
        <v>607.08000000000004</v>
      </c>
      <c r="G134" s="294">
        <f t="shared" si="12"/>
        <v>44.802504000000006</v>
      </c>
      <c r="H134" s="294">
        <v>74.88</v>
      </c>
      <c r="I134" s="293">
        <f t="shared" si="13"/>
        <v>487.39749600000005</v>
      </c>
      <c r="J134" s="329" t="s">
        <v>13</v>
      </c>
      <c r="K134" s="294" t="s">
        <v>211</v>
      </c>
      <c r="L134" s="294">
        <f t="shared" si="11"/>
        <v>73.109624400000001</v>
      </c>
      <c r="M134" s="293">
        <f t="shared" si="7"/>
        <v>19.495899840000003</v>
      </c>
      <c r="N134" s="296">
        <f t="shared" si="8"/>
        <v>9.7479499200000017</v>
      </c>
      <c r="O134" s="296">
        <f t="shared" si="9"/>
        <v>9.7479499200000017</v>
      </c>
      <c r="P134" s="294">
        <f t="shared" si="10"/>
        <v>34.117824719999987</v>
      </c>
    </row>
    <row r="135" spans="1:16">
      <c r="A135" s="343">
        <v>133</v>
      </c>
      <c r="B135" s="344" t="s">
        <v>784</v>
      </c>
      <c r="C135" s="388" t="s">
        <v>12</v>
      </c>
      <c r="D135" s="254">
        <v>100311057938</v>
      </c>
      <c r="E135" s="280">
        <v>5609091</v>
      </c>
      <c r="F135" s="350">
        <v>671.9</v>
      </c>
      <c r="G135" s="346">
        <f t="shared" si="12"/>
        <v>49.586220000000004</v>
      </c>
      <c r="H135" s="350">
        <v>671.9</v>
      </c>
      <c r="I135" s="348">
        <f t="shared" si="13"/>
        <v>-49.586220000000026</v>
      </c>
      <c r="J135" s="358" t="s">
        <v>13</v>
      </c>
      <c r="K135" s="350" t="s">
        <v>24</v>
      </c>
      <c r="L135" s="346">
        <f t="shared" si="11"/>
        <v>-7.4379330000000037</v>
      </c>
      <c r="M135" s="348">
        <f t="shared" si="7"/>
        <v>-1.983448800000001</v>
      </c>
      <c r="N135" s="349">
        <f t="shared" si="8"/>
        <v>-0.99172440000000051</v>
      </c>
      <c r="O135" s="349">
        <f t="shared" si="9"/>
        <v>-0.99172440000000051</v>
      </c>
      <c r="P135" s="346">
        <f t="shared" si="10"/>
        <v>-3.4710354000000017</v>
      </c>
    </row>
    <row r="136" spans="1:16">
      <c r="A136" s="343">
        <v>134</v>
      </c>
      <c r="B136" s="344" t="s">
        <v>785</v>
      </c>
      <c r="C136" s="388" t="s">
        <v>163</v>
      </c>
      <c r="D136" s="254">
        <v>712624081</v>
      </c>
      <c r="E136" s="280">
        <v>5614570</v>
      </c>
      <c r="F136" s="350">
        <v>459.97</v>
      </c>
      <c r="G136" s="346">
        <f t="shared" si="12"/>
        <v>33.945786000000005</v>
      </c>
      <c r="H136" s="350">
        <v>45.97</v>
      </c>
      <c r="I136" s="348">
        <f t="shared" si="13"/>
        <v>380.054214</v>
      </c>
      <c r="J136" s="358" t="s">
        <v>16</v>
      </c>
      <c r="K136" s="350" t="s">
        <v>26</v>
      </c>
      <c r="L136" s="346">
        <f t="shared" si="11"/>
        <v>57.008132099999997</v>
      </c>
      <c r="M136" s="348">
        <f t="shared" si="7"/>
        <v>15.20216856</v>
      </c>
      <c r="N136" s="349">
        <f t="shared" si="8"/>
        <v>7.6010842800000002</v>
      </c>
      <c r="O136" s="349">
        <f t="shared" si="9"/>
        <v>7.6010842800000002</v>
      </c>
      <c r="P136" s="346">
        <f t="shared" si="10"/>
        <v>26.603794979999989</v>
      </c>
    </row>
    <row r="137" spans="1:16">
      <c r="A137" s="343">
        <v>135</v>
      </c>
      <c r="B137" s="339" t="s">
        <v>786</v>
      </c>
      <c r="C137" s="327" t="s">
        <v>163</v>
      </c>
      <c r="D137" s="400">
        <v>3553825</v>
      </c>
      <c r="E137" s="401" t="s">
        <v>787</v>
      </c>
      <c r="F137" s="294">
        <v>562.76</v>
      </c>
      <c r="G137" s="294">
        <f t="shared" si="12"/>
        <v>41.531688000000003</v>
      </c>
      <c r="H137" s="294">
        <v>56.28</v>
      </c>
      <c r="I137" s="293">
        <f t="shared" si="13"/>
        <v>464.94831199999999</v>
      </c>
      <c r="J137" s="329" t="s">
        <v>16</v>
      </c>
      <c r="K137" s="294" t="s">
        <v>17</v>
      </c>
      <c r="L137" s="294">
        <f t="shared" si="11"/>
        <v>69.74224679999999</v>
      </c>
      <c r="M137" s="293">
        <f t="shared" si="7"/>
        <v>18.597932480000001</v>
      </c>
      <c r="N137" s="296">
        <f t="shared" si="8"/>
        <v>9.2989662400000004</v>
      </c>
      <c r="O137" s="296">
        <f t="shared" si="9"/>
        <v>9.2989662400000004</v>
      </c>
      <c r="P137" s="294">
        <f t="shared" si="10"/>
        <v>32.546381839999995</v>
      </c>
    </row>
    <row r="138" spans="1:16">
      <c r="A138" s="343">
        <v>136</v>
      </c>
      <c r="B138" s="226" t="s">
        <v>788</v>
      </c>
      <c r="C138" s="165" t="s">
        <v>163</v>
      </c>
      <c r="D138" s="382" t="s">
        <v>32</v>
      </c>
      <c r="E138" s="383">
        <v>5616216</v>
      </c>
      <c r="F138" s="168">
        <v>499.76</v>
      </c>
      <c r="G138" s="169">
        <f t="shared" si="12"/>
        <v>36.882288000000003</v>
      </c>
      <c r="H138" s="168">
        <v>132.01</v>
      </c>
      <c r="I138" s="170">
        <f t="shared" si="13"/>
        <v>330.86771199999998</v>
      </c>
      <c r="J138" s="167" t="s">
        <v>13</v>
      </c>
      <c r="K138" s="168" t="s">
        <v>40</v>
      </c>
      <c r="L138" s="169">
        <f t="shared" si="11"/>
        <v>49.630156799999995</v>
      </c>
      <c r="M138" s="170">
        <f t="shared" si="7"/>
        <v>13.23470848</v>
      </c>
      <c r="N138" s="171">
        <f t="shared" si="8"/>
        <v>6.6173542400000001</v>
      </c>
      <c r="O138" s="171">
        <f t="shared" si="9"/>
        <v>6.6173542400000001</v>
      </c>
      <c r="P138" s="169">
        <f t="shared" si="10"/>
        <v>23.160739839999991</v>
      </c>
    </row>
    <row r="139" spans="1:16">
      <c r="A139" s="343">
        <v>137</v>
      </c>
      <c r="B139" s="344" t="s">
        <v>789</v>
      </c>
      <c r="C139" s="388" t="s">
        <v>163</v>
      </c>
      <c r="D139" s="254">
        <v>3552025344</v>
      </c>
      <c r="E139" s="280">
        <v>5616192</v>
      </c>
      <c r="F139" s="350">
        <v>395.87</v>
      </c>
      <c r="G139" s="346">
        <f t="shared" si="12"/>
        <v>29.215206000000002</v>
      </c>
      <c r="H139" s="350">
        <v>0</v>
      </c>
      <c r="I139" s="348">
        <f t="shared" si="13"/>
        <v>366.65479399999998</v>
      </c>
      <c r="J139" s="358" t="s">
        <v>13</v>
      </c>
      <c r="K139" s="350" t="s">
        <v>211</v>
      </c>
      <c r="L139" s="346">
        <f t="shared" si="11"/>
        <v>54.998219099999993</v>
      </c>
      <c r="M139" s="348">
        <f t="shared" si="7"/>
        <v>14.66619176</v>
      </c>
      <c r="N139" s="349">
        <f t="shared" si="8"/>
        <v>7.3330958800000001</v>
      </c>
      <c r="O139" s="349">
        <f t="shared" si="9"/>
        <v>7.3330958800000001</v>
      </c>
      <c r="P139" s="346">
        <f t="shared" si="10"/>
        <v>25.665835579999992</v>
      </c>
    </row>
    <row r="140" spans="1:16">
      <c r="A140" s="343">
        <v>138</v>
      </c>
      <c r="B140" s="344" t="s">
        <v>790</v>
      </c>
      <c r="C140" s="388" t="s">
        <v>368</v>
      </c>
      <c r="D140" s="254">
        <v>712624567</v>
      </c>
      <c r="E140" s="280">
        <v>5616954</v>
      </c>
      <c r="F140" s="350">
        <v>495.41</v>
      </c>
      <c r="G140" s="346">
        <f t="shared" si="12"/>
        <v>36.561258000000002</v>
      </c>
      <c r="H140" s="350">
        <v>260.75</v>
      </c>
      <c r="I140" s="348">
        <f t="shared" si="13"/>
        <v>198.09874200000002</v>
      </c>
      <c r="J140" s="358" t="s">
        <v>16</v>
      </c>
      <c r="K140" s="350" t="s">
        <v>266</v>
      </c>
      <c r="L140" s="346">
        <f t="shared" si="11"/>
        <v>29.714811300000001</v>
      </c>
      <c r="M140" s="348">
        <f t="shared" si="7"/>
        <v>7.9239496800000007</v>
      </c>
      <c r="N140" s="349">
        <f t="shared" si="8"/>
        <v>3.9619748400000003</v>
      </c>
      <c r="O140" s="349">
        <f t="shared" si="9"/>
        <v>3.9619748400000003</v>
      </c>
      <c r="P140" s="346">
        <f t="shared" si="10"/>
        <v>13.866911940000001</v>
      </c>
    </row>
    <row r="141" spans="1:16">
      <c r="A141" s="343">
        <v>139</v>
      </c>
      <c r="B141" s="344" t="s">
        <v>791</v>
      </c>
      <c r="C141" s="388" t="s">
        <v>12</v>
      </c>
      <c r="D141" s="254">
        <v>1003110576137</v>
      </c>
      <c r="E141" s="280">
        <v>5617778</v>
      </c>
      <c r="F141" s="350">
        <v>681.56</v>
      </c>
      <c r="G141" s="346">
        <f t="shared" si="12"/>
        <v>50.299127999999996</v>
      </c>
      <c r="H141" s="350">
        <v>73.239999999999995</v>
      </c>
      <c r="I141" s="348">
        <f t="shared" si="13"/>
        <v>558.02087199999994</v>
      </c>
      <c r="J141" s="358" t="s">
        <v>13</v>
      </c>
      <c r="K141" s="350" t="s">
        <v>266</v>
      </c>
      <c r="L141" s="346">
        <f t="shared" si="11"/>
        <v>83.703130799999983</v>
      </c>
      <c r="M141" s="348">
        <f t="shared" si="7"/>
        <v>22.32083488</v>
      </c>
      <c r="N141" s="349">
        <f t="shared" si="8"/>
        <v>11.16041744</v>
      </c>
      <c r="O141" s="349">
        <f t="shared" si="9"/>
        <v>11.16041744</v>
      </c>
      <c r="P141" s="346">
        <f t="shared" si="10"/>
        <v>39.061461039999983</v>
      </c>
    </row>
    <row r="142" spans="1:16">
      <c r="A142" s="343">
        <v>140</v>
      </c>
      <c r="B142" s="344" t="s">
        <v>792</v>
      </c>
      <c r="C142" s="388" t="s">
        <v>184</v>
      </c>
      <c r="D142" s="254">
        <v>1003110576317</v>
      </c>
      <c r="E142" s="280" t="s">
        <v>793</v>
      </c>
      <c r="F142" s="350">
        <v>524.52</v>
      </c>
      <c r="G142" s="346">
        <f t="shared" si="12"/>
        <v>38.709575999999998</v>
      </c>
      <c r="H142" s="350">
        <v>174.84</v>
      </c>
      <c r="I142" s="348">
        <f t="shared" si="13"/>
        <v>310.97042399999998</v>
      </c>
      <c r="J142" s="358" t="s">
        <v>13</v>
      </c>
      <c r="K142" s="350" t="s">
        <v>17</v>
      </c>
      <c r="L142" s="346">
        <f t="shared" si="11"/>
        <v>46.645563599999996</v>
      </c>
      <c r="M142" s="348">
        <f t="shared" si="7"/>
        <v>12.438816959999999</v>
      </c>
      <c r="N142" s="349">
        <f t="shared" si="8"/>
        <v>6.2194084799999994</v>
      </c>
      <c r="O142" s="349">
        <f t="shared" si="9"/>
        <v>6.2194084799999994</v>
      </c>
      <c r="P142" s="346">
        <f t="shared" si="10"/>
        <v>21.767929680000002</v>
      </c>
    </row>
    <row r="143" spans="1:16">
      <c r="A143" s="3"/>
      <c r="B143" s="375"/>
      <c r="C143" s="375"/>
      <c r="D143" s="376"/>
      <c r="E143" s="375"/>
      <c r="F143" s="377"/>
      <c r="G143" s="377"/>
      <c r="H143" s="377"/>
      <c r="I143" s="377"/>
      <c r="J143" s="375"/>
      <c r="K143" s="378"/>
      <c r="L143" s="378"/>
      <c r="M143" s="378"/>
      <c r="N143" s="7"/>
      <c r="O143" s="7"/>
      <c r="P143" s="8"/>
    </row>
    <row r="144" spans="1:16" ht="15.6">
      <c r="A144" s="3"/>
      <c r="B144" s="4"/>
      <c r="C144" s="4"/>
      <c r="D144" s="13"/>
      <c r="E144" s="5" t="s">
        <v>11</v>
      </c>
      <c r="F144" s="6">
        <f>SUM(F3:F142)</f>
        <v>91988.499999999985</v>
      </c>
      <c r="G144" s="6">
        <f>SUM(G3:G142)</f>
        <v>6788.751299999999</v>
      </c>
      <c r="H144" s="6">
        <f>SUM(H3:H142)</f>
        <v>14671.009999999997</v>
      </c>
      <c r="I144" s="6">
        <f>SUM(I3:I142)</f>
        <v>70528.738700000016</v>
      </c>
      <c r="J144" s="4"/>
      <c r="K144" s="9"/>
      <c r="L144" s="6">
        <f>SUM(L3:L142)</f>
        <v>10579.310805000003</v>
      </c>
      <c r="M144" s="6">
        <f>SUM(M3:M142)</f>
        <v>2821.1495479999999</v>
      </c>
      <c r="N144" s="6">
        <f>SUM(N3:N142)</f>
        <v>1410.5747739999999</v>
      </c>
      <c r="O144" s="6">
        <f>SUM(O3:O142)</f>
        <v>1379.2448995199995</v>
      </c>
      <c r="P144" s="6" t="e">
        <f>SUM(P3:P142)</f>
        <v>#VALUE!</v>
      </c>
    </row>
  </sheetData>
  <autoFilter ref="D2:P142" xr:uid="{478F27BC-3B96-4A20-B465-483ED08818CC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81A6-0E62-4F39-971C-B495698E83F8}">
  <dimension ref="A1:Q105"/>
  <sheetViews>
    <sheetView topLeftCell="A30" zoomScaleNormal="100" workbookViewId="0">
      <selection activeCell="C64" sqref="C64:P64"/>
    </sheetView>
  </sheetViews>
  <sheetFormatPr defaultRowHeight="14.4"/>
  <cols>
    <col min="1" max="1" width="5.77734375" customWidth="1"/>
    <col min="2" max="2" width="39.6640625" customWidth="1"/>
    <col min="3" max="3" width="19.88671875" customWidth="1"/>
    <col min="4" max="4" width="16.33203125" customWidth="1"/>
    <col min="5" max="5" width="15.21875" customWidth="1"/>
    <col min="6" max="6" width="12.6640625" customWidth="1"/>
    <col min="7" max="7" width="13.109375" customWidth="1"/>
    <col min="8" max="8" width="13.44140625" customWidth="1"/>
    <col min="9" max="9" width="15" customWidth="1"/>
    <col min="10" max="10" width="12.88671875" customWidth="1"/>
    <col min="11" max="11" width="17.21875" customWidth="1"/>
    <col min="12" max="12" width="14.44140625" customWidth="1"/>
    <col min="13" max="13" width="14.5546875" customWidth="1"/>
    <col min="14" max="14" width="11.88671875" customWidth="1"/>
    <col min="15" max="15" width="15.44140625" customWidth="1"/>
    <col min="16" max="16" width="15.21875" customWidth="1"/>
  </cols>
  <sheetData>
    <row r="1" spans="1:17" ht="23.4">
      <c r="B1" s="742" t="s">
        <v>795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2.8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410">
        <v>1</v>
      </c>
      <c r="B3" s="339" t="s">
        <v>796</v>
      </c>
      <c r="C3" s="292" t="s">
        <v>475</v>
      </c>
      <c r="D3" s="546">
        <v>100311058000</v>
      </c>
      <c r="E3" s="646">
        <v>5621127</v>
      </c>
      <c r="F3" s="342">
        <v>587.02</v>
      </c>
      <c r="G3" s="294">
        <f>F3*7.38%</f>
        <v>43.322076000000003</v>
      </c>
      <c r="H3" s="293">
        <v>63.08</v>
      </c>
      <c r="I3" s="294">
        <f>F3-G3-H3</f>
        <v>480.61792399999996</v>
      </c>
      <c r="J3" s="295" t="s">
        <v>13</v>
      </c>
      <c r="K3" s="293" t="s">
        <v>641</v>
      </c>
      <c r="L3" s="293">
        <f>I3*15%</f>
        <v>72.092688599999988</v>
      </c>
      <c r="M3" s="293">
        <f t="shared" ref="M3:M66" si="0">I3*4%</f>
        <v>19.224716959999999</v>
      </c>
      <c r="N3" s="296">
        <f t="shared" ref="N3:N66" si="1">I3*2%</f>
        <v>9.6123584799999993</v>
      </c>
      <c r="O3" s="296">
        <f t="shared" ref="O3:O66" si="2">I3*2%</f>
        <v>9.6123584799999993</v>
      </c>
      <c r="P3" s="294">
        <f t="shared" ref="P3:P66" si="3">L3-M3-N3-O3</f>
        <v>33.643254679999998</v>
      </c>
    </row>
    <row r="4" spans="1:17">
      <c r="A4" s="410">
        <v>2</v>
      </c>
      <c r="B4" s="411" t="s">
        <v>797</v>
      </c>
      <c r="C4" s="417" t="s">
        <v>475</v>
      </c>
      <c r="D4" s="238">
        <v>1003110581477</v>
      </c>
      <c r="E4" s="230">
        <v>5621561</v>
      </c>
      <c r="F4" s="412">
        <v>558.89</v>
      </c>
      <c r="G4" s="413">
        <f>F4*7.38%</f>
        <v>41.246082000000001</v>
      </c>
      <c r="H4" s="418">
        <v>68.03</v>
      </c>
      <c r="I4" s="413">
        <f>F4-G4-H4</f>
        <v>449.61391800000001</v>
      </c>
      <c r="J4" s="419" t="s">
        <v>13</v>
      </c>
      <c r="K4" s="418" t="s">
        <v>266</v>
      </c>
      <c r="L4" s="415">
        <f t="shared" ref="L4:L67" si="4">I4*15%</f>
        <v>67.442087700000002</v>
      </c>
      <c r="M4" s="415">
        <f t="shared" si="0"/>
        <v>17.98455672</v>
      </c>
      <c r="N4" s="416">
        <f t="shared" si="1"/>
        <v>8.9922783600000002</v>
      </c>
      <c r="O4" s="416">
        <f t="shared" si="2"/>
        <v>8.9922783600000002</v>
      </c>
      <c r="P4" s="413">
        <f t="shared" si="3"/>
        <v>31.472974260000001</v>
      </c>
    </row>
    <row r="5" spans="1:17">
      <c r="A5" s="410">
        <v>3</v>
      </c>
      <c r="B5" s="420" t="s">
        <v>798</v>
      </c>
      <c r="C5" s="410" t="s">
        <v>799</v>
      </c>
      <c r="D5" s="242">
        <v>1003110586673</v>
      </c>
      <c r="E5" s="243">
        <v>5624016</v>
      </c>
      <c r="F5" s="421">
        <v>522.4</v>
      </c>
      <c r="G5" s="413">
        <f t="shared" ref="G5:G68" si="5">F5*7.38%</f>
        <v>38.55312</v>
      </c>
      <c r="H5" s="422">
        <v>64.63</v>
      </c>
      <c r="I5" s="413">
        <f t="shared" ref="I5:I68" si="6">F5-G5-H5</f>
        <v>419.21688</v>
      </c>
      <c r="J5" s="410" t="s">
        <v>13</v>
      </c>
      <c r="K5" s="414" t="s">
        <v>266</v>
      </c>
      <c r="L5" s="415">
        <f t="shared" si="4"/>
        <v>62.882531999999998</v>
      </c>
      <c r="M5" s="415">
        <f t="shared" si="0"/>
        <v>16.768675200000001</v>
      </c>
      <c r="N5" s="416">
        <f t="shared" si="1"/>
        <v>8.3843376000000003</v>
      </c>
      <c r="O5" s="416">
        <f t="shared" si="2"/>
        <v>8.3843376000000003</v>
      </c>
      <c r="P5" s="413">
        <f t="shared" si="3"/>
        <v>29.345181599999989</v>
      </c>
    </row>
    <row r="6" spans="1:17">
      <c r="A6" s="410">
        <v>4</v>
      </c>
      <c r="B6" s="411" t="s">
        <v>800</v>
      </c>
      <c r="C6" s="419" t="s">
        <v>29</v>
      </c>
      <c r="D6" s="246">
        <v>2627439</v>
      </c>
      <c r="E6" s="191">
        <v>5611885</v>
      </c>
      <c r="F6" s="423">
        <v>605.16999999999996</v>
      </c>
      <c r="G6" s="424">
        <f t="shared" si="5"/>
        <v>44.661546000000001</v>
      </c>
      <c r="H6" s="418">
        <v>53.09</v>
      </c>
      <c r="I6" s="424">
        <f t="shared" si="6"/>
        <v>507.41845399999988</v>
      </c>
      <c r="J6" s="419" t="s">
        <v>16</v>
      </c>
      <c r="K6" s="418" t="s">
        <v>266</v>
      </c>
      <c r="L6" s="415">
        <f t="shared" si="4"/>
        <v>76.112768099999982</v>
      </c>
      <c r="M6" s="415">
        <f t="shared" si="0"/>
        <v>20.296738159999997</v>
      </c>
      <c r="N6" s="416">
        <f t="shared" si="1"/>
        <v>10.148369079999998</v>
      </c>
      <c r="O6" s="416">
        <f t="shared" si="2"/>
        <v>10.148369079999998</v>
      </c>
      <c r="P6" s="413">
        <f t="shared" si="3"/>
        <v>35.519291779999989</v>
      </c>
    </row>
    <row r="7" spans="1:17">
      <c r="A7" s="410">
        <v>5</v>
      </c>
      <c r="B7" s="420" t="s">
        <v>801</v>
      </c>
      <c r="C7" s="410" t="s">
        <v>12</v>
      </c>
      <c r="D7" s="246">
        <v>1003110585849</v>
      </c>
      <c r="E7" s="191">
        <v>5621007</v>
      </c>
      <c r="F7" s="414">
        <v>617.37</v>
      </c>
      <c r="G7" s="424">
        <f t="shared" si="5"/>
        <v>45.561906</v>
      </c>
      <c r="H7" s="414">
        <v>76.150000000000006</v>
      </c>
      <c r="I7" s="424">
        <f t="shared" si="6"/>
        <v>495.65809400000001</v>
      </c>
      <c r="J7" s="410" t="s">
        <v>13</v>
      </c>
      <c r="K7" s="414" t="s">
        <v>235</v>
      </c>
      <c r="L7" s="415">
        <f t="shared" si="4"/>
        <v>74.348714099999995</v>
      </c>
      <c r="M7" s="415">
        <f t="shared" si="0"/>
        <v>19.826323760000001</v>
      </c>
      <c r="N7" s="416">
        <f t="shared" si="1"/>
        <v>9.9131618800000005</v>
      </c>
      <c r="O7" s="416">
        <f t="shared" si="2"/>
        <v>9.9131618800000005</v>
      </c>
      <c r="P7" s="413">
        <f t="shared" si="3"/>
        <v>34.696066579999993</v>
      </c>
    </row>
    <row r="8" spans="1:17">
      <c r="A8" s="410">
        <v>6</v>
      </c>
      <c r="B8" s="339" t="s">
        <v>802</v>
      </c>
      <c r="C8" s="327" t="s">
        <v>799</v>
      </c>
      <c r="D8" s="549">
        <v>1003110585816</v>
      </c>
      <c r="E8" s="495">
        <v>5623472</v>
      </c>
      <c r="F8" s="294">
        <v>620.25</v>
      </c>
      <c r="G8" s="294">
        <f t="shared" si="5"/>
        <v>45.774450000000002</v>
      </c>
      <c r="H8" s="294">
        <v>66.650000000000006</v>
      </c>
      <c r="I8" s="294">
        <f>F8-G8-H8</f>
        <v>507.82555000000002</v>
      </c>
      <c r="J8" s="327" t="s">
        <v>13</v>
      </c>
      <c r="K8" s="294" t="s">
        <v>14</v>
      </c>
      <c r="L8" s="293">
        <f t="shared" si="4"/>
        <v>76.173832500000003</v>
      </c>
      <c r="M8" s="293">
        <f t="shared" si="0"/>
        <v>20.313022</v>
      </c>
      <c r="N8" s="296">
        <f t="shared" si="1"/>
        <v>10.156511</v>
      </c>
      <c r="O8" s="296">
        <f t="shared" si="2"/>
        <v>10.156511</v>
      </c>
      <c r="P8" s="294">
        <f t="shared" si="3"/>
        <v>35.547788499999996</v>
      </c>
    </row>
    <row r="9" spans="1:17">
      <c r="A9" s="410">
        <v>7</v>
      </c>
      <c r="B9" s="420" t="s">
        <v>803</v>
      </c>
      <c r="C9" s="410" t="s">
        <v>475</v>
      </c>
      <c r="D9" s="251">
        <v>1003110585731</v>
      </c>
      <c r="E9" s="191">
        <v>5623377</v>
      </c>
      <c r="F9" s="425">
        <v>550.05999999999995</v>
      </c>
      <c r="G9" s="424">
        <f t="shared" si="5"/>
        <v>40.594428000000001</v>
      </c>
      <c r="H9" s="414">
        <v>67.84</v>
      </c>
      <c r="I9" s="424">
        <f>F9-G9-H9</f>
        <v>441.62557199999992</v>
      </c>
      <c r="J9" s="410" t="s">
        <v>13</v>
      </c>
      <c r="K9" s="414" t="s">
        <v>14</v>
      </c>
      <c r="L9" s="415">
        <f t="shared" si="4"/>
        <v>66.243835799999985</v>
      </c>
      <c r="M9" s="415">
        <f t="shared" si="0"/>
        <v>17.665022879999999</v>
      </c>
      <c r="N9" s="416">
        <f>I9*2%</f>
        <v>8.8325114399999993</v>
      </c>
      <c r="O9" s="416">
        <f t="shared" si="2"/>
        <v>8.8325114399999993</v>
      </c>
      <c r="P9" s="413">
        <f t="shared" si="3"/>
        <v>30.913790039999995</v>
      </c>
    </row>
    <row r="10" spans="1:17">
      <c r="A10" s="410">
        <v>8</v>
      </c>
      <c r="B10" s="426" t="s">
        <v>804</v>
      </c>
      <c r="C10" s="419" t="s">
        <v>475</v>
      </c>
      <c r="D10" s="254">
        <v>1003110600535</v>
      </c>
      <c r="E10" s="255">
        <v>5627298</v>
      </c>
      <c r="F10" s="427">
        <v>462.95</v>
      </c>
      <c r="G10" s="424">
        <f t="shared" si="5"/>
        <v>34.165710000000004</v>
      </c>
      <c r="H10" s="418">
        <v>154.32</v>
      </c>
      <c r="I10" s="424">
        <f t="shared" si="6"/>
        <v>274.46429000000001</v>
      </c>
      <c r="J10" s="428" t="s">
        <v>13</v>
      </c>
      <c r="K10" s="418" t="s">
        <v>25</v>
      </c>
      <c r="L10" s="415">
        <f t="shared" si="4"/>
        <v>41.169643499999999</v>
      </c>
      <c r="M10" s="415">
        <f t="shared" si="0"/>
        <v>10.9785716</v>
      </c>
      <c r="N10" s="416">
        <f t="shared" si="1"/>
        <v>5.4892858000000002</v>
      </c>
      <c r="O10" s="416">
        <f t="shared" si="2"/>
        <v>5.4892858000000002</v>
      </c>
      <c r="P10" s="413">
        <f t="shared" si="3"/>
        <v>19.212500299999995</v>
      </c>
    </row>
    <row r="11" spans="1:17">
      <c r="A11" s="410">
        <v>9</v>
      </c>
      <c r="B11" s="503" t="s">
        <v>805</v>
      </c>
      <c r="C11" s="295" t="s">
        <v>29</v>
      </c>
      <c r="D11" s="403">
        <v>1003110607072</v>
      </c>
      <c r="E11" s="507">
        <v>5625509</v>
      </c>
      <c r="F11" s="602">
        <v>642.23</v>
      </c>
      <c r="G11" s="294">
        <f t="shared" si="5"/>
        <v>47.396574000000001</v>
      </c>
      <c r="H11" s="293">
        <v>69.010000000000005</v>
      </c>
      <c r="I11" s="293">
        <f t="shared" si="6"/>
        <v>525.82342600000004</v>
      </c>
      <c r="J11" s="405" t="s">
        <v>13</v>
      </c>
      <c r="K11" s="293" t="s">
        <v>26</v>
      </c>
      <c r="L11" s="293">
        <f t="shared" si="4"/>
        <v>78.873513900000006</v>
      </c>
      <c r="M11" s="293">
        <f t="shared" si="0"/>
        <v>21.032937040000004</v>
      </c>
      <c r="N11" s="296">
        <f t="shared" si="1"/>
        <v>10.516468520000002</v>
      </c>
      <c r="O11" s="406">
        <f t="shared" si="2"/>
        <v>10.516468520000002</v>
      </c>
      <c r="P11" s="293">
        <f t="shared" si="3"/>
        <v>36.807639819999991</v>
      </c>
    </row>
    <row r="12" spans="1:17">
      <c r="A12" s="410">
        <v>10</v>
      </c>
      <c r="B12" s="432" t="s">
        <v>806</v>
      </c>
      <c r="C12" s="160" t="s">
        <v>475</v>
      </c>
      <c r="D12" s="254">
        <v>1003110591101</v>
      </c>
      <c r="E12" s="262">
        <v>5626322</v>
      </c>
      <c r="F12" s="433">
        <v>537.51</v>
      </c>
      <c r="G12" s="424">
        <f t="shared" si="5"/>
        <v>39.668238000000002</v>
      </c>
      <c r="H12" s="418">
        <v>0</v>
      </c>
      <c r="I12" s="424">
        <f t="shared" si="6"/>
        <v>497.84176200000002</v>
      </c>
      <c r="J12" s="430" t="s">
        <v>13</v>
      </c>
      <c r="K12" s="418" t="s">
        <v>14</v>
      </c>
      <c r="L12" s="415">
        <f t="shared" si="4"/>
        <v>74.6762643</v>
      </c>
      <c r="M12" s="415">
        <f t="shared" si="0"/>
        <v>19.91367048</v>
      </c>
      <c r="N12" s="416">
        <f t="shared" si="1"/>
        <v>9.9568352400000002</v>
      </c>
      <c r="O12" s="416">
        <f t="shared" si="2"/>
        <v>9.9568352400000002</v>
      </c>
      <c r="P12" s="413">
        <f t="shared" si="3"/>
        <v>34.848923339999999</v>
      </c>
    </row>
    <row r="13" spans="1:17">
      <c r="A13" s="410">
        <v>11</v>
      </c>
      <c r="B13" s="426" t="s">
        <v>807</v>
      </c>
      <c r="C13" s="410" t="s">
        <v>29</v>
      </c>
      <c r="D13" s="251">
        <v>2628877</v>
      </c>
      <c r="E13" s="191">
        <v>5612643</v>
      </c>
      <c r="F13" s="433">
        <v>858.12</v>
      </c>
      <c r="G13" s="429">
        <f t="shared" si="5"/>
        <v>63.329256000000001</v>
      </c>
      <c r="H13" s="414">
        <v>91.91</v>
      </c>
      <c r="I13" s="429">
        <f t="shared" si="6"/>
        <v>702.88074400000005</v>
      </c>
      <c r="J13" s="430" t="s">
        <v>16</v>
      </c>
      <c r="K13" s="414" t="s">
        <v>258</v>
      </c>
      <c r="L13" s="415">
        <f t="shared" si="4"/>
        <v>105.4321116</v>
      </c>
      <c r="M13" s="415">
        <f t="shared" si="0"/>
        <v>28.115229760000002</v>
      </c>
      <c r="N13" s="416">
        <f t="shared" si="1"/>
        <v>14.057614880000001</v>
      </c>
      <c r="O13" s="431">
        <f t="shared" si="2"/>
        <v>14.057614880000001</v>
      </c>
      <c r="P13" s="415">
        <f t="shared" si="3"/>
        <v>49.201652079999988</v>
      </c>
    </row>
    <row r="14" spans="1:17">
      <c r="A14" s="410">
        <v>12</v>
      </c>
      <c r="B14" s="159" t="s">
        <v>808</v>
      </c>
      <c r="C14" s="419" t="s">
        <v>809</v>
      </c>
      <c r="D14" s="264">
        <v>1003110588933</v>
      </c>
      <c r="E14" s="262">
        <v>5624903</v>
      </c>
      <c r="F14" s="433">
        <v>965.99</v>
      </c>
      <c r="G14" s="424">
        <f t="shared" si="5"/>
        <v>71.290062000000006</v>
      </c>
      <c r="H14" s="418">
        <v>255.17</v>
      </c>
      <c r="I14" s="424">
        <f t="shared" si="6"/>
        <v>639.52993800000002</v>
      </c>
      <c r="J14" s="428" t="s">
        <v>13</v>
      </c>
      <c r="K14" s="418" t="s">
        <v>14</v>
      </c>
      <c r="L14" s="415">
        <f t="shared" si="4"/>
        <v>95.929490700000002</v>
      </c>
      <c r="M14" s="415">
        <f t="shared" si="0"/>
        <v>25.58119752</v>
      </c>
      <c r="N14" s="416">
        <f t="shared" si="1"/>
        <v>12.79059876</v>
      </c>
      <c r="O14" s="416">
        <f t="shared" si="2"/>
        <v>12.79059876</v>
      </c>
      <c r="P14" s="413">
        <f t="shared" si="3"/>
        <v>44.767095659999995</v>
      </c>
    </row>
    <row r="15" spans="1:17">
      <c r="A15" s="410">
        <v>13</v>
      </c>
      <c r="B15" s="434" t="s">
        <v>810</v>
      </c>
      <c r="C15" s="410" t="s">
        <v>799</v>
      </c>
      <c r="D15" s="266">
        <v>1003110588482</v>
      </c>
      <c r="E15" s="262">
        <v>5623972</v>
      </c>
      <c r="F15" s="435">
        <v>572.16999999999996</v>
      </c>
      <c r="G15" s="429">
        <f t="shared" si="5"/>
        <v>42.226146</v>
      </c>
      <c r="H15" s="418">
        <v>0</v>
      </c>
      <c r="I15" s="429">
        <f t="shared" si="6"/>
        <v>529.94385399999999</v>
      </c>
      <c r="J15" s="430" t="s">
        <v>13</v>
      </c>
      <c r="K15" s="414" t="s">
        <v>14</v>
      </c>
      <c r="L15" s="415">
        <f t="shared" si="4"/>
        <v>79.491578099999998</v>
      </c>
      <c r="M15" s="415">
        <f t="shared" si="0"/>
        <v>21.197754159999999</v>
      </c>
      <c r="N15" s="416">
        <f t="shared" si="1"/>
        <v>10.598877079999999</v>
      </c>
      <c r="O15" s="431">
        <f t="shared" si="2"/>
        <v>10.598877079999999</v>
      </c>
      <c r="P15" s="415">
        <f t="shared" si="3"/>
        <v>37.096069779999993</v>
      </c>
    </row>
    <row r="16" spans="1:17">
      <c r="A16" s="410">
        <v>14</v>
      </c>
      <c r="B16" s="432" t="s">
        <v>811</v>
      </c>
      <c r="C16" s="417" t="s">
        <v>475</v>
      </c>
      <c r="D16" s="251">
        <v>1003110601399</v>
      </c>
      <c r="E16" s="268" t="s">
        <v>812</v>
      </c>
      <c r="F16" s="433">
        <v>472.13</v>
      </c>
      <c r="G16" s="424">
        <f t="shared" si="5"/>
        <v>34.843194000000004</v>
      </c>
      <c r="H16" s="418">
        <v>127.21</v>
      </c>
      <c r="I16" s="424">
        <f t="shared" si="6"/>
        <v>310.07680600000003</v>
      </c>
      <c r="J16" s="428" t="s">
        <v>13</v>
      </c>
      <c r="K16" s="418" t="s">
        <v>14</v>
      </c>
      <c r="L16" s="415">
        <f t="shared" si="4"/>
        <v>46.511520900000001</v>
      </c>
      <c r="M16" s="415">
        <f t="shared" si="0"/>
        <v>12.403072240000002</v>
      </c>
      <c r="N16" s="416">
        <f t="shared" si="1"/>
        <v>6.201536120000001</v>
      </c>
      <c r="O16" s="416">
        <f t="shared" si="2"/>
        <v>6.201536120000001</v>
      </c>
      <c r="P16" s="413">
        <f t="shared" si="3"/>
        <v>21.70537642</v>
      </c>
    </row>
    <row r="17" spans="1:16">
      <c r="A17" s="410">
        <v>15</v>
      </c>
      <c r="B17" s="434" t="s">
        <v>813</v>
      </c>
      <c r="C17" s="436" t="s">
        <v>475</v>
      </c>
      <c r="D17" s="246">
        <v>51772025423111</v>
      </c>
      <c r="E17" s="270" t="s">
        <v>814</v>
      </c>
      <c r="F17" s="414">
        <v>523.87</v>
      </c>
      <c r="G17" s="429">
        <f t="shared" si="5"/>
        <v>38.661606000000006</v>
      </c>
      <c r="H17" s="418">
        <v>56.89</v>
      </c>
      <c r="I17" s="429">
        <f t="shared" si="6"/>
        <v>428.31839400000001</v>
      </c>
      <c r="J17" s="430" t="s">
        <v>13</v>
      </c>
      <c r="K17" s="414" t="s">
        <v>14</v>
      </c>
      <c r="L17" s="415">
        <f t="shared" si="4"/>
        <v>64.247759099999996</v>
      </c>
      <c r="M17" s="415">
        <f t="shared" si="0"/>
        <v>17.132735759999999</v>
      </c>
      <c r="N17" s="416">
        <f t="shared" si="1"/>
        <v>8.5663678799999996</v>
      </c>
      <c r="O17" s="431">
        <f t="shared" si="2"/>
        <v>8.5663678799999996</v>
      </c>
      <c r="P17" s="415">
        <f t="shared" si="3"/>
        <v>29.982287579999991</v>
      </c>
    </row>
    <row r="18" spans="1:16">
      <c r="A18" s="410">
        <v>16</v>
      </c>
      <c r="B18" s="499" t="s">
        <v>815</v>
      </c>
      <c r="C18" s="500" t="s">
        <v>29</v>
      </c>
      <c r="D18" s="403">
        <v>1003110596454</v>
      </c>
      <c r="E18" s="729">
        <v>5628629</v>
      </c>
      <c r="F18" s="294">
        <v>701.61</v>
      </c>
      <c r="G18" s="294">
        <f t="shared" si="5"/>
        <v>51.778818000000001</v>
      </c>
      <c r="H18" s="294">
        <v>86.54</v>
      </c>
      <c r="I18" s="294">
        <f t="shared" si="6"/>
        <v>563.29118200000005</v>
      </c>
      <c r="J18" s="329" t="s">
        <v>13</v>
      </c>
      <c r="K18" s="294" t="s">
        <v>26</v>
      </c>
      <c r="L18" s="293">
        <f t="shared" si="4"/>
        <v>84.493677300000002</v>
      </c>
      <c r="M18" s="293">
        <f t="shared" si="0"/>
        <v>22.531647280000001</v>
      </c>
      <c r="N18" s="296">
        <f t="shared" si="1"/>
        <v>11.265823640000001</v>
      </c>
      <c r="O18" s="296">
        <f t="shared" si="2"/>
        <v>11.265823640000001</v>
      </c>
      <c r="P18" s="294">
        <f t="shared" si="3"/>
        <v>39.430382739999999</v>
      </c>
    </row>
    <row r="19" spans="1:16">
      <c r="A19" s="410">
        <v>17</v>
      </c>
      <c r="B19" s="434" t="s">
        <v>816</v>
      </c>
      <c r="C19" s="436" t="s">
        <v>173</v>
      </c>
      <c r="D19" s="251">
        <v>1003110595105</v>
      </c>
      <c r="E19" s="272">
        <v>5629391</v>
      </c>
      <c r="F19" s="414">
        <v>627.30999999999995</v>
      </c>
      <c r="G19" s="429">
        <f t="shared" si="5"/>
        <v>46.295477999999996</v>
      </c>
      <c r="H19" s="414">
        <v>209.11</v>
      </c>
      <c r="I19" s="429">
        <f t="shared" si="6"/>
        <v>371.90452199999993</v>
      </c>
      <c r="J19" s="430" t="s">
        <v>13</v>
      </c>
      <c r="K19" s="414" t="s">
        <v>17</v>
      </c>
      <c r="L19" s="415">
        <f t="shared" si="4"/>
        <v>55.785678299999987</v>
      </c>
      <c r="M19" s="415">
        <f t="shared" si="0"/>
        <v>14.876180879999998</v>
      </c>
      <c r="N19" s="431">
        <f t="shared" si="1"/>
        <v>7.438090439999999</v>
      </c>
      <c r="O19" s="431">
        <f t="shared" si="2"/>
        <v>7.438090439999999</v>
      </c>
      <c r="P19" s="415">
        <f t="shared" si="3"/>
        <v>26.033316539999991</v>
      </c>
    </row>
    <row r="20" spans="1:16">
      <c r="A20" s="410">
        <v>18</v>
      </c>
      <c r="B20" s="499" t="s">
        <v>817</v>
      </c>
      <c r="C20" s="290" t="s">
        <v>475</v>
      </c>
      <c r="D20" s="400">
        <v>1003110594656</v>
      </c>
      <c r="E20" s="495">
        <v>5629067</v>
      </c>
      <c r="F20" s="294">
        <v>558.79</v>
      </c>
      <c r="G20" s="294">
        <f t="shared" si="5"/>
        <v>41.238701999999996</v>
      </c>
      <c r="H20" s="294">
        <v>186.27</v>
      </c>
      <c r="I20" s="294">
        <f t="shared" si="6"/>
        <v>331.28129799999999</v>
      </c>
      <c r="J20" s="329" t="s">
        <v>13</v>
      </c>
      <c r="K20" s="294" t="s">
        <v>235</v>
      </c>
      <c r="L20" s="293">
        <f t="shared" si="4"/>
        <v>49.692194699999995</v>
      </c>
      <c r="M20" s="293">
        <f t="shared" si="0"/>
        <v>13.25125192</v>
      </c>
      <c r="N20" s="296">
        <f t="shared" si="1"/>
        <v>6.6256259599999998</v>
      </c>
      <c r="O20" s="296">
        <f t="shared" si="2"/>
        <v>6.6256259599999998</v>
      </c>
      <c r="P20" s="294">
        <f t="shared" si="3"/>
        <v>23.189690859999992</v>
      </c>
    </row>
    <row r="21" spans="1:16">
      <c r="A21" s="410">
        <v>19</v>
      </c>
      <c r="B21" s="56" t="s">
        <v>818</v>
      </c>
      <c r="C21" s="410" t="s">
        <v>234</v>
      </c>
      <c r="D21" s="251">
        <v>1003110593914</v>
      </c>
      <c r="E21" s="273">
        <v>5628443</v>
      </c>
      <c r="F21" s="414">
        <v>571.12</v>
      </c>
      <c r="G21" s="415">
        <f>F21*7.38%</f>
        <v>42.148656000000003</v>
      </c>
      <c r="H21" s="414">
        <v>61.37</v>
      </c>
      <c r="I21" s="415">
        <f t="shared" si="6"/>
        <v>467.60134400000004</v>
      </c>
      <c r="J21" s="430" t="s">
        <v>13</v>
      </c>
      <c r="K21" s="414" t="s">
        <v>14</v>
      </c>
      <c r="L21" s="415">
        <f t="shared" si="4"/>
        <v>70.140201599999997</v>
      </c>
      <c r="M21" s="415">
        <f t="shared" si="0"/>
        <v>18.704053760000001</v>
      </c>
      <c r="N21" s="431">
        <f t="shared" si="1"/>
        <v>9.3520268800000004</v>
      </c>
      <c r="O21" s="431">
        <f t="shared" si="2"/>
        <v>9.3520268800000004</v>
      </c>
      <c r="P21" s="415">
        <f t="shared" si="3"/>
        <v>32.732094079999996</v>
      </c>
    </row>
    <row r="22" spans="1:16">
      <c r="A22" s="410">
        <v>20</v>
      </c>
      <c r="B22" s="432" t="s">
        <v>819</v>
      </c>
      <c r="C22" s="419" t="s">
        <v>12</v>
      </c>
      <c r="D22" s="254">
        <v>1003110593860</v>
      </c>
      <c r="E22" s="268">
        <v>5624738</v>
      </c>
      <c r="F22" s="418">
        <v>645.16999999999996</v>
      </c>
      <c r="G22" s="413">
        <f t="shared" si="5"/>
        <v>47.613545999999999</v>
      </c>
      <c r="H22" s="418">
        <v>0</v>
      </c>
      <c r="I22" s="413">
        <f t="shared" si="6"/>
        <v>597.55645399999992</v>
      </c>
      <c r="J22" s="428" t="s">
        <v>13</v>
      </c>
      <c r="K22" s="418" t="s">
        <v>238</v>
      </c>
      <c r="L22" s="415">
        <f t="shared" si="4"/>
        <v>89.633468099999988</v>
      </c>
      <c r="M22" s="415">
        <f t="shared" si="0"/>
        <v>23.902258159999999</v>
      </c>
      <c r="N22" s="416">
        <f t="shared" si="1"/>
        <v>11.951129079999999</v>
      </c>
      <c r="O22" s="416">
        <f t="shared" si="2"/>
        <v>11.951129079999999</v>
      </c>
      <c r="P22" s="413">
        <f t="shared" si="3"/>
        <v>41.828951779999983</v>
      </c>
    </row>
    <row r="23" spans="1:16">
      <c r="A23" s="410">
        <v>21</v>
      </c>
      <c r="B23" s="434" t="s">
        <v>820</v>
      </c>
      <c r="C23" s="410" t="s">
        <v>52</v>
      </c>
      <c r="D23" s="251">
        <v>1003110594140</v>
      </c>
      <c r="E23" s="274">
        <v>5625946</v>
      </c>
      <c r="F23" s="414">
        <v>538.05999999999995</v>
      </c>
      <c r="G23" s="415">
        <f t="shared" si="5"/>
        <v>39.708827999999997</v>
      </c>
      <c r="H23" s="414">
        <v>268</v>
      </c>
      <c r="I23" s="415">
        <f t="shared" si="6"/>
        <v>230.35117199999996</v>
      </c>
      <c r="J23" s="430" t="s">
        <v>16</v>
      </c>
      <c r="K23" s="414" t="s">
        <v>14</v>
      </c>
      <c r="L23" s="415">
        <f t="shared" si="4"/>
        <v>34.552675799999996</v>
      </c>
      <c r="M23" s="415">
        <f t="shared" si="0"/>
        <v>9.2140468799999979</v>
      </c>
      <c r="N23" s="431">
        <f t="shared" si="1"/>
        <v>4.607023439999999</v>
      </c>
      <c r="O23" s="431">
        <f t="shared" si="2"/>
        <v>4.607023439999999</v>
      </c>
      <c r="P23" s="415">
        <f t="shared" si="3"/>
        <v>16.12458204</v>
      </c>
    </row>
    <row r="24" spans="1:16">
      <c r="A24" s="410">
        <v>22</v>
      </c>
      <c r="B24" s="402" t="s">
        <v>821</v>
      </c>
      <c r="C24" s="295" t="s">
        <v>173</v>
      </c>
      <c r="D24" s="403">
        <v>1003110602160</v>
      </c>
      <c r="E24" s="603">
        <v>5631711</v>
      </c>
      <c r="F24" s="293">
        <v>634.78</v>
      </c>
      <c r="G24" s="293">
        <f t="shared" si="5"/>
        <v>46.846764</v>
      </c>
      <c r="H24" s="293">
        <v>68.209999999999994</v>
      </c>
      <c r="I24" s="293">
        <f t="shared" si="6"/>
        <v>519.72323599999993</v>
      </c>
      <c r="J24" s="405" t="s">
        <v>13</v>
      </c>
      <c r="K24" s="293" t="s">
        <v>25</v>
      </c>
      <c r="L24" s="293">
        <f t="shared" si="4"/>
        <v>77.958485399999986</v>
      </c>
      <c r="M24" s="293">
        <f t="shared" si="0"/>
        <v>20.788929439999997</v>
      </c>
      <c r="N24" s="406">
        <f t="shared" si="1"/>
        <v>10.394464719999998</v>
      </c>
      <c r="O24" s="406">
        <f t="shared" si="2"/>
        <v>10.394464719999998</v>
      </c>
      <c r="P24" s="293">
        <f t="shared" si="3"/>
        <v>36.380626519999993</v>
      </c>
    </row>
    <row r="25" spans="1:16">
      <c r="A25" s="410">
        <v>23</v>
      </c>
      <c r="B25" s="432" t="s">
        <v>822</v>
      </c>
      <c r="C25" s="419" t="s">
        <v>29</v>
      </c>
      <c r="D25" s="254">
        <v>2631690</v>
      </c>
      <c r="E25" s="268">
        <v>5631834</v>
      </c>
      <c r="F25" s="418">
        <v>617.70000000000005</v>
      </c>
      <c r="G25" s="413">
        <f t="shared" si="5"/>
        <v>45.586260000000003</v>
      </c>
      <c r="H25" s="418">
        <v>54.19</v>
      </c>
      <c r="I25" s="415">
        <f t="shared" si="6"/>
        <v>517.92373999999995</v>
      </c>
      <c r="J25" s="428" t="s">
        <v>16</v>
      </c>
      <c r="K25" s="418" t="s">
        <v>238</v>
      </c>
      <c r="L25" s="415">
        <f t="shared" si="4"/>
        <v>77.688560999999993</v>
      </c>
      <c r="M25" s="415">
        <f t="shared" si="0"/>
        <v>20.7169496</v>
      </c>
      <c r="N25" s="416">
        <f t="shared" si="1"/>
        <v>10.3584748</v>
      </c>
      <c r="O25" s="416">
        <f t="shared" si="2"/>
        <v>10.3584748</v>
      </c>
      <c r="P25" s="413">
        <f t="shared" si="3"/>
        <v>36.254661799999994</v>
      </c>
    </row>
    <row r="26" spans="1:16">
      <c r="A26" s="410">
        <v>24</v>
      </c>
      <c r="B26" s="503" t="s">
        <v>823</v>
      </c>
      <c r="C26" s="498" t="s">
        <v>234</v>
      </c>
      <c r="D26" s="506">
        <v>1003110603426</v>
      </c>
      <c r="E26" s="648" t="s">
        <v>824</v>
      </c>
      <c r="F26" s="294">
        <v>708.02</v>
      </c>
      <c r="G26" s="294">
        <f t="shared" si="5"/>
        <v>52.251876000000003</v>
      </c>
      <c r="H26" s="294">
        <v>59.02</v>
      </c>
      <c r="I26" s="293">
        <f t="shared" si="6"/>
        <v>596.74812399999996</v>
      </c>
      <c r="J26" s="498" t="s">
        <v>13</v>
      </c>
      <c r="K26" s="498" t="s">
        <v>26</v>
      </c>
      <c r="L26" s="293">
        <f t="shared" si="4"/>
        <v>89.512218599999997</v>
      </c>
      <c r="M26" s="293">
        <f t="shared" si="0"/>
        <v>23.869924959999999</v>
      </c>
      <c r="N26" s="296">
        <f t="shared" si="1"/>
        <v>11.934962479999999</v>
      </c>
      <c r="O26" s="296">
        <f t="shared" si="2"/>
        <v>11.934962479999999</v>
      </c>
      <c r="P26" s="294">
        <f t="shared" si="3"/>
        <v>41.77236868</v>
      </c>
    </row>
    <row r="27" spans="1:16">
      <c r="A27" s="410">
        <v>25</v>
      </c>
      <c r="B27" s="411" t="s">
        <v>825</v>
      </c>
      <c r="C27" s="419" t="s">
        <v>173</v>
      </c>
      <c r="D27" s="369">
        <v>1003110610658</v>
      </c>
      <c r="E27" s="268">
        <v>5633553</v>
      </c>
      <c r="F27" s="418">
        <v>640.16999999999996</v>
      </c>
      <c r="G27" s="413">
        <f t="shared" si="5"/>
        <v>47.244546</v>
      </c>
      <c r="H27" s="418">
        <v>68.790000000000006</v>
      </c>
      <c r="I27" s="415">
        <f t="shared" si="6"/>
        <v>524.13545399999998</v>
      </c>
      <c r="J27" s="428" t="s">
        <v>16</v>
      </c>
      <c r="K27" s="418" t="s">
        <v>25</v>
      </c>
      <c r="L27" s="415">
        <f t="shared" si="4"/>
        <v>78.620318099999992</v>
      </c>
      <c r="M27" s="415">
        <f t="shared" si="0"/>
        <v>20.965418159999999</v>
      </c>
      <c r="N27" s="416">
        <f t="shared" si="1"/>
        <v>10.482709079999999</v>
      </c>
      <c r="O27" s="416">
        <f t="shared" si="2"/>
        <v>10.482709079999999</v>
      </c>
      <c r="P27" s="413">
        <f t="shared" si="3"/>
        <v>36.689481779999994</v>
      </c>
    </row>
    <row r="28" spans="1:16">
      <c r="A28" s="410">
        <v>26</v>
      </c>
      <c r="B28" s="411" t="s">
        <v>826</v>
      </c>
      <c r="C28" s="419" t="s">
        <v>29</v>
      </c>
      <c r="D28" s="254">
        <v>1003110604763</v>
      </c>
      <c r="E28" s="268">
        <v>5634476</v>
      </c>
      <c r="F28" s="418">
        <v>709.02</v>
      </c>
      <c r="G28" s="413">
        <f t="shared" si="5"/>
        <v>52.325676000000001</v>
      </c>
      <c r="H28" s="418">
        <v>187.29</v>
      </c>
      <c r="I28" s="415">
        <f t="shared" si="6"/>
        <v>469.40432399999997</v>
      </c>
      <c r="J28" s="428" t="s">
        <v>13</v>
      </c>
      <c r="K28" s="418" t="s">
        <v>235</v>
      </c>
      <c r="L28" s="415">
        <f t="shared" si="4"/>
        <v>70.410648599999988</v>
      </c>
      <c r="M28" s="415">
        <f t="shared" si="0"/>
        <v>18.77617296</v>
      </c>
      <c r="N28" s="416">
        <f t="shared" si="1"/>
        <v>9.3880864800000001</v>
      </c>
      <c r="O28" s="416">
        <f t="shared" si="2"/>
        <v>9.3880864800000001</v>
      </c>
      <c r="P28" s="413">
        <f t="shared" si="3"/>
        <v>32.858302679999994</v>
      </c>
    </row>
    <row r="29" spans="1:16">
      <c r="A29" s="410">
        <v>27</v>
      </c>
      <c r="B29" s="411" t="s">
        <v>827</v>
      </c>
      <c r="C29" s="419" t="s">
        <v>29</v>
      </c>
      <c r="D29" s="254">
        <v>1003110604715</v>
      </c>
      <c r="E29" s="268">
        <v>5634778</v>
      </c>
      <c r="F29" s="418">
        <v>700.41</v>
      </c>
      <c r="G29" s="413">
        <f t="shared" si="5"/>
        <v>51.690258</v>
      </c>
      <c r="H29" s="418">
        <v>86.39</v>
      </c>
      <c r="I29" s="415">
        <f t="shared" si="6"/>
        <v>562.32974200000001</v>
      </c>
      <c r="J29" s="428" t="s">
        <v>13</v>
      </c>
      <c r="K29" s="418" t="s">
        <v>17</v>
      </c>
      <c r="L29" s="415">
        <f t="shared" si="4"/>
        <v>84.349461300000002</v>
      </c>
      <c r="M29" s="415">
        <f t="shared" si="0"/>
        <v>22.49318968</v>
      </c>
      <c r="N29" s="416">
        <f t="shared" si="1"/>
        <v>11.24659484</v>
      </c>
      <c r="O29" s="416">
        <f t="shared" si="2"/>
        <v>11.24659484</v>
      </c>
      <c r="P29" s="413">
        <f t="shared" si="3"/>
        <v>39.363081940000001</v>
      </c>
    </row>
    <row r="30" spans="1:16">
      <c r="A30" s="410">
        <v>28</v>
      </c>
      <c r="B30" s="339" t="s">
        <v>828</v>
      </c>
      <c r="C30" s="327" t="s">
        <v>173</v>
      </c>
      <c r="D30" s="400">
        <v>1003110604643</v>
      </c>
      <c r="E30" s="495">
        <v>5634650</v>
      </c>
      <c r="F30" s="294">
        <v>589.1</v>
      </c>
      <c r="G30" s="294">
        <f t="shared" si="5"/>
        <v>43.475580000000001</v>
      </c>
      <c r="H30" s="294">
        <v>63.3</v>
      </c>
      <c r="I30" s="293">
        <f t="shared" si="6"/>
        <v>482.32441999999998</v>
      </c>
      <c r="J30" s="329" t="s">
        <v>13</v>
      </c>
      <c r="K30" s="294" t="s">
        <v>238</v>
      </c>
      <c r="L30" s="293">
        <f t="shared" si="4"/>
        <v>72.348662999999988</v>
      </c>
      <c r="M30" s="293">
        <f t="shared" si="0"/>
        <v>19.292976799999998</v>
      </c>
      <c r="N30" s="296">
        <f t="shared" si="1"/>
        <v>9.6464883999999991</v>
      </c>
      <c r="O30" s="296">
        <f t="shared" si="2"/>
        <v>9.6464883999999991</v>
      </c>
      <c r="P30" s="294">
        <f t="shared" si="3"/>
        <v>33.762709399999991</v>
      </c>
    </row>
    <row r="31" spans="1:16">
      <c r="A31" s="410">
        <v>29</v>
      </c>
      <c r="B31" s="411" t="s">
        <v>829</v>
      </c>
      <c r="C31" s="419" t="s">
        <v>475</v>
      </c>
      <c r="D31" s="254">
        <v>1003110604614</v>
      </c>
      <c r="E31" s="268">
        <v>5634543</v>
      </c>
      <c r="F31" s="418">
        <v>579.04999999999995</v>
      </c>
      <c r="G31" s="413">
        <f t="shared" si="5"/>
        <v>42.733890000000002</v>
      </c>
      <c r="H31" s="418">
        <v>62.22</v>
      </c>
      <c r="I31" s="415">
        <f t="shared" si="6"/>
        <v>474.09610999999995</v>
      </c>
      <c r="J31" s="428" t="s">
        <v>13</v>
      </c>
      <c r="K31" s="418" t="s">
        <v>49</v>
      </c>
      <c r="L31" s="415">
        <f t="shared" si="4"/>
        <v>71.11441649999999</v>
      </c>
      <c r="M31" s="415">
        <f t="shared" si="0"/>
        <v>18.963844399999999</v>
      </c>
      <c r="N31" s="416">
        <f t="shared" si="1"/>
        <v>9.4819221999999996</v>
      </c>
      <c r="O31" s="416">
        <f t="shared" si="2"/>
        <v>9.4819221999999996</v>
      </c>
      <c r="P31" s="413">
        <f t="shared" si="3"/>
        <v>33.186727699999992</v>
      </c>
    </row>
    <row r="32" spans="1:16">
      <c r="A32" s="410">
        <v>30</v>
      </c>
      <c r="B32" s="411" t="s">
        <v>830</v>
      </c>
      <c r="C32" s="419" t="s">
        <v>475</v>
      </c>
      <c r="D32" s="254">
        <v>2638031</v>
      </c>
      <c r="E32" s="280">
        <v>5632271</v>
      </c>
      <c r="F32" s="418">
        <v>837.32</v>
      </c>
      <c r="G32" s="413">
        <f t="shared" si="5"/>
        <v>61.794216000000006</v>
      </c>
      <c r="H32" s="418">
        <v>110.99</v>
      </c>
      <c r="I32" s="415">
        <f t="shared" si="6"/>
        <v>664.53578400000004</v>
      </c>
      <c r="J32" s="428" t="s">
        <v>13</v>
      </c>
      <c r="K32" s="418" t="s">
        <v>17</v>
      </c>
      <c r="L32" s="415">
        <f t="shared" si="4"/>
        <v>99.680367599999997</v>
      </c>
      <c r="M32" s="415">
        <f t="shared" si="0"/>
        <v>26.581431360000003</v>
      </c>
      <c r="N32" s="416">
        <f t="shared" si="1"/>
        <v>13.290715680000002</v>
      </c>
      <c r="O32" s="416">
        <f t="shared" si="2"/>
        <v>13.290715680000002</v>
      </c>
      <c r="P32" s="413">
        <f t="shared" si="3"/>
        <v>46.51750487999999</v>
      </c>
    </row>
    <row r="33" spans="1:16">
      <c r="A33" s="410">
        <v>31</v>
      </c>
      <c r="B33" s="411" t="s">
        <v>831</v>
      </c>
      <c r="C33" s="419" t="s">
        <v>173</v>
      </c>
      <c r="D33" s="254">
        <v>2633935</v>
      </c>
      <c r="E33" s="280">
        <v>5637315</v>
      </c>
      <c r="F33" s="418">
        <v>688.36</v>
      </c>
      <c r="G33" s="413">
        <f t="shared" si="5"/>
        <v>50.800968000000005</v>
      </c>
      <c r="H33" s="418">
        <v>60.38</v>
      </c>
      <c r="I33" s="415">
        <f t="shared" si="6"/>
        <v>577.17903200000001</v>
      </c>
      <c r="J33" s="428" t="s">
        <v>16</v>
      </c>
      <c r="K33" s="418" t="s">
        <v>733</v>
      </c>
      <c r="L33" s="415">
        <f t="shared" si="4"/>
        <v>86.576854799999992</v>
      </c>
      <c r="M33" s="415">
        <f t="shared" si="0"/>
        <v>23.08716128</v>
      </c>
      <c r="N33" s="416">
        <f t="shared" si="1"/>
        <v>11.54358064</v>
      </c>
      <c r="O33" s="416">
        <f t="shared" si="2"/>
        <v>11.54358064</v>
      </c>
      <c r="P33" s="413">
        <f t="shared" si="3"/>
        <v>40.402532239999985</v>
      </c>
    </row>
    <row r="34" spans="1:16">
      <c r="A34" s="410">
        <v>32</v>
      </c>
      <c r="B34" s="411" t="s">
        <v>832</v>
      </c>
      <c r="C34" s="419" t="s">
        <v>173</v>
      </c>
      <c r="D34" s="254">
        <v>1003110606893</v>
      </c>
      <c r="E34" s="280">
        <v>5637412</v>
      </c>
      <c r="F34" s="418">
        <v>560.41999999999996</v>
      </c>
      <c r="G34" s="413">
        <f t="shared" si="5"/>
        <v>41.358995999999998</v>
      </c>
      <c r="H34" s="418">
        <v>60.22</v>
      </c>
      <c r="I34" s="415">
        <f t="shared" si="6"/>
        <v>458.84100399999988</v>
      </c>
      <c r="J34" s="428" t="s">
        <v>13</v>
      </c>
      <c r="K34" s="418" t="s">
        <v>410</v>
      </c>
      <c r="L34" s="415">
        <f t="shared" si="4"/>
        <v>68.826150599999977</v>
      </c>
      <c r="M34" s="415">
        <f t="shared" si="0"/>
        <v>18.353640159999994</v>
      </c>
      <c r="N34" s="416">
        <f t="shared" si="1"/>
        <v>9.176820079999997</v>
      </c>
      <c r="O34" s="416">
        <f t="shared" si="2"/>
        <v>9.176820079999997</v>
      </c>
      <c r="P34" s="413">
        <f t="shared" si="3"/>
        <v>32.118870279999982</v>
      </c>
    </row>
    <row r="35" spans="1:16">
      <c r="A35" s="410">
        <v>33</v>
      </c>
      <c r="B35" s="411" t="s">
        <v>833</v>
      </c>
      <c r="C35" s="419" t="s">
        <v>29</v>
      </c>
      <c r="D35" s="437">
        <v>1003110606893</v>
      </c>
      <c r="E35" s="280">
        <v>5635012</v>
      </c>
      <c r="F35" s="418">
        <v>638.55999999999995</v>
      </c>
      <c r="G35" s="413">
        <f t="shared" si="5"/>
        <v>47.125728000000002</v>
      </c>
      <c r="H35" s="418">
        <v>53.21</v>
      </c>
      <c r="I35" s="415">
        <f t="shared" si="6"/>
        <v>538.22427199999993</v>
      </c>
      <c r="J35" s="428" t="s">
        <v>16</v>
      </c>
      <c r="K35" s="418" t="s">
        <v>17</v>
      </c>
      <c r="L35" s="415">
        <f t="shared" si="4"/>
        <v>80.733640799999989</v>
      </c>
      <c r="M35" s="415">
        <f t="shared" si="0"/>
        <v>21.528970879999999</v>
      </c>
      <c r="N35" s="416">
        <f t="shared" si="1"/>
        <v>10.76448544</v>
      </c>
      <c r="O35" s="416">
        <f t="shared" si="2"/>
        <v>10.76448544</v>
      </c>
      <c r="P35" s="413">
        <f t="shared" si="3"/>
        <v>37.675699039999984</v>
      </c>
    </row>
    <row r="36" spans="1:16">
      <c r="A36" s="410">
        <v>34</v>
      </c>
      <c r="B36" s="411" t="s">
        <v>834</v>
      </c>
      <c r="C36" s="419" t="s">
        <v>475</v>
      </c>
      <c r="D36" s="254">
        <v>10031110617770</v>
      </c>
      <c r="E36" s="280">
        <v>5635095</v>
      </c>
      <c r="F36" s="418">
        <v>510.07</v>
      </c>
      <c r="G36" s="413">
        <f t="shared" si="5"/>
        <v>37.643166000000001</v>
      </c>
      <c r="H36" s="418">
        <v>0</v>
      </c>
      <c r="I36" s="415">
        <f t="shared" si="6"/>
        <v>472.42683399999999</v>
      </c>
      <c r="J36" s="428" t="s">
        <v>13</v>
      </c>
      <c r="K36" s="418" t="s">
        <v>26</v>
      </c>
      <c r="L36" s="415">
        <f t="shared" si="4"/>
        <v>70.864025099999992</v>
      </c>
      <c r="M36" s="415">
        <f t="shared" si="0"/>
        <v>18.89707336</v>
      </c>
      <c r="N36" s="416">
        <f t="shared" si="1"/>
        <v>9.4485366800000001</v>
      </c>
      <c r="O36" s="416">
        <f t="shared" si="2"/>
        <v>9.4485366800000001</v>
      </c>
      <c r="P36" s="413">
        <f t="shared" si="3"/>
        <v>33.069878379999992</v>
      </c>
    </row>
    <row r="37" spans="1:16">
      <c r="A37" s="410">
        <v>35</v>
      </c>
      <c r="B37" s="411" t="s">
        <v>835</v>
      </c>
      <c r="C37" s="419" t="s">
        <v>475</v>
      </c>
      <c r="D37" s="254">
        <v>5177202542311</v>
      </c>
      <c r="E37" s="280" t="s">
        <v>836</v>
      </c>
      <c r="F37" s="418">
        <v>381.17</v>
      </c>
      <c r="G37" s="413">
        <f t="shared" si="5"/>
        <v>28.130346000000003</v>
      </c>
      <c r="H37" s="418">
        <v>95.29</v>
      </c>
      <c r="I37" s="415">
        <f t="shared" si="6"/>
        <v>257.74965400000002</v>
      </c>
      <c r="J37" s="428" t="s">
        <v>16</v>
      </c>
      <c r="K37" s="418" t="s">
        <v>26</v>
      </c>
      <c r="L37" s="415">
        <f t="shared" si="4"/>
        <v>38.662448099999999</v>
      </c>
      <c r="M37" s="415">
        <f t="shared" si="0"/>
        <v>10.309986160000001</v>
      </c>
      <c r="N37" s="416">
        <f t="shared" si="1"/>
        <v>5.1549930800000006</v>
      </c>
      <c r="O37" s="416">
        <f t="shared" si="2"/>
        <v>5.1549930800000006</v>
      </c>
      <c r="P37" s="413">
        <f t="shared" si="3"/>
        <v>18.042475779999997</v>
      </c>
    </row>
    <row r="38" spans="1:16">
      <c r="A38" s="410">
        <v>36</v>
      </c>
      <c r="B38" s="411" t="s">
        <v>837</v>
      </c>
      <c r="C38" s="419" t="s">
        <v>809</v>
      </c>
      <c r="D38" s="254">
        <v>1003110614524</v>
      </c>
      <c r="E38" s="280">
        <v>5641217</v>
      </c>
      <c r="F38" s="418">
        <v>1104.48</v>
      </c>
      <c r="G38" s="413">
        <f t="shared" si="5"/>
        <v>81.510624000000007</v>
      </c>
      <c r="H38" s="418">
        <v>0</v>
      </c>
      <c r="I38" s="415">
        <f t="shared" si="6"/>
        <v>1022.969376</v>
      </c>
      <c r="J38" s="428" t="s">
        <v>13</v>
      </c>
      <c r="K38" s="418" t="s">
        <v>235</v>
      </c>
      <c r="L38" s="415">
        <f t="shared" si="4"/>
        <v>153.4454064</v>
      </c>
      <c r="M38" s="415">
        <f t="shared" si="0"/>
        <v>40.91877504</v>
      </c>
      <c r="N38" s="416">
        <f t="shared" si="1"/>
        <v>20.45938752</v>
      </c>
      <c r="O38" s="416">
        <f t="shared" si="2"/>
        <v>20.45938752</v>
      </c>
      <c r="P38" s="413">
        <f t="shared" si="3"/>
        <v>71.607856319999996</v>
      </c>
    </row>
    <row r="39" spans="1:16">
      <c r="A39" s="410">
        <v>37</v>
      </c>
      <c r="B39" s="339" t="s">
        <v>838</v>
      </c>
      <c r="C39" s="327" t="s">
        <v>839</v>
      </c>
      <c r="D39" s="400">
        <v>1003110614710</v>
      </c>
      <c r="E39" s="401">
        <v>5640438</v>
      </c>
      <c r="F39" s="294">
        <v>598.67999999999995</v>
      </c>
      <c r="G39" s="294">
        <f t="shared" si="5"/>
        <v>44.182583999999999</v>
      </c>
      <c r="H39" s="294">
        <v>64.33</v>
      </c>
      <c r="I39" s="293">
        <f t="shared" si="6"/>
        <v>490.16741599999995</v>
      </c>
      <c r="J39" s="329" t="s">
        <v>16</v>
      </c>
      <c r="K39" s="294" t="s">
        <v>174</v>
      </c>
      <c r="L39" s="293">
        <f t="shared" si="4"/>
        <v>73.525112399999983</v>
      </c>
      <c r="M39" s="293">
        <f t="shared" si="0"/>
        <v>19.606696639999999</v>
      </c>
      <c r="N39" s="296">
        <f t="shared" si="1"/>
        <v>9.8033483199999996</v>
      </c>
      <c r="O39" s="296">
        <f t="shared" si="2"/>
        <v>9.8033483199999996</v>
      </c>
      <c r="P39" s="294">
        <f t="shared" si="3"/>
        <v>34.311719119999992</v>
      </c>
    </row>
    <row r="40" spans="1:16">
      <c r="A40" s="410">
        <v>38</v>
      </c>
      <c r="B40" s="339" t="s">
        <v>840</v>
      </c>
      <c r="C40" s="327" t="s">
        <v>29</v>
      </c>
      <c r="D40" s="400">
        <v>1003110611736</v>
      </c>
      <c r="E40" s="401">
        <v>5639812</v>
      </c>
      <c r="F40" s="294">
        <v>784.17</v>
      </c>
      <c r="G40" s="294">
        <f t="shared" si="5"/>
        <v>57.871746000000002</v>
      </c>
      <c r="H40" s="294">
        <v>84.26</v>
      </c>
      <c r="I40" s="293">
        <f t="shared" si="6"/>
        <v>642.03825399999994</v>
      </c>
      <c r="J40" s="329" t="s">
        <v>13</v>
      </c>
      <c r="K40" s="294" t="s">
        <v>26</v>
      </c>
      <c r="L40" s="293">
        <f t="shared" si="4"/>
        <v>96.305738099999985</v>
      </c>
      <c r="M40" s="293">
        <f t="shared" si="0"/>
        <v>25.681530159999998</v>
      </c>
      <c r="N40" s="296">
        <f t="shared" si="1"/>
        <v>12.840765079999999</v>
      </c>
      <c r="O40" s="296">
        <f t="shared" si="2"/>
        <v>12.840765079999999</v>
      </c>
      <c r="P40" s="294">
        <f t="shared" si="3"/>
        <v>44.942677779999997</v>
      </c>
    </row>
    <row r="41" spans="1:16">
      <c r="A41" s="410">
        <v>39</v>
      </c>
      <c r="B41" s="411" t="s">
        <v>841</v>
      </c>
      <c r="C41" s="419" t="s">
        <v>29</v>
      </c>
      <c r="D41" s="254">
        <v>1003110612053</v>
      </c>
      <c r="E41" s="280" t="s">
        <v>842</v>
      </c>
      <c r="F41" s="418">
        <v>526.88</v>
      </c>
      <c r="G41" s="413">
        <f t="shared" si="5"/>
        <v>38.883744</v>
      </c>
      <c r="H41" s="418">
        <v>0</v>
      </c>
      <c r="I41" s="415">
        <f t="shared" si="6"/>
        <v>487.99625600000002</v>
      </c>
      <c r="J41" s="428" t="s">
        <v>13</v>
      </c>
      <c r="K41" s="418" t="s">
        <v>49</v>
      </c>
      <c r="L41" s="415">
        <f t="shared" si="4"/>
        <v>73.199438400000005</v>
      </c>
      <c r="M41" s="415">
        <f t="shared" si="0"/>
        <v>19.51985024</v>
      </c>
      <c r="N41" s="416">
        <f t="shared" si="1"/>
        <v>9.7599251200000001</v>
      </c>
      <c r="O41" s="416">
        <f t="shared" si="2"/>
        <v>9.7599251200000001</v>
      </c>
      <c r="P41" s="413">
        <f t="shared" si="3"/>
        <v>34.159737920000012</v>
      </c>
    </row>
    <row r="42" spans="1:16">
      <c r="A42" s="410">
        <v>40</v>
      </c>
      <c r="B42" s="339" t="s">
        <v>843</v>
      </c>
      <c r="C42" s="327" t="s">
        <v>475</v>
      </c>
      <c r="D42" s="400">
        <v>1003110617210</v>
      </c>
      <c r="E42" s="401">
        <v>5641796</v>
      </c>
      <c r="F42" s="294">
        <v>749.67</v>
      </c>
      <c r="G42" s="294">
        <f t="shared" si="5"/>
        <v>55.325645999999999</v>
      </c>
      <c r="H42" s="294">
        <v>92.46</v>
      </c>
      <c r="I42" s="293">
        <f t="shared" si="6"/>
        <v>601.88435399999992</v>
      </c>
      <c r="J42" s="329" t="s">
        <v>13</v>
      </c>
      <c r="K42" s="294" t="s">
        <v>17</v>
      </c>
      <c r="L42" s="293">
        <f t="shared" si="4"/>
        <v>90.28265309999999</v>
      </c>
      <c r="M42" s="293">
        <f t="shared" si="0"/>
        <v>24.075374159999996</v>
      </c>
      <c r="N42" s="296">
        <f t="shared" si="1"/>
        <v>12.037687079999998</v>
      </c>
      <c r="O42" s="296">
        <f t="shared" si="2"/>
        <v>12.037687079999998</v>
      </c>
      <c r="P42" s="294">
        <f t="shared" si="3"/>
        <v>42.131904779999999</v>
      </c>
    </row>
    <row r="43" spans="1:16">
      <c r="A43" s="410">
        <v>41</v>
      </c>
      <c r="B43" s="411" t="s">
        <v>844</v>
      </c>
      <c r="C43" s="419" t="s">
        <v>18</v>
      </c>
      <c r="D43" s="254">
        <v>1003110617953</v>
      </c>
      <c r="E43" s="280" t="s">
        <v>845</v>
      </c>
      <c r="F43" s="418">
        <v>502.71</v>
      </c>
      <c r="G43" s="413">
        <f t="shared" si="5"/>
        <v>37.099997999999999</v>
      </c>
      <c r="H43" s="418">
        <v>0</v>
      </c>
      <c r="I43" s="415">
        <f t="shared" si="6"/>
        <v>465.61000200000001</v>
      </c>
      <c r="J43" s="428" t="s">
        <v>13</v>
      </c>
      <c r="K43" s="418" t="s">
        <v>17</v>
      </c>
      <c r="L43" s="415">
        <f t="shared" si="4"/>
        <v>69.841500299999993</v>
      </c>
      <c r="M43" s="415">
        <f t="shared" si="0"/>
        <v>18.624400080000001</v>
      </c>
      <c r="N43" s="416">
        <f t="shared" si="1"/>
        <v>9.3122000400000005</v>
      </c>
      <c r="O43" s="416">
        <f t="shared" si="2"/>
        <v>9.3122000400000005</v>
      </c>
      <c r="P43" s="413">
        <f t="shared" si="3"/>
        <v>32.592700139999991</v>
      </c>
    </row>
    <row r="44" spans="1:16">
      <c r="A44" s="410">
        <v>42</v>
      </c>
      <c r="B44" s="411" t="s">
        <v>846</v>
      </c>
      <c r="C44" s="419" t="s">
        <v>847</v>
      </c>
      <c r="D44" s="254">
        <v>1003110618137</v>
      </c>
      <c r="E44" s="280">
        <v>5641462</v>
      </c>
      <c r="F44" s="418">
        <v>563.32000000000005</v>
      </c>
      <c r="G44" s="413">
        <f t="shared" si="5"/>
        <v>41.57301600000001</v>
      </c>
      <c r="H44" s="418">
        <v>148.80000000000001</v>
      </c>
      <c r="I44" s="415">
        <f t="shared" si="6"/>
        <v>372.94698399999999</v>
      </c>
      <c r="J44" s="428" t="s">
        <v>13</v>
      </c>
      <c r="K44" s="418" t="s">
        <v>235</v>
      </c>
      <c r="L44" s="415">
        <f t="shared" si="4"/>
        <v>55.942047599999995</v>
      </c>
      <c r="M44" s="415">
        <f t="shared" si="0"/>
        <v>14.917879360000001</v>
      </c>
      <c r="N44" s="416">
        <f t="shared" si="1"/>
        <v>7.4589396800000003</v>
      </c>
      <c r="O44" s="416">
        <f t="shared" si="2"/>
        <v>7.4589396800000003</v>
      </c>
      <c r="P44" s="413">
        <f t="shared" si="3"/>
        <v>26.106288879999994</v>
      </c>
    </row>
    <row r="45" spans="1:16">
      <c r="A45" s="410">
        <v>43</v>
      </c>
      <c r="B45" s="226" t="s">
        <v>848</v>
      </c>
      <c r="C45" s="165" t="s">
        <v>29</v>
      </c>
      <c r="D45" s="382" t="s">
        <v>32</v>
      </c>
      <c r="E45" s="383">
        <v>5639494</v>
      </c>
      <c r="F45" s="168">
        <v>632.70000000000005</v>
      </c>
      <c r="G45" s="169">
        <f t="shared" si="5"/>
        <v>46.693260000000009</v>
      </c>
      <c r="H45" s="168">
        <v>0</v>
      </c>
      <c r="I45" s="170">
        <f t="shared" si="6"/>
        <v>586.00674000000004</v>
      </c>
      <c r="J45" s="167" t="s">
        <v>13</v>
      </c>
      <c r="K45" s="168" t="s">
        <v>266</v>
      </c>
      <c r="L45" s="170">
        <f t="shared" si="4"/>
        <v>87.901010999999997</v>
      </c>
      <c r="M45" s="170">
        <f t="shared" si="0"/>
        <v>23.440269600000001</v>
      </c>
      <c r="N45" s="171">
        <f t="shared" si="1"/>
        <v>11.7201348</v>
      </c>
      <c r="O45" s="171">
        <f t="shared" si="2"/>
        <v>11.7201348</v>
      </c>
      <c r="P45" s="169">
        <f t="shared" si="3"/>
        <v>41.020471799999996</v>
      </c>
    </row>
    <row r="46" spans="1:16">
      <c r="A46" s="410">
        <v>44</v>
      </c>
      <c r="B46" s="411" t="s">
        <v>849</v>
      </c>
      <c r="C46" s="419" t="s">
        <v>29</v>
      </c>
      <c r="D46" s="281">
        <v>1003110623882</v>
      </c>
      <c r="E46" s="280">
        <v>5638028</v>
      </c>
      <c r="F46" s="418">
        <v>648.01</v>
      </c>
      <c r="G46" s="413">
        <f t="shared" si="5"/>
        <v>47.823138</v>
      </c>
      <c r="H46" s="418">
        <v>69.98</v>
      </c>
      <c r="I46" s="415">
        <f t="shared" si="6"/>
        <v>530.206862</v>
      </c>
      <c r="J46" s="428" t="s">
        <v>13</v>
      </c>
      <c r="K46" s="418" t="s">
        <v>14</v>
      </c>
      <c r="L46" s="415">
        <f t="shared" si="4"/>
        <v>79.5310293</v>
      </c>
      <c r="M46" s="415">
        <f t="shared" si="0"/>
        <v>21.20827448</v>
      </c>
      <c r="N46" s="416">
        <f t="shared" si="1"/>
        <v>10.60413724</v>
      </c>
      <c r="O46" s="416">
        <f t="shared" si="2"/>
        <v>10.60413724</v>
      </c>
      <c r="P46" s="413">
        <f t="shared" si="3"/>
        <v>37.11448034</v>
      </c>
    </row>
    <row r="47" spans="1:16">
      <c r="A47" s="410">
        <v>45</v>
      </c>
      <c r="B47" s="411" t="s">
        <v>850</v>
      </c>
      <c r="C47" s="419" t="s">
        <v>12</v>
      </c>
      <c r="D47" s="254">
        <v>1003110624013</v>
      </c>
      <c r="E47" s="280">
        <v>5645975</v>
      </c>
      <c r="F47" s="418">
        <v>606.97</v>
      </c>
      <c r="G47" s="413">
        <f t="shared" si="5"/>
        <v>44.794386000000003</v>
      </c>
      <c r="H47" s="418">
        <v>65.22</v>
      </c>
      <c r="I47" s="415">
        <f t="shared" si="6"/>
        <v>496.95561399999997</v>
      </c>
      <c r="J47" s="428" t="s">
        <v>13</v>
      </c>
      <c r="K47" s="418" t="s">
        <v>14</v>
      </c>
      <c r="L47" s="415">
        <f t="shared" si="4"/>
        <v>74.54334209999999</v>
      </c>
      <c r="M47" s="415">
        <f t="shared" si="0"/>
        <v>19.87822456</v>
      </c>
      <c r="N47" s="416">
        <f t="shared" si="1"/>
        <v>9.9391122799999998</v>
      </c>
      <c r="O47" s="416">
        <f t="shared" si="2"/>
        <v>9.9391122799999998</v>
      </c>
      <c r="P47" s="413">
        <f t="shared" si="3"/>
        <v>34.78689297999999</v>
      </c>
    </row>
    <row r="48" spans="1:16">
      <c r="A48" s="410">
        <v>46</v>
      </c>
      <c r="B48" s="411" t="s">
        <v>851</v>
      </c>
      <c r="C48" s="419" t="s">
        <v>29</v>
      </c>
      <c r="D48" s="254">
        <v>2640818</v>
      </c>
      <c r="E48" s="280">
        <v>5644200</v>
      </c>
      <c r="F48" s="418">
        <v>622.79999999999995</v>
      </c>
      <c r="G48" s="413">
        <f t="shared" si="5"/>
        <v>45.96264</v>
      </c>
      <c r="H48" s="418">
        <v>54.63</v>
      </c>
      <c r="I48" s="415">
        <f t="shared" si="6"/>
        <v>522.20735999999999</v>
      </c>
      <c r="J48" s="428" t="s">
        <v>16</v>
      </c>
      <c r="K48" s="418" t="s">
        <v>641</v>
      </c>
      <c r="L48" s="415">
        <f t="shared" si="4"/>
        <v>78.331103999999996</v>
      </c>
      <c r="M48" s="415">
        <f t="shared" si="0"/>
        <v>20.888294399999999</v>
      </c>
      <c r="N48" s="416">
        <f t="shared" si="1"/>
        <v>10.4441472</v>
      </c>
      <c r="O48" s="416">
        <f t="shared" si="2"/>
        <v>10.4441472</v>
      </c>
      <c r="P48" s="413">
        <f t="shared" si="3"/>
        <v>36.554515199999997</v>
      </c>
    </row>
    <row r="49" spans="1:16">
      <c r="A49" s="410">
        <v>47</v>
      </c>
      <c r="B49" s="411" t="s">
        <v>852</v>
      </c>
      <c r="C49" s="419" t="s">
        <v>12</v>
      </c>
      <c r="D49" s="254">
        <v>10031106232572</v>
      </c>
      <c r="E49" s="280">
        <v>5649548</v>
      </c>
      <c r="F49" s="418">
        <v>621.96</v>
      </c>
      <c r="G49" s="413">
        <f t="shared" si="5"/>
        <v>45.900648000000004</v>
      </c>
      <c r="H49" s="418">
        <v>0</v>
      </c>
      <c r="I49" s="415">
        <f t="shared" si="6"/>
        <v>576.05935199999999</v>
      </c>
      <c r="J49" s="428" t="s">
        <v>13</v>
      </c>
      <c r="K49" s="418" t="s">
        <v>235</v>
      </c>
      <c r="L49" s="415">
        <f t="shared" si="4"/>
        <v>86.408902799999993</v>
      </c>
      <c r="M49" s="415">
        <f t="shared" si="0"/>
        <v>23.042374079999998</v>
      </c>
      <c r="N49" s="416">
        <f t="shared" si="1"/>
        <v>11.521187039999999</v>
      </c>
      <c r="O49" s="416">
        <f t="shared" si="2"/>
        <v>11.521187039999999</v>
      </c>
      <c r="P49" s="413">
        <f t="shared" si="3"/>
        <v>40.324154639999989</v>
      </c>
    </row>
    <row r="50" spans="1:16">
      <c r="A50" s="410">
        <v>48</v>
      </c>
      <c r="B50" s="411" t="s">
        <v>291</v>
      </c>
      <c r="C50" s="419" t="s">
        <v>809</v>
      </c>
      <c r="D50" s="254">
        <v>51772025423111</v>
      </c>
      <c r="E50" s="280">
        <v>5637934</v>
      </c>
      <c r="F50" s="418">
        <v>1888.43</v>
      </c>
      <c r="G50" s="413">
        <f t="shared" si="5"/>
        <v>139.36613400000002</v>
      </c>
      <c r="H50" s="418">
        <v>0</v>
      </c>
      <c r="I50" s="415">
        <f t="shared" si="6"/>
        <v>1749.063866</v>
      </c>
      <c r="J50" s="428" t="s">
        <v>13</v>
      </c>
      <c r="K50" s="418" t="s">
        <v>641</v>
      </c>
      <c r="L50" s="415">
        <f t="shared" si="4"/>
        <v>262.35957989999997</v>
      </c>
      <c r="M50" s="415">
        <f t="shared" si="0"/>
        <v>69.962554639999993</v>
      </c>
      <c r="N50" s="416">
        <f t="shared" si="1"/>
        <v>34.981277319999997</v>
      </c>
      <c r="O50" s="416">
        <f t="shared" si="2"/>
        <v>34.981277319999997</v>
      </c>
      <c r="P50" s="413">
        <f t="shared" si="3"/>
        <v>122.43447061999996</v>
      </c>
    </row>
    <row r="51" spans="1:16">
      <c r="A51" s="410">
        <v>49</v>
      </c>
      <c r="B51" s="339" t="s">
        <v>853</v>
      </c>
      <c r="C51" s="327" t="s">
        <v>173</v>
      </c>
      <c r="D51" s="400">
        <v>1003110629338</v>
      </c>
      <c r="E51" s="401">
        <v>5647009</v>
      </c>
      <c r="F51" s="294">
        <v>486.78</v>
      </c>
      <c r="G51" s="294">
        <f t="shared" si="5"/>
        <v>35.924363999999997</v>
      </c>
      <c r="H51" s="294">
        <v>52.31</v>
      </c>
      <c r="I51" s="293">
        <f t="shared" si="6"/>
        <v>398.545636</v>
      </c>
      <c r="J51" s="329" t="s">
        <v>13</v>
      </c>
      <c r="K51" s="294" t="s">
        <v>26</v>
      </c>
      <c r="L51" s="293">
        <f t="shared" si="4"/>
        <v>59.781845399999995</v>
      </c>
      <c r="M51" s="293">
        <f t="shared" si="0"/>
        <v>15.941825440000001</v>
      </c>
      <c r="N51" s="296">
        <f t="shared" si="1"/>
        <v>7.9709127200000003</v>
      </c>
      <c r="O51" s="296">
        <f t="shared" si="2"/>
        <v>7.9709127200000003</v>
      </c>
      <c r="P51" s="294">
        <f t="shared" si="3"/>
        <v>27.89819451999999</v>
      </c>
    </row>
    <row r="52" spans="1:16">
      <c r="A52" s="410">
        <v>50</v>
      </c>
      <c r="B52" s="339" t="s">
        <v>854</v>
      </c>
      <c r="C52" s="327" t="s">
        <v>475</v>
      </c>
      <c r="D52" s="400">
        <v>1003110629360</v>
      </c>
      <c r="E52" s="401">
        <v>5646965</v>
      </c>
      <c r="F52" s="294">
        <v>554.12</v>
      </c>
      <c r="G52" s="294">
        <f t="shared" si="5"/>
        <v>40.894056000000006</v>
      </c>
      <c r="H52" s="294">
        <v>59.54</v>
      </c>
      <c r="I52" s="293">
        <f t="shared" si="6"/>
        <v>453.68594400000001</v>
      </c>
      <c r="J52" s="329" t="s">
        <v>13</v>
      </c>
      <c r="K52" s="294" t="s">
        <v>26</v>
      </c>
      <c r="L52" s="293">
        <f t="shared" si="4"/>
        <v>68.052891599999995</v>
      </c>
      <c r="M52" s="293">
        <f t="shared" si="0"/>
        <v>18.147437759999999</v>
      </c>
      <c r="N52" s="296">
        <f t="shared" si="1"/>
        <v>9.0737188799999995</v>
      </c>
      <c r="O52" s="296">
        <f t="shared" si="2"/>
        <v>9.0737188799999995</v>
      </c>
      <c r="P52" s="294">
        <f t="shared" si="3"/>
        <v>31.75801607999999</v>
      </c>
    </row>
    <row r="53" spans="1:16">
      <c r="A53" s="410">
        <v>51</v>
      </c>
      <c r="B53" s="411" t="s">
        <v>855</v>
      </c>
      <c r="C53" s="419" t="s">
        <v>234</v>
      </c>
      <c r="D53" s="254">
        <v>35828872</v>
      </c>
      <c r="E53" s="280" t="s">
        <v>856</v>
      </c>
      <c r="F53" s="418">
        <v>904.3</v>
      </c>
      <c r="G53" s="413">
        <f t="shared" si="5"/>
        <v>66.737340000000003</v>
      </c>
      <c r="H53" s="418">
        <v>90.39</v>
      </c>
      <c r="I53" s="415">
        <f t="shared" si="6"/>
        <v>747.17265999999995</v>
      </c>
      <c r="J53" s="428" t="s">
        <v>16</v>
      </c>
      <c r="K53" s="418" t="s">
        <v>17</v>
      </c>
      <c r="L53" s="415">
        <f t="shared" si="4"/>
        <v>112.07589899999999</v>
      </c>
      <c r="M53" s="415">
        <f t="shared" si="0"/>
        <v>29.886906399999997</v>
      </c>
      <c r="N53" s="416">
        <f t="shared" si="1"/>
        <v>14.943453199999999</v>
      </c>
      <c r="O53" s="416">
        <f t="shared" si="2"/>
        <v>14.943453199999999</v>
      </c>
      <c r="P53" s="413">
        <f t="shared" si="3"/>
        <v>52.302086199999998</v>
      </c>
    </row>
    <row r="54" spans="1:16">
      <c r="A54" s="410">
        <v>52</v>
      </c>
      <c r="B54" s="411" t="s">
        <v>857</v>
      </c>
      <c r="C54" s="419" t="s">
        <v>475</v>
      </c>
      <c r="D54" s="254">
        <v>1003110633976</v>
      </c>
      <c r="E54" s="280">
        <v>5650195</v>
      </c>
      <c r="F54" s="418">
        <v>543.59</v>
      </c>
      <c r="G54" s="413">
        <f t="shared" si="5"/>
        <v>40.116942000000002</v>
      </c>
      <c r="H54" s="418">
        <v>143.59</v>
      </c>
      <c r="I54" s="415">
        <f t="shared" si="6"/>
        <v>359.88305800000001</v>
      </c>
      <c r="J54" s="428" t="s">
        <v>13</v>
      </c>
      <c r="K54" s="418" t="s">
        <v>17</v>
      </c>
      <c r="L54" s="415">
        <f t="shared" si="4"/>
        <v>53.982458700000002</v>
      </c>
      <c r="M54" s="415">
        <f t="shared" si="0"/>
        <v>14.39532232</v>
      </c>
      <c r="N54" s="416">
        <f t="shared" si="1"/>
        <v>7.19766116</v>
      </c>
      <c r="O54" s="416">
        <f t="shared" si="2"/>
        <v>7.19766116</v>
      </c>
      <c r="P54" s="413">
        <f t="shared" si="3"/>
        <v>25.191814060000002</v>
      </c>
    </row>
    <row r="55" spans="1:16">
      <c r="A55" s="410">
        <v>53</v>
      </c>
      <c r="B55" s="411" t="s">
        <v>858</v>
      </c>
      <c r="C55" s="419" t="s">
        <v>29</v>
      </c>
      <c r="D55" s="371">
        <v>2641466</v>
      </c>
      <c r="E55" s="280">
        <v>5648564</v>
      </c>
      <c r="F55" s="418">
        <v>583.48</v>
      </c>
      <c r="G55" s="413">
        <f t="shared" si="5"/>
        <v>43.060824000000004</v>
      </c>
      <c r="H55" s="418">
        <v>102.37</v>
      </c>
      <c r="I55" s="415">
        <f t="shared" si="6"/>
        <v>438.04917599999999</v>
      </c>
      <c r="J55" s="428" t="s">
        <v>16</v>
      </c>
      <c r="K55" s="418" t="s">
        <v>258</v>
      </c>
      <c r="L55" s="415">
        <f t="shared" si="4"/>
        <v>65.707376400000001</v>
      </c>
      <c r="M55" s="415">
        <f t="shared" si="0"/>
        <v>17.52196704</v>
      </c>
      <c r="N55" s="416">
        <f t="shared" si="1"/>
        <v>8.7609835199999999</v>
      </c>
      <c r="O55" s="416">
        <f t="shared" si="2"/>
        <v>8.7609835199999999</v>
      </c>
      <c r="P55" s="413">
        <f t="shared" si="3"/>
        <v>30.663442319999998</v>
      </c>
    </row>
    <row r="56" spans="1:16">
      <c r="A56" s="410">
        <v>54</v>
      </c>
      <c r="B56" s="411" t="s">
        <v>859</v>
      </c>
      <c r="C56" s="419" t="s">
        <v>29</v>
      </c>
      <c r="D56" s="254">
        <v>26414882</v>
      </c>
      <c r="E56" s="280">
        <v>5650920</v>
      </c>
      <c r="F56" s="418">
        <v>748.17</v>
      </c>
      <c r="G56" s="413">
        <f t="shared" si="5"/>
        <v>55.214945999999998</v>
      </c>
      <c r="H56" s="418">
        <v>124.7</v>
      </c>
      <c r="I56" s="415">
        <f t="shared" si="6"/>
        <v>568.25505399999997</v>
      </c>
      <c r="J56" s="428" t="s">
        <v>16</v>
      </c>
      <c r="K56" s="418" t="s">
        <v>258</v>
      </c>
      <c r="L56" s="415">
        <f t="shared" si="4"/>
        <v>85.238258099999996</v>
      </c>
      <c r="M56" s="415">
        <f t="shared" si="0"/>
        <v>22.730202160000001</v>
      </c>
      <c r="N56" s="416">
        <f t="shared" si="1"/>
        <v>11.365101080000001</v>
      </c>
      <c r="O56" s="416">
        <f t="shared" si="2"/>
        <v>11.365101080000001</v>
      </c>
      <c r="P56" s="413">
        <f t="shared" si="3"/>
        <v>39.777853779999987</v>
      </c>
    </row>
    <row r="57" spans="1:16">
      <c r="A57" s="410">
        <v>55</v>
      </c>
      <c r="B57" s="411" t="s">
        <v>860</v>
      </c>
      <c r="C57" s="419" t="s">
        <v>12</v>
      </c>
      <c r="D57" s="254">
        <v>1003110638342</v>
      </c>
      <c r="E57" s="280">
        <v>5653836</v>
      </c>
      <c r="F57" s="418">
        <v>688.24</v>
      </c>
      <c r="G57" s="413">
        <f t="shared" si="5"/>
        <v>50.792112000000003</v>
      </c>
      <c r="H57" s="418">
        <v>84.89</v>
      </c>
      <c r="I57" s="415">
        <f t="shared" si="6"/>
        <v>552.55788800000005</v>
      </c>
      <c r="J57" s="428" t="s">
        <v>13</v>
      </c>
      <c r="K57" s="418" t="s">
        <v>49</v>
      </c>
      <c r="L57" s="415">
        <f t="shared" si="4"/>
        <v>82.883683200000007</v>
      </c>
      <c r="M57" s="415">
        <f t="shared" si="0"/>
        <v>22.102315520000001</v>
      </c>
      <c r="N57" s="416">
        <f t="shared" si="1"/>
        <v>11.051157760000001</v>
      </c>
      <c r="O57" s="416">
        <f t="shared" si="2"/>
        <v>11.051157760000001</v>
      </c>
      <c r="P57" s="413">
        <f t="shared" si="3"/>
        <v>38.679052159999998</v>
      </c>
    </row>
    <row r="58" spans="1:16">
      <c r="A58" s="410">
        <v>56</v>
      </c>
      <c r="B58" s="411" t="s">
        <v>861</v>
      </c>
      <c r="C58" s="419" t="s">
        <v>475</v>
      </c>
      <c r="D58" s="254">
        <v>1003110638139</v>
      </c>
      <c r="E58" s="280">
        <v>5649370</v>
      </c>
      <c r="F58" s="418">
        <v>555.77</v>
      </c>
      <c r="G58" s="413">
        <f t="shared" si="5"/>
        <v>41.015826000000004</v>
      </c>
      <c r="H58" s="418">
        <v>144.81</v>
      </c>
      <c r="I58" s="415">
        <f t="shared" si="6"/>
        <v>369.94417399999992</v>
      </c>
      <c r="J58" s="428" t="s">
        <v>13</v>
      </c>
      <c r="K58" s="418" t="s">
        <v>26</v>
      </c>
      <c r="L58" s="415">
        <f t="shared" si="4"/>
        <v>55.491626099999984</v>
      </c>
      <c r="M58" s="415">
        <f t="shared" si="0"/>
        <v>14.797766959999997</v>
      </c>
      <c r="N58" s="416">
        <f t="shared" si="1"/>
        <v>7.3988834799999985</v>
      </c>
      <c r="O58" s="416">
        <f t="shared" si="2"/>
        <v>7.3988834799999985</v>
      </c>
      <c r="P58" s="413">
        <f t="shared" si="3"/>
        <v>25.896092179999993</v>
      </c>
    </row>
    <row r="59" spans="1:16">
      <c r="A59" s="410">
        <v>57</v>
      </c>
      <c r="B59" s="411" t="s">
        <v>862</v>
      </c>
      <c r="C59" s="419" t="s">
        <v>559</v>
      </c>
      <c r="D59" s="283">
        <v>2646956</v>
      </c>
      <c r="E59" s="280">
        <v>5645629</v>
      </c>
      <c r="F59" s="418">
        <v>615.12</v>
      </c>
      <c r="G59" s="413">
        <f t="shared" si="5"/>
        <v>45.395856000000002</v>
      </c>
      <c r="H59" s="418">
        <v>165.37</v>
      </c>
      <c r="I59" s="415">
        <f t="shared" si="6"/>
        <v>404.35414400000002</v>
      </c>
      <c r="J59" s="428" t="s">
        <v>13</v>
      </c>
      <c r="K59" s="418" t="s">
        <v>26</v>
      </c>
      <c r="L59" s="415">
        <f t="shared" si="4"/>
        <v>60.653121599999999</v>
      </c>
      <c r="M59" s="415">
        <f t="shared" si="0"/>
        <v>16.174165760000001</v>
      </c>
      <c r="N59" s="416">
        <f t="shared" si="1"/>
        <v>8.0870828800000005</v>
      </c>
      <c r="O59" s="416">
        <f t="shared" si="2"/>
        <v>8.0870828800000005</v>
      </c>
      <c r="P59" s="413">
        <f t="shared" si="3"/>
        <v>28.30479008</v>
      </c>
    </row>
    <row r="60" spans="1:16">
      <c r="A60" s="410">
        <v>58</v>
      </c>
      <c r="B60" s="411" t="s">
        <v>863</v>
      </c>
      <c r="C60" s="419" t="s">
        <v>559</v>
      </c>
      <c r="D60" s="284">
        <v>35584488</v>
      </c>
      <c r="E60" s="280">
        <v>5649242</v>
      </c>
      <c r="F60" s="418">
        <v>799.24</v>
      </c>
      <c r="G60" s="413">
        <f t="shared" si="5"/>
        <v>58.983912000000004</v>
      </c>
      <c r="H60" s="418">
        <v>199.77</v>
      </c>
      <c r="I60" s="415">
        <f t="shared" si="6"/>
        <v>540.486088</v>
      </c>
      <c r="J60" s="428" t="s">
        <v>13</v>
      </c>
      <c r="K60" s="418" t="s">
        <v>14</v>
      </c>
      <c r="L60" s="415">
        <f t="shared" si="4"/>
        <v>81.072913200000002</v>
      </c>
      <c r="M60" s="415">
        <f t="shared" si="0"/>
        <v>21.619443520000001</v>
      </c>
      <c r="N60" s="416">
        <f t="shared" si="1"/>
        <v>10.80972176</v>
      </c>
      <c r="O60" s="416">
        <f t="shared" si="2"/>
        <v>10.80972176</v>
      </c>
      <c r="P60" s="413">
        <f t="shared" si="3"/>
        <v>37.834026159999993</v>
      </c>
    </row>
    <row r="61" spans="1:16">
      <c r="A61" s="410">
        <v>59</v>
      </c>
      <c r="B61" s="411" t="s">
        <v>864</v>
      </c>
      <c r="C61" s="419" t="s">
        <v>475</v>
      </c>
      <c r="D61" s="254">
        <v>35583688</v>
      </c>
      <c r="E61" s="280">
        <v>5645933</v>
      </c>
      <c r="F61" s="418">
        <v>588.35</v>
      </c>
      <c r="G61" s="413">
        <f t="shared" si="5"/>
        <v>43.420230000000004</v>
      </c>
      <c r="H61" s="418">
        <v>76.8</v>
      </c>
      <c r="I61" s="415">
        <f t="shared" si="6"/>
        <v>468.12976999999995</v>
      </c>
      <c r="J61" s="428" t="s">
        <v>13</v>
      </c>
      <c r="K61" s="418" t="s">
        <v>14</v>
      </c>
      <c r="L61" s="415">
        <f t="shared" si="4"/>
        <v>70.219465499999984</v>
      </c>
      <c r="M61" s="415">
        <f t="shared" si="0"/>
        <v>18.7251908</v>
      </c>
      <c r="N61" s="416">
        <f t="shared" si="1"/>
        <v>9.3625954</v>
      </c>
      <c r="O61" s="416">
        <f t="shared" si="2"/>
        <v>9.3625954</v>
      </c>
      <c r="P61" s="413">
        <f t="shared" si="3"/>
        <v>32.769083899999984</v>
      </c>
    </row>
    <row r="62" spans="1:16">
      <c r="A62" s="410">
        <v>60</v>
      </c>
      <c r="B62" s="411" t="s">
        <v>865</v>
      </c>
      <c r="C62" s="419" t="s">
        <v>12</v>
      </c>
      <c r="D62" s="254">
        <v>1003110635400</v>
      </c>
      <c r="E62" s="280" t="s">
        <v>866</v>
      </c>
      <c r="F62" s="418">
        <v>511.44</v>
      </c>
      <c r="G62" s="413">
        <f t="shared" si="5"/>
        <v>37.744272000000002</v>
      </c>
      <c r="H62" s="418">
        <v>108.91</v>
      </c>
      <c r="I62" s="415">
        <f t="shared" si="6"/>
        <v>364.78572799999995</v>
      </c>
      <c r="J62" s="428" t="s">
        <v>13</v>
      </c>
      <c r="K62" s="418" t="s">
        <v>26</v>
      </c>
      <c r="L62" s="415">
        <f t="shared" si="4"/>
        <v>54.717859199999992</v>
      </c>
      <c r="M62" s="415">
        <f t="shared" si="0"/>
        <v>14.591429119999999</v>
      </c>
      <c r="N62" s="416">
        <f t="shared" si="1"/>
        <v>7.2957145599999995</v>
      </c>
      <c r="O62" s="416">
        <f t="shared" si="2"/>
        <v>7.2957145599999995</v>
      </c>
      <c r="P62" s="413">
        <f t="shared" si="3"/>
        <v>25.535000959999991</v>
      </c>
    </row>
    <row r="63" spans="1:16">
      <c r="A63" s="410">
        <v>61</v>
      </c>
      <c r="B63" s="411" t="s">
        <v>867</v>
      </c>
      <c r="C63" s="419" t="s">
        <v>29</v>
      </c>
      <c r="D63" s="254">
        <v>2644864</v>
      </c>
      <c r="E63" s="280">
        <v>5626856</v>
      </c>
      <c r="F63" s="418">
        <v>1087.0899999999999</v>
      </c>
      <c r="G63" s="413">
        <f t="shared" si="5"/>
        <v>80.227242000000004</v>
      </c>
      <c r="H63" s="418">
        <v>94.88</v>
      </c>
      <c r="I63" s="415">
        <f t="shared" si="6"/>
        <v>911.98275799999988</v>
      </c>
      <c r="J63" s="428" t="s">
        <v>16</v>
      </c>
      <c r="K63" s="418" t="s">
        <v>25</v>
      </c>
      <c r="L63" s="415">
        <f t="shared" si="4"/>
        <v>136.79741369999996</v>
      </c>
      <c r="M63" s="415">
        <f t="shared" si="0"/>
        <v>36.479310319999996</v>
      </c>
      <c r="N63" s="416">
        <f t="shared" si="1"/>
        <v>18.239655159999998</v>
      </c>
      <c r="O63" s="416">
        <f t="shared" si="2"/>
        <v>18.239655159999998</v>
      </c>
      <c r="P63" s="413">
        <f t="shared" si="3"/>
        <v>63.838793059999972</v>
      </c>
    </row>
    <row r="64" spans="1:16">
      <c r="A64" s="410">
        <v>62</v>
      </c>
      <c r="B64" s="339" t="s">
        <v>868</v>
      </c>
      <c r="C64" s="327" t="s">
        <v>29</v>
      </c>
      <c r="D64" s="400">
        <v>1003110644164</v>
      </c>
      <c r="E64" s="401">
        <v>5656002</v>
      </c>
      <c r="F64" s="294">
        <v>666.87</v>
      </c>
      <c r="G64" s="294">
        <f t="shared" si="5"/>
        <v>49.215006000000002</v>
      </c>
      <c r="H64" s="294">
        <v>82.25</v>
      </c>
      <c r="I64" s="293">
        <f t="shared" si="6"/>
        <v>535.40499399999999</v>
      </c>
      <c r="J64" s="329" t="s">
        <v>16</v>
      </c>
      <c r="K64" s="294" t="s">
        <v>174</v>
      </c>
      <c r="L64" s="293">
        <f t="shared" si="4"/>
        <v>80.310749099999995</v>
      </c>
      <c r="M64" s="293">
        <f t="shared" si="0"/>
        <v>21.416199760000001</v>
      </c>
      <c r="N64" s="296">
        <f t="shared" si="1"/>
        <v>10.708099880000001</v>
      </c>
      <c r="O64" s="296">
        <f t="shared" si="2"/>
        <v>10.708099880000001</v>
      </c>
      <c r="P64" s="294">
        <f t="shared" si="3"/>
        <v>37.47834958</v>
      </c>
    </row>
    <row r="65" spans="1:16">
      <c r="A65" s="410">
        <v>63</v>
      </c>
      <c r="B65" s="411" t="s">
        <v>869</v>
      </c>
      <c r="C65" s="419" t="s">
        <v>170</v>
      </c>
      <c r="D65" s="254">
        <v>1003110644653</v>
      </c>
      <c r="E65" s="280" t="s">
        <v>870</v>
      </c>
      <c r="F65" s="418">
        <v>466.97</v>
      </c>
      <c r="G65" s="413">
        <f t="shared" si="5"/>
        <v>34.462386000000002</v>
      </c>
      <c r="H65" s="418">
        <v>49.45</v>
      </c>
      <c r="I65" s="415">
        <f t="shared" si="6"/>
        <v>383.05761400000006</v>
      </c>
      <c r="J65" s="428" t="s">
        <v>13</v>
      </c>
      <c r="K65" s="418" t="s">
        <v>17</v>
      </c>
      <c r="L65" s="415">
        <f t="shared" si="4"/>
        <v>57.458642100000006</v>
      </c>
      <c r="M65" s="415">
        <f t="shared" si="0"/>
        <v>15.322304560000003</v>
      </c>
      <c r="N65" s="416">
        <f t="shared" si="1"/>
        <v>7.6611522800000014</v>
      </c>
      <c r="O65" s="416">
        <f t="shared" si="2"/>
        <v>7.6611522800000014</v>
      </c>
      <c r="P65" s="413">
        <f t="shared" si="3"/>
        <v>26.814032979999993</v>
      </c>
    </row>
    <row r="66" spans="1:16">
      <c r="A66" s="410">
        <v>64</v>
      </c>
      <c r="B66" s="411" t="s">
        <v>871</v>
      </c>
      <c r="C66" s="419" t="s">
        <v>559</v>
      </c>
      <c r="D66" s="254">
        <v>26654053</v>
      </c>
      <c r="E66" s="280">
        <v>5658351</v>
      </c>
      <c r="F66" s="418">
        <v>745.92</v>
      </c>
      <c r="G66" s="413">
        <f t="shared" si="5"/>
        <v>55.048895999999999</v>
      </c>
      <c r="H66" s="418">
        <v>65.430000000000007</v>
      </c>
      <c r="I66" s="415">
        <f t="shared" si="6"/>
        <v>625.441104</v>
      </c>
      <c r="J66" s="428" t="s">
        <v>16</v>
      </c>
      <c r="K66" s="418" t="s">
        <v>14</v>
      </c>
      <c r="L66" s="415">
        <f t="shared" si="4"/>
        <v>93.816165599999991</v>
      </c>
      <c r="M66" s="415">
        <f t="shared" si="0"/>
        <v>25.01764416</v>
      </c>
      <c r="N66" s="416">
        <f t="shared" si="1"/>
        <v>12.50882208</v>
      </c>
      <c r="O66" s="416">
        <f t="shared" si="2"/>
        <v>12.50882208</v>
      </c>
      <c r="P66" s="413">
        <f t="shared" si="3"/>
        <v>43.780877279999984</v>
      </c>
    </row>
    <row r="67" spans="1:16">
      <c r="A67" s="410">
        <v>65</v>
      </c>
      <c r="B67" s="411" t="s">
        <v>872</v>
      </c>
      <c r="C67" s="419" t="s">
        <v>29</v>
      </c>
      <c r="D67" s="254">
        <v>2025274027</v>
      </c>
      <c r="E67" s="280">
        <v>5658211</v>
      </c>
      <c r="F67" s="418">
        <v>623.80999999999995</v>
      </c>
      <c r="G67" s="413">
        <f t="shared" si="5"/>
        <v>46.037177999999997</v>
      </c>
      <c r="H67" s="418">
        <v>54.72</v>
      </c>
      <c r="I67" s="415">
        <f t="shared" si="6"/>
        <v>523.05282199999988</v>
      </c>
      <c r="J67" s="428" t="s">
        <v>16</v>
      </c>
      <c r="K67" s="418" t="s">
        <v>14</v>
      </c>
      <c r="L67" s="415">
        <f t="shared" si="4"/>
        <v>78.457923299999976</v>
      </c>
      <c r="M67" s="415">
        <f t="shared" ref="M67:M103" si="7">I67*4%</f>
        <v>20.922112879999997</v>
      </c>
      <c r="N67" s="416">
        <f t="shared" ref="N67:N103" si="8">I67*2%</f>
        <v>10.461056439999998</v>
      </c>
      <c r="O67" s="416">
        <f t="shared" ref="O67:O103" si="9">I67*2%</f>
        <v>10.461056439999998</v>
      </c>
      <c r="P67" s="413">
        <f t="shared" ref="P67:P103" si="10">L67-M67-N67-O67</f>
        <v>36.613697539999976</v>
      </c>
    </row>
    <row r="68" spans="1:16">
      <c r="A68" s="410">
        <v>66</v>
      </c>
      <c r="B68" s="411" t="s">
        <v>873</v>
      </c>
      <c r="C68" s="419" t="s">
        <v>475</v>
      </c>
      <c r="D68" s="254">
        <v>2646271</v>
      </c>
      <c r="E68" s="280">
        <v>5657085</v>
      </c>
      <c r="F68" s="418">
        <v>586.85</v>
      </c>
      <c r="G68" s="413">
        <f t="shared" si="5"/>
        <v>43.309530000000002</v>
      </c>
      <c r="H68" s="418">
        <v>51.48</v>
      </c>
      <c r="I68" s="415">
        <f t="shared" si="6"/>
        <v>492.06047000000001</v>
      </c>
      <c r="J68" s="428" t="s">
        <v>16</v>
      </c>
      <c r="K68" s="418" t="s">
        <v>14</v>
      </c>
      <c r="L68" s="415">
        <f t="shared" ref="L68:L103" si="11">I68*15%</f>
        <v>73.809070500000004</v>
      </c>
      <c r="M68" s="415">
        <f t="shared" si="7"/>
        <v>19.682418800000001</v>
      </c>
      <c r="N68" s="438">
        <f t="shared" si="8"/>
        <v>9.8412094000000003</v>
      </c>
      <c r="O68" s="438">
        <f t="shared" si="9"/>
        <v>9.8412094000000003</v>
      </c>
      <c r="P68" s="439">
        <f t="shared" si="10"/>
        <v>34.444232900000003</v>
      </c>
    </row>
    <row r="69" spans="1:16">
      <c r="A69" s="410">
        <v>67</v>
      </c>
      <c r="B69" s="339" t="s">
        <v>874</v>
      </c>
      <c r="C69" s="327" t="s">
        <v>29</v>
      </c>
      <c r="D69" s="400">
        <v>1003110650222</v>
      </c>
      <c r="E69" s="401">
        <v>5660300</v>
      </c>
      <c r="F69" s="294">
        <v>830.42</v>
      </c>
      <c r="G69" s="294">
        <f t="shared" ref="G69:G103" si="12">F69*7.38%</f>
        <v>61.284996</v>
      </c>
      <c r="H69" s="294">
        <v>89.23</v>
      </c>
      <c r="I69" s="293">
        <f t="shared" ref="I69:I103" si="13">F69-G69-H69</f>
        <v>679.90500399999996</v>
      </c>
      <c r="J69" s="329" t="s">
        <v>13</v>
      </c>
      <c r="K69" s="294" t="s">
        <v>49</v>
      </c>
      <c r="L69" s="293">
        <f t="shared" si="11"/>
        <v>101.98575059999999</v>
      </c>
      <c r="M69" s="293">
        <f t="shared" si="7"/>
        <v>27.19620016</v>
      </c>
      <c r="N69" s="296">
        <f t="shared" si="8"/>
        <v>13.59810008</v>
      </c>
      <c r="O69" s="296">
        <f t="shared" si="9"/>
        <v>13.59810008</v>
      </c>
      <c r="P69" s="294">
        <f t="shared" si="10"/>
        <v>47.593350279999981</v>
      </c>
    </row>
    <row r="70" spans="1:16">
      <c r="A70" s="410">
        <v>68</v>
      </c>
      <c r="B70" s="411" t="s">
        <v>875</v>
      </c>
      <c r="C70" s="419" t="s">
        <v>173</v>
      </c>
      <c r="D70" s="254">
        <v>1003110650062</v>
      </c>
      <c r="E70" s="280">
        <v>5649981</v>
      </c>
      <c r="F70" s="418">
        <v>555.82000000000005</v>
      </c>
      <c r="G70" s="413">
        <f t="shared" si="12"/>
        <v>41.019516000000003</v>
      </c>
      <c r="H70" s="418">
        <v>144.72</v>
      </c>
      <c r="I70" s="415">
        <f t="shared" si="13"/>
        <v>370.08048400000007</v>
      </c>
      <c r="J70" s="428" t="s">
        <v>13</v>
      </c>
      <c r="K70" s="418" t="s">
        <v>216</v>
      </c>
      <c r="L70" s="415">
        <f t="shared" si="11"/>
        <v>55.51207260000001</v>
      </c>
      <c r="M70" s="415">
        <f t="shared" si="7"/>
        <v>14.803219360000003</v>
      </c>
      <c r="N70" s="416">
        <f t="shared" si="8"/>
        <v>7.4016096800000017</v>
      </c>
      <c r="O70" s="416">
        <f t="shared" si="9"/>
        <v>7.4016096800000017</v>
      </c>
      <c r="P70" s="413">
        <f t="shared" si="10"/>
        <v>25.905633880000011</v>
      </c>
    </row>
    <row r="71" spans="1:16">
      <c r="A71" s="410">
        <v>69</v>
      </c>
      <c r="B71" s="339" t="s">
        <v>876</v>
      </c>
      <c r="C71" s="327" t="s">
        <v>809</v>
      </c>
      <c r="D71" s="400">
        <v>1003110647086</v>
      </c>
      <c r="E71" s="401">
        <v>5658955</v>
      </c>
      <c r="F71" s="294">
        <v>1232.79</v>
      </c>
      <c r="G71" s="294">
        <f t="shared" si="12"/>
        <v>90.97990200000001</v>
      </c>
      <c r="H71" s="294">
        <v>132.47</v>
      </c>
      <c r="I71" s="293">
        <f t="shared" si="13"/>
        <v>1009.3400979999999</v>
      </c>
      <c r="J71" s="329" t="s">
        <v>13</v>
      </c>
      <c r="K71" s="294" t="s">
        <v>164</v>
      </c>
      <c r="L71" s="293">
        <f t="shared" si="11"/>
        <v>151.40101469999999</v>
      </c>
      <c r="M71" s="293">
        <f t="shared" si="7"/>
        <v>40.373603919999994</v>
      </c>
      <c r="N71" s="296">
        <f t="shared" si="8"/>
        <v>20.186801959999997</v>
      </c>
      <c r="O71" s="296">
        <f t="shared" si="9"/>
        <v>20.186801959999997</v>
      </c>
      <c r="P71" s="294">
        <f t="shared" si="10"/>
        <v>70.653806860000003</v>
      </c>
    </row>
    <row r="72" spans="1:16">
      <c r="A72" s="410">
        <v>70</v>
      </c>
      <c r="B72" s="411" t="s">
        <v>877</v>
      </c>
      <c r="C72" s="419" t="s">
        <v>173</v>
      </c>
      <c r="D72" s="254">
        <v>51772025423</v>
      </c>
      <c r="E72" s="280">
        <v>5656152</v>
      </c>
      <c r="F72" s="418">
        <v>879.78</v>
      </c>
      <c r="G72" s="413">
        <f t="shared" si="12"/>
        <v>64.927763999999996</v>
      </c>
      <c r="H72" s="418">
        <v>87.98</v>
      </c>
      <c r="I72" s="415">
        <f t="shared" si="13"/>
        <v>726.87223599999993</v>
      </c>
      <c r="J72" s="428" t="s">
        <v>16</v>
      </c>
      <c r="K72" s="418" t="s">
        <v>36</v>
      </c>
      <c r="L72" s="415">
        <f t="shared" si="11"/>
        <v>109.03083539999999</v>
      </c>
      <c r="M72" s="415">
        <f t="shared" si="7"/>
        <v>29.074889439999996</v>
      </c>
      <c r="N72" s="416">
        <f t="shared" si="8"/>
        <v>14.537444719999998</v>
      </c>
      <c r="O72" s="416">
        <f t="shared" si="9"/>
        <v>14.537444719999998</v>
      </c>
      <c r="P72" s="413">
        <f t="shared" si="10"/>
        <v>50.881056520000001</v>
      </c>
    </row>
    <row r="73" spans="1:16">
      <c r="A73" s="410">
        <v>71</v>
      </c>
      <c r="B73" s="411" t="s">
        <v>878</v>
      </c>
      <c r="C73" s="419" t="s">
        <v>475</v>
      </c>
      <c r="D73" s="254">
        <v>2645291</v>
      </c>
      <c r="E73" s="280">
        <v>5658473</v>
      </c>
      <c r="F73" s="418">
        <v>436.71</v>
      </c>
      <c r="G73" s="413">
        <f t="shared" si="12"/>
        <v>32.229198000000004</v>
      </c>
      <c r="H73" s="418">
        <v>56.17</v>
      </c>
      <c r="I73" s="415">
        <f t="shared" si="13"/>
        <v>348.31080199999997</v>
      </c>
      <c r="J73" s="428" t="s">
        <v>16</v>
      </c>
      <c r="K73" s="418" t="s">
        <v>14</v>
      </c>
      <c r="L73" s="415">
        <f t="shared" si="11"/>
        <v>52.246620299999996</v>
      </c>
      <c r="M73" s="415">
        <f t="shared" si="7"/>
        <v>13.932432079999998</v>
      </c>
      <c r="N73" s="416">
        <f t="shared" si="8"/>
        <v>6.9662160399999991</v>
      </c>
      <c r="O73" s="416">
        <f t="shared" si="9"/>
        <v>6.9662160399999991</v>
      </c>
      <c r="P73" s="413">
        <f t="shared" si="10"/>
        <v>24.38175614</v>
      </c>
    </row>
    <row r="74" spans="1:16">
      <c r="A74" s="410">
        <v>72</v>
      </c>
      <c r="B74" s="411" t="s">
        <v>879</v>
      </c>
      <c r="C74" s="419" t="s">
        <v>29</v>
      </c>
      <c r="D74" s="288">
        <v>35598276</v>
      </c>
      <c r="E74" s="280" t="s">
        <v>880</v>
      </c>
      <c r="F74" s="418">
        <v>800.94</v>
      </c>
      <c r="G74" s="413">
        <f t="shared" si="12"/>
        <v>59.109372000000008</v>
      </c>
      <c r="H74" s="418">
        <v>200.19</v>
      </c>
      <c r="I74" s="415">
        <f t="shared" si="13"/>
        <v>541.64062800000011</v>
      </c>
      <c r="J74" s="428" t="s">
        <v>16</v>
      </c>
      <c r="K74" s="418" t="s">
        <v>17</v>
      </c>
      <c r="L74" s="415">
        <f t="shared" si="11"/>
        <v>81.246094200000016</v>
      </c>
      <c r="M74" s="415">
        <f t="shared" si="7"/>
        <v>21.665625120000005</v>
      </c>
      <c r="N74" s="416">
        <f t="shared" si="8"/>
        <v>10.832812560000002</v>
      </c>
      <c r="O74" s="416">
        <f t="shared" si="9"/>
        <v>10.832812560000002</v>
      </c>
      <c r="P74" s="413">
        <f t="shared" si="10"/>
        <v>37.914843960000013</v>
      </c>
    </row>
    <row r="75" spans="1:16">
      <c r="A75" s="410">
        <v>73</v>
      </c>
      <c r="B75" s="411" t="s">
        <v>881</v>
      </c>
      <c r="C75" s="419" t="s">
        <v>29</v>
      </c>
      <c r="D75" s="254">
        <v>2645658</v>
      </c>
      <c r="E75" s="280">
        <v>5656892</v>
      </c>
      <c r="F75" s="418">
        <v>558.16</v>
      </c>
      <c r="G75" s="413">
        <f t="shared" si="12"/>
        <v>41.192208000000001</v>
      </c>
      <c r="H75" s="418">
        <v>48.96</v>
      </c>
      <c r="I75" s="415">
        <f t="shared" si="13"/>
        <v>468.00779199999994</v>
      </c>
      <c r="J75" s="428" t="s">
        <v>16</v>
      </c>
      <c r="K75" s="418" t="s">
        <v>17</v>
      </c>
      <c r="L75" s="415">
        <f t="shared" si="11"/>
        <v>70.201168799999991</v>
      </c>
      <c r="M75" s="415">
        <f t="shared" si="7"/>
        <v>18.720311679999998</v>
      </c>
      <c r="N75" s="416">
        <f t="shared" si="8"/>
        <v>9.3601558399999991</v>
      </c>
      <c r="O75" s="416">
        <f t="shared" si="9"/>
        <v>9.3601558399999991</v>
      </c>
      <c r="P75" s="413">
        <f t="shared" si="10"/>
        <v>32.760545440000001</v>
      </c>
    </row>
    <row r="76" spans="1:16">
      <c r="A76" s="410">
        <v>74</v>
      </c>
      <c r="B76" s="411" t="s">
        <v>882</v>
      </c>
      <c r="C76" s="419" t="s">
        <v>29</v>
      </c>
      <c r="D76" s="254">
        <v>2645437</v>
      </c>
      <c r="E76" s="280" t="s">
        <v>883</v>
      </c>
      <c r="F76" s="418">
        <v>697.53</v>
      </c>
      <c r="G76" s="413">
        <f t="shared" si="12"/>
        <v>51.477713999999999</v>
      </c>
      <c r="H76" s="418">
        <v>58.13</v>
      </c>
      <c r="I76" s="415">
        <f t="shared" si="13"/>
        <v>587.92228599999999</v>
      </c>
      <c r="J76" s="428" t="s">
        <v>16</v>
      </c>
      <c r="K76" s="418" t="s">
        <v>17</v>
      </c>
      <c r="L76" s="415">
        <f t="shared" si="11"/>
        <v>88.188342899999995</v>
      </c>
      <c r="M76" s="415">
        <f t="shared" si="7"/>
        <v>23.516891439999998</v>
      </c>
      <c r="N76" s="416">
        <f t="shared" si="8"/>
        <v>11.758445719999999</v>
      </c>
      <c r="O76" s="416">
        <f t="shared" si="9"/>
        <v>11.758445719999999</v>
      </c>
      <c r="P76" s="413">
        <f t="shared" si="10"/>
        <v>41.154560020000005</v>
      </c>
    </row>
    <row r="77" spans="1:16">
      <c r="A77" s="410">
        <v>75</v>
      </c>
      <c r="B77" s="411" t="s">
        <v>884</v>
      </c>
      <c r="C77" s="419" t="s">
        <v>29</v>
      </c>
      <c r="D77" s="254">
        <v>100311065622</v>
      </c>
      <c r="E77" s="280">
        <v>5656845</v>
      </c>
      <c r="F77" s="418">
        <v>619.45000000000005</v>
      </c>
      <c r="G77" s="413">
        <f t="shared" si="12"/>
        <v>45.715410000000006</v>
      </c>
      <c r="H77" s="418">
        <v>0</v>
      </c>
      <c r="I77" s="415">
        <f t="shared" si="13"/>
        <v>573.73459000000003</v>
      </c>
      <c r="J77" s="428" t="s">
        <v>16</v>
      </c>
      <c r="K77" s="418" t="s">
        <v>266</v>
      </c>
      <c r="L77" s="415">
        <f t="shared" si="11"/>
        <v>86.060188499999995</v>
      </c>
      <c r="M77" s="415">
        <f t="shared" si="7"/>
        <v>22.949383600000001</v>
      </c>
      <c r="N77" s="416">
        <f t="shared" si="8"/>
        <v>11.4746918</v>
      </c>
      <c r="O77" s="416">
        <f t="shared" si="9"/>
        <v>11.4746918</v>
      </c>
      <c r="P77" s="413">
        <f t="shared" si="10"/>
        <v>40.161421299999986</v>
      </c>
    </row>
    <row r="78" spans="1:16">
      <c r="A78" s="410">
        <v>76</v>
      </c>
      <c r="B78" s="411" t="s">
        <v>885</v>
      </c>
      <c r="C78" s="419" t="s">
        <v>12</v>
      </c>
      <c r="D78" s="254">
        <v>1003110656764</v>
      </c>
      <c r="E78" s="280" t="s">
        <v>886</v>
      </c>
      <c r="F78" s="418">
        <v>489.29</v>
      </c>
      <c r="G78" s="413">
        <f t="shared" si="12"/>
        <v>36.109602000000002</v>
      </c>
      <c r="H78" s="418">
        <v>163.29</v>
      </c>
      <c r="I78" s="415">
        <f t="shared" si="13"/>
        <v>289.890398</v>
      </c>
      <c r="J78" s="428" t="s">
        <v>13</v>
      </c>
      <c r="K78" s="418" t="s">
        <v>17</v>
      </c>
      <c r="L78" s="415">
        <f t="shared" si="11"/>
        <v>43.483559700000001</v>
      </c>
      <c r="M78" s="415">
        <f t="shared" si="7"/>
        <v>11.59561592</v>
      </c>
      <c r="N78" s="416">
        <f t="shared" si="8"/>
        <v>5.7978079600000001</v>
      </c>
      <c r="O78" s="416">
        <f t="shared" si="9"/>
        <v>5.7978079600000001</v>
      </c>
      <c r="P78" s="413">
        <f t="shared" si="10"/>
        <v>20.29232786</v>
      </c>
    </row>
    <row r="79" spans="1:16">
      <c r="A79" s="410">
        <v>77</v>
      </c>
      <c r="B79" s="411" t="s">
        <v>887</v>
      </c>
      <c r="C79" s="419" t="s">
        <v>173</v>
      </c>
      <c r="D79" s="254">
        <v>1305028</v>
      </c>
      <c r="E79" s="280">
        <v>5654583</v>
      </c>
      <c r="F79" s="418">
        <v>1175.0999999999999</v>
      </c>
      <c r="G79" s="413">
        <f t="shared" si="12"/>
        <v>86.722380000000001</v>
      </c>
      <c r="H79" s="418">
        <v>117.51</v>
      </c>
      <c r="I79" s="415">
        <f t="shared" si="13"/>
        <v>970.86761999999999</v>
      </c>
      <c r="J79" s="428" t="s">
        <v>16</v>
      </c>
      <c r="K79" s="418" t="s">
        <v>17</v>
      </c>
      <c r="L79" s="415">
        <f t="shared" si="11"/>
        <v>145.630143</v>
      </c>
      <c r="M79" s="415">
        <f t="shared" si="7"/>
        <v>38.834704799999997</v>
      </c>
      <c r="N79" s="416">
        <f t="shared" si="8"/>
        <v>19.417352399999999</v>
      </c>
      <c r="O79" s="416">
        <f t="shared" si="9"/>
        <v>19.417352399999999</v>
      </c>
      <c r="P79" s="413">
        <f t="shared" si="10"/>
        <v>67.960733400000009</v>
      </c>
    </row>
    <row r="80" spans="1:16">
      <c r="A80" s="410">
        <v>78</v>
      </c>
      <c r="B80" s="411" t="s">
        <v>888</v>
      </c>
      <c r="C80" s="419" t="s">
        <v>29</v>
      </c>
      <c r="D80" s="254">
        <v>1003110659625</v>
      </c>
      <c r="E80" s="280">
        <v>5666684</v>
      </c>
      <c r="F80" s="418">
        <v>666.68</v>
      </c>
      <c r="G80" s="413">
        <f t="shared" si="12"/>
        <v>49.200983999999998</v>
      </c>
      <c r="H80" s="418">
        <v>222.23</v>
      </c>
      <c r="I80" s="415">
        <f t="shared" si="13"/>
        <v>395.24901599999998</v>
      </c>
      <c r="J80" s="428" t="s">
        <v>13</v>
      </c>
      <c r="K80" s="418" t="s">
        <v>17</v>
      </c>
      <c r="L80" s="415">
        <f t="shared" si="11"/>
        <v>59.287352399999996</v>
      </c>
      <c r="M80" s="415">
        <f t="shared" si="7"/>
        <v>15.80996064</v>
      </c>
      <c r="N80" s="416">
        <f t="shared" si="8"/>
        <v>7.9049803199999999</v>
      </c>
      <c r="O80" s="416">
        <f t="shared" si="9"/>
        <v>7.9049803199999999</v>
      </c>
      <c r="P80" s="413">
        <f t="shared" si="10"/>
        <v>27.667431119999996</v>
      </c>
    </row>
    <row r="81" spans="1:16">
      <c r="A81" s="410">
        <v>79</v>
      </c>
      <c r="B81" s="411" t="s">
        <v>889</v>
      </c>
      <c r="C81" s="419" t="s">
        <v>173</v>
      </c>
      <c r="D81" s="254">
        <v>1003110659474</v>
      </c>
      <c r="E81" s="280">
        <v>5665955</v>
      </c>
      <c r="F81" s="418">
        <v>606.70000000000005</v>
      </c>
      <c r="G81" s="413">
        <f t="shared" si="12"/>
        <v>44.774460000000005</v>
      </c>
      <c r="H81" s="418">
        <v>65.19</v>
      </c>
      <c r="I81" s="415">
        <f t="shared" si="13"/>
        <v>496.73554000000007</v>
      </c>
      <c r="J81" s="428" t="s">
        <v>13</v>
      </c>
      <c r="K81" s="418" t="s">
        <v>238</v>
      </c>
      <c r="L81" s="415">
        <f t="shared" si="11"/>
        <v>74.510331000000008</v>
      </c>
      <c r="M81" s="415">
        <f t="shared" si="7"/>
        <v>19.869421600000003</v>
      </c>
      <c r="N81" s="416">
        <f t="shared" si="8"/>
        <v>9.9347108000000013</v>
      </c>
      <c r="O81" s="416">
        <f t="shared" si="9"/>
        <v>9.9347108000000013</v>
      </c>
      <c r="P81" s="413">
        <f t="shared" si="10"/>
        <v>34.771487800000003</v>
      </c>
    </row>
    <row r="82" spans="1:16">
      <c r="A82" s="410">
        <v>80</v>
      </c>
      <c r="B82" s="411" t="s">
        <v>890</v>
      </c>
      <c r="C82" s="419" t="s">
        <v>891</v>
      </c>
      <c r="D82" s="254">
        <v>1003110659250</v>
      </c>
      <c r="E82" s="280">
        <v>5665512</v>
      </c>
      <c r="F82" s="418">
        <v>795.57</v>
      </c>
      <c r="G82" s="413">
        <f t="shared" si="12"/>
        <v>58.713066000000005</v>
      </c>
      <c r="H82" s="418">
        <v>265.19</v>
      </c>
      <c r="I82" s="415">
        <f t="shared" si="13"/>
        <v>471.66693400000003</v>
      </c>
      <c r="J82" s="428" t="s">
        <v>13</v>
      </c>
      <c r="K82" s="418" t="s">
        <v>266</v>
      </c>
      <c r="L82" s="415">
        <f t="shared" si="11"/>
        <v>70.750040100000007</v>
      </c>
      <c r="M82" s="415">
        <f t="shared" si="7"/>
        <v>18.866677360000001</v>
      </c>
      <c r="N82" s="416">
        <f t="shared" si="8"/>
        <v>9.4333386800000003</v>
      </c>
      <c r="O82" s="416">
        <f t="shared" si="9"/>
        <v>9.4333386800000003</v>
      </c>
      <c r="P82" s="413">
        <f t="shared" si="10"/>
        <v>33.016685380000013</v>
      </c>
    </row>
    <row r="83" spans="1:16">
      <c r="A83" s="410">
        <v>81</v>
      </c>
      <c r="B83" s="411" t="s">
        <v>892</v>
      </c>
      <c r="C83" s="419" t="s">
        <v>799</v>
      </c>
      <c r="D83" s="254">
        <v>1003110659448</v>
      </c>
      <c r="E83" s="280">
        <v>5666137</v>
      </c>
      <c r="F83" s="418">
        <v>580.41</v>
      </c>
      <c r="G83" s="413">
        <f t="shared" si="12"/>
        <v>42.834257999999998</v>
      </c>
      <c r="H83" s="418">
        <v>62.37</v>
      </c>
      <c r="I83" s="415">
        <f t="shared" si="13"/>
        <v>475.20574199999999</v>
      </c>
      <c r="J83" s="428" t="s">
        <v>13</v>
      </c>
      <c r="K83" s="418" t="s">
        <v>49</v>
      </c>
      <c r="L83" s="415">
        <f t="shared" si="11"/>
        <v>71.280861299999998</v>
      </c>
      <c r="M83" s="415">
        <f t="shared" si="7"/>
        <v>19.008229679999999</v>
      </c>
      <c r="N83" s="416">
        <f t="shared" si="8"/>
        <v>9.5041148399999997</v>
      </c>
      <c r="O83" s="416">
        <f t="shared" si="9"/>
        <v>9.5041148399999997</v>
      </c>
      <c r="P83" s="413">
        <f t="shared" si="10"/>
        <v>33.264401939999999</v>
      </c>
    </row>
    <row r="84" spans="1:16">
      <c r="A84" s="410">
        <v>82</v>
      </c>
      <c r="B84" s="411" t="s">
        <v>893</v>
      </c>
      <c r="C84" s="419" t="s">
        <v>475</v>
      </c>
      <c r="D84" s="254">
        <v>1003110659397</v>
      </c>
      <c r="E84" s="280">
        <v>5666239</v>
      </c>
      <c r="F84" s="418">
        <v>526.23</v>
      </c>
      <c r="G84" s="413">
        <f t="shared" si="12"/>
        <v>38.835774000000001</v>
      </c>
      <c r="H84" s="418">
        <v>56.54</v>
      </c>
      <c r="I84" s="415">
        <f t="shared" si="13"/>
        <v>430.85422599999998</v>
      </c>
      <c r="J84" s="428" t="s">
        <v>13</v>
      </c>
      <c r="K84" s="418" t="s">
        <v>266</v>
      </c>
      <c r="L84" s="415">
        <f t="shared" si="11"/>
        <v>64.628133899999995</v>
      </c>
      <c r="M84" s="415">
        <f t="shared" si="7"/>
        <v>17.234169040000001</v>
      </c>
      <c r="N84" s="416">
        <f t="shared" si="8"/>
        <v>8.6170845200000006</v>
      </c>
      <c r="O84" s="416">
        <f t="shared" si="9"/>
        <v>8.6170845200000006</v>
      </c>
      <c r="P84" s="413">
        <f t="shared" si="10"/>
        <v>30.159795819999999</v>
      </c>
    </row>
    <row r="85" spans="1:16">
      <c r="A85" s="410">
        <v>83</v>
      </c>
      <c r="B85" s="411" t="s">
        <v>894</v>
      </c>
      <c r="C85" s="419" t="s">
        <v>234</v>
      </c>
      <c r="D85" s="254">
        <v>2026301215</v>
      </c>
      <c r="E85" s="280">
        <v>5668082</v>
      </c>
      <c r="F85" s="418">
        <v>741.1</v>
      </c>
      <c r="G85" s="413">
        <f t="shared" si="12"/>
        <v>54.693180000000005</v>
      </c>
      <c r="H85" s="418">
        <v>139.30000000000001</v>
      </c>
      <c r="I85" s="415">
        <f t="shared" si="13"/>
        <v>547.10681999999997</v>
      </c>
      <c r="J85" s="428" t="s">
        <v>13</v>
      </c>
      <c r="K85" s="418" t="s">
        <v>17</v>
      </c>
      <c r="L85" s="415">
        <f t="shared" si="11"/>
        <v>82.066022999999987</v>
      </c>
      <c r="M85" s="415">
        <f t="shared" si="7"/>
        <v>21.884272799999998</v>
      </c>
      <c r="N85" s="416">
        <f t="shared" si="8"/>
        <v>10.942136399999999</v>
      </c>
      <c r="O85" s="416">
        <f t="shared" si="9"/>
        <v>10.942136399999999</v>
      </c>
      <c r="P85" s="413">
        <f t="shared" si="10"/>
        <v>38.297477399999991</v>
      </c>
    </row>
    <row r="86" spans="1:16">
      <c r="A86" s="410">
        <v>84</v>
      </c>
      <c r="B86" s="411" t="s">
        <v>895</v>
      </c>
      <c r="C86" s="419" t="s">
        <v>896</v>
      </c>
      <c r="D86" s="254">
        <v>10311070065</v>
      </c>
      <c r="E86" s="280" t="s">
        <v>897</v>
      </c>
      <c r="F86" s="418">
        <v>567.59</v>
      </c>
      <c r="G86" s="413">
        <f t="shared" si="12"/>
        <v>41.888142000000002</v>
      </c>
      <c r="H86" s="418">
        <v>122.59</v>
      </c>
      <c r="I86" s="415">
        <f t="shared" si="13"/>
        <v>403.11185799999998</v>
      </c>
      <c r="J86" s="428" t="s">
        <v>13</v>
      </c>
      <c r="K86" s="418" t="s">
        <v>17</v>
      </c>
      <c r="L86" s="415">
        <f t="shared" si="11"/>
        <v>60.466778699999992</v>
      </c>
      <c r="M86" s="415">
        <f t="shared" si="7"/>
        <v>16.124474320000001</v>
      </c>
      <c r="N86" s="416">
        <f t="shared" si="8"/>
        <v>8.0622371600000005</v>
      </c>
      <c r="O86" s="416">
        <f t="shared" si="9"/>
        <v>8.0622371600000005</v>
      </c>
      <c r="P86" s="413">
        <f t="shared" si="10"/>
        <v>28.217830059999983</v>
      </c>
    </row>
    <row r="87" spans="1:16">
      <c r="A87" s="410">
        <v>85</v>
      </c>
      <c r="B87" s="411" t="s">
        <v>898</v>
      </c>
      <c r="C87" s="419" t="s">
        <v>475</v>
      </c>
      <c r="D87" s="254">
        <v>1003110689585</v>
      </c>
      <c r="E87" s="280">
        <v>5673250</v>
      </c>
      <c r="F87" s="418">
        <v>504.76</v>
      </c>
      <c r="G87" s="413">
        <f t="shared" si="12"/>
        <v>37.251288000000002</v>
      </c>
      <c r="H87" s="418">
        <v>54.24</v>
      </c>
      <c r="I87" s="415">
        <f t="shared" si="13"/>
        <v>413.26871199999999</v>
      </c>
      <c r="J87" s="428" t="s">
        <v>13</v>
      </c>
      <c r="K87" s="418" t="s">
        <v>733</v>
      </c>
      <c r="L87" s="415">
        <f t="shared" si="11"/>
        <v>61.990306799999999</v>
      </c>
      <c r="M87" s="415">
        <f t="shared" si="7"/>
        <v>16.53074848</v>
      </c>
      <c r="N87" s="416">
        <f t="shared" si="8"/>
        <v>8.2653742399999999</v>
      </c>
      <c r="O87" s="416">
        <f t="shared" si="9"/>
        <v>8.2653742399999999</v>
      </c>
      <c r="P87" s="413">
        <f t="shared" si="10"/>
        <v>28.92880984</v>
      </c>
    </row>
    <row r="88" spans="1:16">
      <c r="A88" s="410">
        <v>86</v>
      </c>
      <c r="B88" s="411" t="s">
        <v>899</v>
      </c>
      <c r="C88" s="419" t="s">
        <v>475</v>
      </c>
      <c r="D88" s="254">
        <v>1003110674575</v>
      </c>
      <c r="E88" s="280">
        <v>5673439</v>
      </c>
      <c r="F88" s="418">
        <v>519.1</v>
      </c>
      <c r="G88" s="413">
        <f t="shared" si="12"/>
        <v>38.309580000000004</v>
      </c>
      <c r="H88" s="418">
        <v>55.78</v>
      </c>
      <c r="I88" s="415">
        <f t="shared" si="13"/>
        <v>425.01042000000007</v>
      </c>
      <c r="J88" s="428" t="s">
        <v>13</v>
      </c>
      <c r="K88" s="418" t="s">
        <v>49</v>
      </c>
      <c r="L88" s="415">
        <f t="shared" si="11"/>
        <v>63.751563000000004</v>
      </c>
      <c r="M88" s="415">
        <f t="shared" si="7"/>
        <v>17.000416800000004</v>
      </c>
      <c r="N88" s="416">
        <f t="shared" si="8"/>
        <v>8.5002084000000018</v>
      </c>
      <c r="O88" s="416">
        <f t="shared" si="9"/>
        <v>8.5002084000000018</v>
      </c>
      <c r="P88" s="413">
        <f t="shared" si="10"/>
        <v>29.750729400000001</v>
      </c>
    </row>
    <row r="89" spans="1:16">
      <c r="A89" s="410">
        <v>87</v>
      </c>
      <c r="B89" s="411" t="s">
        <v>900</v>
      </c>
      <c r="C89" s="419" t="s">
        <v>475</v>
      </c>
      <c r="D89" s="254">
        <v>1003110673784</v>
      </c>
      <c r="E89" s="280">
        <v>5673271</v>
      </c>
      <c r="F89" s="418">
        <v>492.67</v>
      </c>
      <c r="G89" s="413">
        <f t="shared" si="12"/>
        <v>36.359046000000006</v>
      </c>
      <c r="H89" s="418">
        <v>164.23</v>
      </c>
      <c r="I89" s="415">
        <f t="shared" si="13"/>
        <v>292.08095400000002</v>
      </c>
      <c r="J89" s="428" t="s">
        <v>13</v>
      </c>
      <c r="K89" s="418" t="s">
        <v>362</v>
      </c>
      <c r="L89" s="415">
        <f t="shared" si="11"/>
        <v>43.8121431</v>
      </c>
      <c r="M89" s="415">
        <f t="shared" si="7"/>
        <v>11.68323816</v>
      </c>
      <c r="N89" s="416">
        <f t="shared" si="8"/>
        <v>5.8416190800000001</v>
      </c>
      <c r="O89" s="416">
        <f t="shared" si="9"/>
        <v>5.8416190800000001</v>
      </c>
      <c r="P89" s="413">
        <f t="shared" si="10"/>
        <v>20.445666779999996</v>
      </c>
    </row>
    <row r="90" spans="1:16">
      <c r="A90" s="410">
        <v>88</v>
      </c>
      <c r="B90" s="411" t="s">
        <v>901</v>
      </c>
      <c r="C90" s="419" t="s">
        <v>29</v>
      </c>
      <c r="D90" s="254">
        <v>51772025423</v>
      </c>
      <c r="E90" s="280">
        <v>5647039</v>
      </c>
      <c r="F90" s="418">
        <v>1462.21</v>
      </c>
      <c r="G90" s="413">
        <f t="shared" si="12"/>
        <v>107.91109800000001</v>
      </c>
      <c r="H90" s="418">
        <v>365.55</v>
      </c>
      <c r="I90" s="415">
        <f t="shared" si="13"/>
        <v>988.74890200000004</v>
      </c>
      <c r="J90" s="428" t="s">
        <v>13</v>
      </c>
      <c r="K90" s="418" t="s">
        <v>26</v>
      </c>
      <c r="L90" s="415">
        <f t="shared" si="11"/>
        <v>148.3123353</v>
      </c>
      <c r="M90" s="415">
        <f t="shared" si="7"/>
        <v>39.549956080000001</v>
      </c>
      <c r="N90" s="416">
        <f t="shared" si="8"/>
        <v>19.774978040000001</v>
      </c>
      <c r="O90" s="416">
        <f t="shared" si="9"/>
        <v>19.774978040000001</v>
      </c>
      <c r="P90" s="413">
        <f t="shared" si="10"/>
        <v>69.212423139999999</v>
      </c>
    </row>
    <row r="91" spans="1:16">
      <c r="A91" s="410">
        <v>89</v>
      </c>
      <c r="B91" s="411" t="s">
        <v>902</v>
      </c>
      <c r="C91" s="419" t="s">
        <v>29</v>
      </c>
      <c r="D91" s="254">
        <v>100311676578</v>
      </c>
      <c r="E91" s="280">
        <v>5664408</v>
      </c>
      <c r="F91" s="418">
        <v>560.91999999999996</v>
      </c>
      <c r="G91" s="413">
        <f t="shared" si="12"/>
        <v>41.395896</v>
      </c>
      <c r="H91" s="418">
        <v>148.16999999999999</v>
      </c>
      <c r="I91" s="415">
        <f t="shared" si="13"/>
        <v>371.35410400000001</v>
      </c>
      <c r="J91" s="428" t="s">
        <v>13</v>
      </c>
      <c r="K91" s="418" t="s">
        <v>17</v>
      </c>
      <c r="L91" s="415">
        <f t="shared" si="11"/>
        <v>55.703115599999997</v>
      </c>
      <c r="M91" s="415">
        <f t="shared" si="7"/>
        <v>14.85416416</v>
      </c>
      <c r="N91" s="416">
        <f t="shared" si="8"/>
        <v>7.4270820799999999</v>
      </c>
      <c r="O91" s="416">
        <f t="shared" si="9"/>
        <v>7.4270820799999999</v>
      </c>
      <c r="P91" s="413">
        <f t="shared" si="10"/>
        <v>25.994787279999997</v>
      </c>
    </row>
    <row r="92" spans="1:16">
      <c r="A92" s="410">
        <v>90</v>
      </c>
      <c r="B92" s="226" t="s">
        <v>903</v>
      </c>
      <c r="C92" s="165" t="s">
        <v>29</v>
      </c>
      <c r="D92" s="382" t="s">
        <v>32</v>
      </c>
      <c r="E92" s="383">
        <v>5675129</v>
      </c>
      <c r="F92" s="168">
        <v>542.70000000000005</v>
      </c>
      <c r="G92" s="169">
        <f t="shared" si="12"/>
        <v>40.051260000000006</v>
      </c>
      <c r="H92" s="168">
        <v>0</v>
      </c>
      <c r="I92" s="170">
        <f t="shared" si="13"/>
        <v>502.64874000000003</v>
      </c>
      <c r="J92" s="167" t="s">
        <v>13</v>
      </c>
      <c r="K92" s="168" t="s">
        <v>25</v>
      </c>
      <c r="L92" s="170">
        <f t="shared" si="11"/>
        <v>75.397311000000002</v>
      </c>
      <c r="M92" s="170">
        <f t="shared" si="7"/>
        <v>20.105949600000002</v>
      </c>
      <c r="N92" s="171">
        <f t="shared" si="8"/>
        <v>10.052974800000001</v>
      </c>
      <c r="O92" s="171">
        <f t="shared" si="9"/>
        <v>10.052974800000001</v>
      </c>
      <c r="P92" s="169">
        <f t="shared" si="10"/>
        <v>35.185411799999997</v>
      </c>
    </row>
    <row r="93" spans="1:16">
      <c r="A93" s="410">
        <v>91</v>
      </c>
      <c r="B93" s="339" t="s">
        <v>904</v>
      </c>
      <c r="C93" s="327" t="s">
        <v>475</v>
      </c>
      <c r="D93" s="400">
        <v>1003110680198</v>
      </c>
      <c r="E93" s="401">
        <v>5676852</v>
      </c>
      <c r="F93" s="294">
        <v>539.20000000000005</v>
      </c>
      <c r="G93" s="294">
        <f t="shared" si="12"/>
        <v>39.792960000000008</v>
      </c>
      <c r="H93" s="294">
        <v>66.5</v>
      </c>
      <c r="I93" s="293">
        <f t="shared" si="13"/>
        <v>432.90704000000005</v>
      </c>
      <c r="J93" s="329" t="s">
        <v>13</v>
      </c>
      <c r="K93" s="294" t="s">
        <v>26</v>
      </c>
      <c r="L93" s="293">
        <f t="shared" si="11"/>
        <v>64.936056000000008</v>
      </c>
      <c r="M93" s="293">
        <f t="shared" si="7"/>
        <v>17.316281600000003</v>
      </c>
      <c r="N93" s="296">
        <f t="shared" si="8"/>
        <v>8.6581408000000017</v>
      </c>
      <c r="O93" s="296">
        <f t="shared" si="9"/>
        <v>8.6581408000000017</v>
      </c>
      <c r="P93" s="294">
        <f t="shared" si="10"/>
        <v>30.303492799999997</v>
      </c>
    </row>
    <row r="94" spans="1:16">
      <c r="A94" s="410">
        <v>92</v>
      </c>
      <c r="B94" s="411" t="s">
        <v>905</v>
      </c>
      <c r="C94" s="419" t="s">
        <v>29</v>
      </c>
      <c r="D94" s="254">
        <v>2653332</v>
      </c>
      <c r="E94" s="280">
        <v>5678064</v>
      </c>
      <c r="F94" s="418">
        <v>899.55</v>
      </c>
      <c r="G94" s="413">
        <f t="shared" si="12"/>
        <v>66.386790000000005</v>
      </c>
      <c r="H94" s="418">
        <v>78.91</v>
      </c>
      <c r="I94" s="415">
        <f t="shared" si="13"/>
        <v>754.25320999999997</v>
      </c>
      <c r="J94" s="428" t="s">
        <v>16</v>
      </c>
      <c r="K94" s="418" t="s">
        <v>238</v>
      </c>
      <c r="L94" s="415">
        <f t="shared" si="11"/>
        <v>113.1379815</v>
      </c>
      <c r="M94" s="415">
        <f t="shared" si="7"/>
        <v>30.170128399999999</v>
      </c>
      <c r="N94" s="416">
        <f t="shared" si="8"/>
        <v>15.0850642</v>
      </c>
      <c r="O94" s="416">
        <f t="shared" si="9"/>
        <v>15.0850642</v>
      </c>
      <c r="P94" s="413">
        <f t="shared" si="10"/>
        <v>52.797724699999996</v>
      </c>
    </row>
    <row r="95" spans="1:16">
      <c r="A95" s="410">
        <v>93</v>
      </c>
      <c r="B95" s="499" t="s">
        <v>906</v>
      </c>
      <c r="C95" s="327" t="s">
        <v>475</v>
      </c>
      <c r="D95" s="400">
        <v>1003110687650</v>
      </c>
      <c r="E95" s="401">
        <v>5681299</v>
      </c>
      <c r="F95" s="294">
        <v>549.44000000000005</v>
      </c>
      <c r="G95" s="294">
        <f t="shared" si="12"/>
        <v>40.548672000000003</v>
      </c>
      <c r="H95" s="294">
        <v>145.13999999999999</v>
      </c>
      <c r="I95" s="293">
        <f t="shared" si="13"/>
        <v>363.75132800000006</v>
      </c>
      <c r="J95" s="329" t="s">
        <v>13</v>
      </c>
      <c r="K95" s="294" t="s">
        <v>26</v>
      </c>
      <c r="L95" s="293">
        <f t="shared" si="11"/>
        <v>54.562699200000004</v>
      </c>
      <c r="M95" s="293">
        <f t="shared" si="7"/>
        <v>14.550053120000003</v>
      </c>
      <c r="N95" s="296">
        <f t="shared" si="8"/>
        <v>7.2750265600000015</v>
      </c>
      <c r="O95" s="296">
        <f t="shared" si="9"/>
        <v>7.2750265600000015</v>
      </c>
      <c r="P95" s="294">
        <f t="shared" si="10"/>
        <v>25.462592960000002</v>
      </c>
    </row>
    <row r="96" spans="1:16">
      <c r="A96" s="410">
        <v>94</v>
      </c>
      <c r="B96" s="411" t="s">
        <v>907</v>
      </c>
      <c r="C96" s="419" t="s">
        <v>475</v>
      </c>
      <c r="D96" s="254">
        <v>1003110686283</v>
      </c>
      <c r="E96" s="280">
        <v>5676234</v>
      </c>
      <c r="F96" s="418">
        <v>589.59</v>
      </c>
      <c r="G96" s="413">
        <f t="shared" si="12"/>
        <v>43.511742000000005</v>
      </c>
      <c r="H96" s="418">
        <v>63.53</v>
      </c>
      <c r="I96" s="415">
        <f t="shared" si="13"/>
        <v>482.54825800000003</v>
      </c>
      <c r="J96" s="428" t="s">
        <v>13</v>
      </c>
      <c r="K96" s="418" t="s">
        <v>641</v>
      </c>
      <c r="L96" s="415">
        <f t="shared" si="11"/>
        <v>72.382238700000002</v>
      </c>
      <c r="M96" s="415">
        <f t="shared" si="7"/>
        <v>19.30193032</v>
      </c>
      <c r="N96" s="416">
        <f t="shared" si="8"/>
        <v>9.6509651600000002</v>
      </c>
      <c r="O96" s="416">
        <f t="shared" si="9"/>
        <v>9.6509651600000002</v>
      </c>
      <c r="P96" s="413">
        <f t="shared" si="10"/>
        <v>33.778378060000009</v>
      </c>
    </row>
    <row r="97" spans="1:16">
      <c r="A97" s="410">
        <v>95</v>
      </c>
      <c r="B97" s="411" t="s">
        <v>908</v>
      </c>
      <c r="C97" s="419" t="s">
        <v>909</v>
      </c>
      <c r="D97" s="254">
        <v>3585409</v>
      </c>
      <c r="E97" s="280">
        <v>5682580</v>
      </c>
      <c r="F97" s="418">
        <v>1115.8599999999999</v>
      </c>
      <c r="G97" s="413">
        <f t="shared" si="12"/>
        <v>82.350467999999992</v>
      </c>
      <c r="H97" s="418">
        <v>92.96</v>
      </c>
      <c r="I97" s="415">
        <f t="shared" si="13"/>
        <v>940.54953199999977</v>
      </c>
      <c r="J97" s="428" t="s">
        <v>16</v>
      </c>
      <c r="K97" s="418" t="s">
        <v>25</v>
      </c>
      <c r="L97" s="415">
        <f t="shared" si="11"/>
        <v>141.08242979999997</v>
      </c>
      <c r="M97" s="415">
        <f t="shared" si="7"/>
        <v>37.621981279999993</v>
      </c>
      <c r="N97" s="416">
        <f t="shared" si="8"/>
        <v>18.810990639999996</v>
      </c>
      <c r="O97" s="416">
        <f t="shared" si="9"/>
        <v>18.810990639999996</v>
      </c>
      <c r="P97" s="413">
        <f t="shared" si="10"/>
        <v>65.838467239999972</v>
      </c>
    </row>
    <row r="98" spans="1:16">
      <c r="A98" s="410">
        <v>96</v>
      </c>
      <c r="B98" s="411" t="s">
        <v>910</v>
      </c>
      <c r="C98" s="419" t="s">
        <v>12</v>
      </c>
      <c r="D98" s="254">
        <v>1003110694775</v>
      </c>
      <c r="E98" s="280">
        <v>5686140</v>
      </c>
      <c r="F98" s="418">
        <v>833.39</v>
      </c>
      <c r="G98" s="413">
        <f t="shared" si="12"/>
        <v>61.504182</v>
      </c>
      <c r="H98" s="418">
        <v>89.55</v>
      </c>
      <c r="I98" s="415">
        <f t="shared" si="13"/>
        <v>682.33581800000002</v>
      </c>
      <c r="J98" s="428" t="s">
        <v>13</v>
      </c>
      <c r="K98" s="418" t="s">
        <v>36</v>
      </c>
      <c r="L98" s="415">
        <f t="shared" si="11"/>
        <v>102.35037269999999</v>
      </c>
      <c r="M98" s="415">
        <f t="shared" si="7"/>
        <v>27.293432720000002</v>
      </c>
      <c r="N98" s="416">
        <f t="shared" si="8"/>
        <v>13.646716360000001</v>
      </c>
      <c r="O98" s="416">
        <f t="shared" si="9"/>
        <v>13.646716360000001</v>
      </c>
      <c r="P98" s="413">
        <f t="shared" si="10"/>
        <v>47.763507259999997</v>
      </c>
    </row>
    <row r="99" spans="1:16">
      <c r="A99" s="410">
        <v>97</v>
      </c>
      <c r="B99" s="411" t="s">
        <v>911</v>
      </c>
      <c r="C99" s="419" t="s">
        <v>29</v>
      </c>
      <c r="D99" s="254">
        <v>2656412</v>
      </c>
      <c r="E99" s="280">
        <v>5684913</v>
      </c>
      <c r="F99" s="418">
        <v>553.98</v>
      </c>
      <c r="G99" s="413">
        <f t="shared" si="12"/>
        <v>40.883724000000001</v>
      </c>
      <c r="H99" s="418">
        <v>145.79</v>
      </c>
      <c r="I99" s="415">
        <f t="shared" si="13"/>
        <v>367.30627600000003</v>
      </c>
      <c r="J99" s="428" t="s">
        <v>16</v>
      </c>
      <c r="K99" s="418" t="s">
        <v>25</v>
      </c>
      <c r="L99" s="415">
        <f t="shared" si="11"/>
        <v>55.095941400000001</v>
      </c>
      <c r="M99" s="415">
        <f t="shared" si="7"/>
        <v>14.692251040000002</v>
      </c>
      <c r="N99" s="416">
        <f t="shared" si="8"/>
        <v>7.3461255200000011</v>
      </c>
      <c r="O99" s="416">
        <f t="shared" si="9"/>
        <v>7.3461255200000011</v>
      </c>
      <c r="P99" s="413">
        <f t="shared" si="10"/>
        <v>25.711439319999997</v>
      </c>
    </row>
    <row r="100" spans="1:16">
      <c r="A100" s="410">
        <v>98</v>
      </c>
      <c r="B100" s="339" t="s">
        <v>912</v>
      </c>
      <c r="C100" s="327" t="s">
        <v>173</v>
      </c>
      <c r="D100" s="400">
        <v>1003110691332</v>
      </c>
      <c r="E100" s="401">
        <v>5676811</v>
      </c>
      <c r="F100" s="294">
        <v>590.97</v>
      </c>
      <c r="G100" s="294">
        <f t="shared" si="12"/>
        <v>43.613586000000005</v>
      </c>
      <c r="H100" s="294">
        <v>73.62</v>
      </c>
      <c r="I100" s="293">
        <f t="shared" si="13"/>
        <v>473.73641399999997</v>
      </c>
      <c r="J100" s="329" t="s">
        <v>13</v>
      </c>
      <c r="K100" s="294" t="s">
        <v>26</v>
      </c>
      <c r="L100" s="293">
        <f t="shared" si="11"/>
        <v>71.060462099999995</v>
      </c>
      <c r="M100" s="293">
        <f t="shared" si="7"/>
        <v>18.949456559999998</v>
      </c>
      <c r="N100" s="296">
        <f t="shared" si="8"/>
        <v>9.474728279999999</v>
      </c>
      <c r="O100" s="296">
        <f t="shared" si="9"/>
        <v>9.474728279999999</v>
      </c>
      <c r="P100" s="294">
        <f t="shared" si="10"/>
        <v>33.161548979999992</v>
      </c>
    </row>
    <row r="101" spans="1:16">
      <c r="A101" s="410">
        <v>99</v>
      </c>
      <c r="B101" s="411" t="s">
        <v>913</v>
      </c>
      <c r="C101" s="419" t="s">
        <v>475</v>
      </c>
      <c r="D101" s="254">
        <v>2655513</v>
      </c>
      <c r="E101" s="280">
        <v>5680538</v>
      </c>
      <c r="F101" s="418">
        <v>544.04</v>
      </c>
      <c r="G101" s="413">
        <f t="shared" si="12"/>
        <v>40.150151999999999</v>
      </c>
      <c r="H101" s="418">
        <v>47.72</v>
      </c>
      <c r="I101" s="415">
        <f t="shared" si="13"/>
        <v>456.169848</v>
      </c>
      <c r="J101" s="428" t="s">
        <v>16</v>
      </c>
      <c r="K101" s="418" t="s">
        <v>26</v>
      </c>
      <c r="L101" s="415">
        <f t="shared" si="11"/>
        <v>68.425477200000003</v>
      </c>
      <c r="M101" s="415">
        <f t="shared" si="7"/>
        <v>18.246793920000002</v>
      </c>
      <c r="N101" s="416">
        <f t="shared" si="8"/>
        <v>9.1233969600000009</v>
      </c>
      <c r="O101" s="416">
        <f t="shared" si="9"/>
        <v>9.1233969600000009</v>
      </c>
      <c r="P101" s="413">
        <f t="shared" si="10"/>
        <v>31.93188936</v>
      </c>
    </row>
    <row r="102" spans="1:16">
      <c r="A102" s="410">
        <v>100</v>
      </c>
      <c r="B102" s="411" t="s">
        <v>914</v>
      </c>
      <c r="C102" s="419" t="s">
        <v>475</v>
      </c>
      <c r="D102" s="254">
        <v>1003110706965</v>
      </c>
      <c r="E102" s="280" t="s">
        <v>915</v>
      </c>
      <c r="F102" s="418">
        <v>451.06</v>
      </c>
      <c r="G102" s="413">
        <f t="shared" si="12"/>
        <v>33.288228000000004</v>
      </c>
      <c r="H102" s="418">
        <v>48.47</v>
      </c>
      <c r="I102" s="415">
        <f t="shared" si="13"/>
        <v>369.30177200000003</v>
      </c>
      <c r="J102" s="428" t="s">
        <v>13</v>
      </c>
      <c r="K102" s="418" t="s">
        <v>216</v>
      </c>
      <c r="L102" s="415">
        <f t="shared" si="11"/>
        <v>55.395265800000004</v>
      </c>
      <c r="M102" s="415">
        <f t="shared" si="7"/>
        <v>14.772070880000001</v>
      </c>
      <c r="N102" s="416">
        <f t="shared" si="8"/>
        <v>7.3860354400000006</v>
      </c>
      <c r="O102" s="416">
        <f t="shared" si="9"/>
        <v>7.3860354400000006</v>
      </c>
      <c r="P102" s="413">
        <f t="shared" si="10"/>
        <v>25.851124040000002</v>
      </c>
    </row>
    <row r="103" spans="1:16">
      <c r="A103" s="410"/>
      <c r="B103" s="411"/>
      <c r="C103" s="419"/>
      <c r="D103" s="254"/>
      <c r="E103" s="280"/>
      <c r="F103" s="418"/>
      <c r="G103" s="413">
        <f t="shared" si="12"/>
        <v>0</v>
      </c>
      <c r="H103" s="418"/>
      <c r="I103" s="415">
        <f t="shared" si="13"/>
        <v>0</v>
      </c>
      <c r="J103" s="428"/>
      <c r="K103" s="418"/>
      <c r="L103" s="413">
        <f t="shared" si="11"/>
        <v>0</v>
      </c>
      <c r="M103" s="415">
        <f t="shared" si="7"/>
        <v>0</v>
      </c>
      <c r="N103" s="416">
        <f t="shared" si="8"/>
        <v>0</v>
      </c>
      <c r="O103" s="416">
        <f t="shared" si="9"/>
        <v>0</v>
      </c>
      <c r="P103" s="413">
        <f t="shared" si="10"/>
        <v>0</v>
      </c>
    </row>
    <row r="104" spans="1:16">
      <c r="A104" s="3"/>
      <c r="B104" s="440"/>
      <c r="C104" s="440"/>
      <c r="D104" s="441"/>
      <c r="E104" s="440"/>
      <c r="F104" s="442"/>
      <c r="G104" s="442"/>
      <c r="H104" s="442"/>
      <c r="I104" s="442"/>
      <c r="J104" s="440"/>
      <c r="K104" s="443"/>
      <c r="L104" s="443"/>
      <c r="M104" s="443"/>
      <c r="N104" s="7"/>
      <c r="O104" s="7"/>
      <c r="P104" s="8"/>
    </row>
    <row r="105" spans="1:16" ht="15.6">
      <c r="A105" s="3"/>
      <c r="B105" s="4"/>
      <c r="C105" s="4"/>
      <c r="D105" s="13"/>
      <c r="E105" s="5" t="s">
        <v>11</v>
      </c>
      <c r="F105" s="6">
        <f>SUM(F3:F103)</f>
        <v>66648.939999999959</v>
      </c>
      <c r="G105" s="6">
        <f>SUM(G3:G103)</f>
        <v>4918.6917719999992</v>
      </c>
      <c r="H105" s="6">
        <f>SUM(H3:H103)</f>
        <v>9058.3299999999963</v>
      </c>
      <c r="I105" s="6">
        <f>SUM(I3:I103)</f>
        <v>52671.91822799998</v>
      </c>
      <c r="J105" s="4"/>
      <c r="K105" s="9"/>
      <c r="L105" s="6">
        <f>SUM(L3:L103)</f>
        <v>7900.7877342000002</v>
      </c>
      <c r="M105" s="6">
        <f>SUM(M3:M103)</f>
        <v>2106.8767291200002</v>
      </c>
      <c r="N105" s="6">
        <f>SUM(N3:N103)</f>
        <v>1053.4383645600001</v>
      </c>
      <c r="O105" s="6">
        <f>SUM(O3:O103)</f>
        <v>1053.4383645600001</v>
      </c>
      <c r="P105" s="6">
        <f>SUM(P3:P103)</f>
        <v>3687.0342759600007</v>
      </c>
    </row>
  </sheetData>
  <autoFilter ref="B2:P103" xr:uid="{E4F781A6-0E62-4F39-971C-B495698E83F8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A28D-1DB3-4A00-A80A-113F899D34A9}">
  <dimension ref="A1:Q107"/>
  <sheetViews>
    <sheetView zoomScaleNormal="100" workbookViewId="0">
      <selection activeCell="I17" sqref="I17"/>
    </sheetView>
  </sheetViews>
  <sheetFormatPr defaultRowHeight="14.4"/>
  <cols>
    <col min="1" max="1" width="5.77734375" customWidth="1"/>
    <col min="2" max="2" width="38.77734375" customWidth="1"/>
    <col min="3" max="3" width="18.109375" customWidth="1"/>
    <col min="4" max="4" width="16.33203125" customWidth="1"/>
    <col min="5" max="5" width="14.6640625" customWidth="1"/>
    <col min="6" max="6" width="14.33203125" customWidth="1"/>
    <col min="7" max="7" width="13.21875" customWidth="1"/>
    <col min="8" max="8" width="13.5546875" customWidth="1"/>
    <col min="9" max="9" width="14.6640625" customWidth="1"/>
    <col min="10" max="10" width="15.77734375" customWidth="1"/>
    <col min="11" max="11" width="15.44140625" customWidth="1"/>
    <col min="12" max="12" width="12.5546875" customWidth="1"/>
    <col min="13" max="13" width="15.88671875" customWidth="1"/>
    <col min="14" max="14" width="12.6640625" customWidth="1"/>
    <col min="15" max="15" width="15" customWidth="1"/>
    <col min="16" max="16" width="18.109375" customWidth="1"/>
    <col min="17" max="17" width="62.5546875" customWidth="1"/>
  </cols>
  <sheetData>
    <row r="1" spans="1:17" ht="23.4">
      <c r="B1" s="742" t="s">
        <v>916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4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449">
        <v>1</v>
      </c>
      <c r="B3" s="339" t="s">
        <v>917</v>
      </c>
      <c r="C3" s="292" t="s">
        <v>170</v>
      </c>
      <c r="D3" s="546">
        <v>1003110702339</v>
      </c>
      <c r="E3" s="646">
        <v>5689067</v>
      </c>
      <c r="F3" s="342">
        <v>537.67999999999995</v>
      </c>
      <c r="G3" s="294">
        <f>F3*7.38%</f>
        <v>39.680783999999996</v>
      </c>
      <c r="H3" s="293">
        <v>66.319999999999993</v>
      </c>
      <c r="I3" s="294">
        <f>F3-G3-H3</f>
        <v>431.67921599999994</v>
      </c>
      <c r="J3" s="295" t="s">
        <v>13</v>
      </c>
      <c r="K3" s="293" t="s">
        <v>26</v>
      </c>
      <c r="L3" s="293">
        <f>I3*15%</f>
        <v>64.751882399999985</v>
      </c>
      <c r="M3" s="293">
        <f t="shared" ref="M3:M66" si="0">I3*4%</f>
        <v>17.267168639999998</v>
      </c>
      <c r="N3" s="296">
        <f t="shared" ref="N3:N66" si="1">I3*2%</f>
        <v>8.6335843199999989</v>
      </c>
      <c r="O3" s="296">
        <f t="shared" ref="O3:O66" si="2">I3*2%</f>
        <v>8.6335843199999989</v>
      </c>
      <c r="P3" s="294">
        <f t="shared" ref="P3:P66" si="3">L3-M3-N3-O3</f>
        <v>30.217545119999997</v>
      </c>
    </row>
    <row r="4" spans="1:17">
      <c r="A4" s="449">
        <v>2</v>
      </c>
      <c r="B4" s="450" t="s">
        <v>918</v>
      </c>
      <c r="C4" s="456" t="s">
        <v>12</v>
      </c>
      <c r="D4" s="238">
        <v>1003110698753</v>
      </c>
      <c r="E4" s="230">
        <v>5688482</v>
      </c>
      <c r="F4" s="451">
        <v>661.03</v>
      </c>
      <c r="G4" s="452">
        <f>F4*7.38%</f>
        <v>48.784013999999999</v>
      </c>
      <c r="H4" s="457">
        <v>71.03</v>
      </c>
      <c r="I4" s="452">
        <f>F4-G4-H4</f>
        <v>541.21598600000004</v>
      </c>
      <c r="J4" s="458" t="s">
        <v>13</v>
      </c>
      <c r="K4" s="457" t="s">
        <v>51</v>
      </c>
      <c r="L4" s="454">
        <f t="shared" ref="L4:L67" si="4">I4*15%</f>
        <v>81.182397899999998</v>
      </c>
      <c r="M4" s="454">
        <f t="shared" si="0"/>
        <v>21.648639440000004</v>
      </c>
      <c r="N4" s="455">
        <f t="shared" si="1"/>
        <v>10.824319720000002</v>
      </c>
      <c r="O4" s="455">
        <f t="shared" si="2"/>
        <v>10.824319720000002</v>
      </c>
      <c r="P4" s="452">
        <f t="shared" si="3"/>
        <v>37.885119019999991</v>
      </c>
    </row>
    <row r="5" spans="1:17">
      <c r="A5" s="449">
        <v>3</v>
      </c>
      <c r="B5" s="459" t="s">
        <v>919</v>
      </c>
      <c r="C5" s="449" t="s">
        <v>173</v>
      </c>
      <c r="D5" s="242">
        <v>1003110702879</v>
      </c>
      <c r="E5" s="243">
        <v>5653931</v>
      </c>
      <c r="F5" s="460">
        <v>631.09</v>
      </c>
      <c r="G5" s="452">
        <f t="shared" ref="G5:G68" si="5">F5*7.38%</f>
        <v>46.574442000000005</v>
      </c>
      <c r="H5" s="461">
        <v>167.08</v>
      </c>
      <c r="I5" s="452">
        <f t="shared" ref="I5:I68" si="6">F5-G5-H5</f>
        <v>417.43555800000001</v>
      </c>
      <c r="J5" s="449" t="s">
        <v>13</v>
      </c>
      <c r="K5" s="453" t="s">
        <v>235</v>
      </c>
      <c r="L5" s="454">
        <f t="shared" si="4"/>
        <v>62.615333700000001</v>
      </c>
      <c r="M5" s="454">
        <f t="shared" si="0"/>
        <v>16.697422320000001</v>
      </c>
      <c r="N5" s="455">
        <f t="shared" si="1"/>
        <v>8.3487111600000006</v>
      </c>
      <c r="O5" s="455">
        <f t="shared" si="2"/>
        <v>8.3487111600000006</v>
      </c>
      <c r="P5" s="452">
        <f t="shared" si="3"/>
        <v>29.220489059999998</v>
      </c>
    </row>
    <row r="6" spans="1:17">
      <c r="A6" s="449">
        <v>4</v>
      </c>
      <c r="B6" s="450" t="s">
        <v>920</v>
      </c>
      <c r="C6" s="458" t="s">
        <v>300</v>
      </c>
      <c r="D6" s="246">
        <v>1003110701589</v>
      </c>
      <c r="E6" s="191">
        <v>5688415</v>
      </c>
      <c r="F6" s="462">
        <v>565.66</v>
      </c>
      <c r="G6" s="463">
        <f t="shared" si="5"/>
        <v>41.745708</v>
      </c>
      <c r="H6" s="457">
        <v>103.91</v>
      </c>
      <c r="I6" s="463">
        <f t="shared" si="6"/>
        <v>420.00429199999996</v>
      </c>
      <c r="J6" s="458" t="s">
        <v>13</v>
      </c>
      <c r="K6" s="457" t="s">
        <v>26</v>
      </c>
      <c r="L6" s="454">
        <f t="shared" si="4"/>
        <v>63.000643799999992</v>
      </c>
      <c r="M6" s="454">
        <f t="shared" si="0"/>
        <v>16.800171679999998</v>
      </c>
      <c r="N6" s="455">
        <f t="shared" si="1"/>
        <v>8.4000858399999991</v>
      </c>
      <c r="O6" s="455">
        <f t="shared" si="2"/>
        <v>8.4000858399999991</v>
      </c>
      <c r="P6" s="452">
        <f t="shared" si="3"/>
        <v>29.400300439999999</v>
      </c>
    </row>
    <row r="7" spans="1:17">
      <c r="A7" s="449">
        <v>5</v>
      </c>
      <c r="B7" s="645" t="s">
        <v>921</v>
      </c>
      <c r="C7" s="295" t="s">
        <v>173</v>
      </c>
      <c r="D7" s="506">
        <v>1003110702129</v>
      </c>
      <c r="E7" s="507">
        <v>5687885</v>
      </c>
      <c r="F7" s="293">
        <v>619.73</v>
      </c>
      <c r="G7" s="294">
        <f t="shared" si="5"/>
        <v>45.736074000000002</v>
      </c>
      <c r="H7" s="293">
        <v>75.510000000000005</v>
      </c>
      <c r="I7" s="294">
        <f t="shared" si="6"/>
        <v>498.483926</v>
      </c>
      <c r="J7" s="295" t="s">
        <v>13</v>
      </c>
      <c r="K7" s="293" t="s">
        <v>332</v>
      </c>
      <c r="L7" s="293">
        <f t="shared" si="4"/>
        <v>74.772588900000002</v>
      </c>
      <c r="M7" s="293">
        <f t="shared" si="0"/>
        <v>19.939357040000001</v>
      </c>
      <c r="N7" s="296">
        <f t="shared" si="1"/>
        <v>9.9696785200000004</v>
      </c>
      <c r="O7" s="296">
        <f t="shared" si="2"/>
        <v>9.9696785200000004</v>
      </c>
      <c r="P7" s="294">
        <f t="shared" si="3"/>
        <v>34.893874819999994</v>
      </c>
    </row>
    <row r="8" spans="1:17">
      <c r="A8" s="449">
        <v>6</v>
      </c>
      <c r="B8" s="450" t="s">
        <v>922</v>
      </c>
      <c r="C8" s="458" t="s">
        <v>300</v>
      </c>
      <c r="D8" s="249">
        <v>1003110702565</v>
      </c>
      <c r="E8" s="250">
        <v>5690997</v>
      </c>
      <c r="F8" s="457">
        <v>568.19000000000005</v>
      </c>
      <c r="G8" s="463">
        <f t="shared" si="5"/>
        <v>41.93242200000001</v>
      </c>
      <c r="H8" s="457">
        <v>61.05</v>
      </c>
      <c r="I8" s="463">
        <f>F8-G8-H8</f>
        <v>465.20757800000007</v>
      </c>
      <c r="J8" s="458" t="s">
        <v>13</v>
      </c>
      <c r="K8" s="457" t="s">
        <v>49</v>
      </c>
      <c r="L8" s="454">
        <f t="shared" si="4"/>
        <v>69.781136700000005</v>
      </c>
      <c r="M8" s="454">
        <f t="shared" si="0"/>
        <v>18.608303120000002</v>
      </c>
      <c r="N8" s="455">
        <f t="shared" si="1"/>
        <v>9.3041515600000011</v>
      </c>
      <c r="O8" s="455">
        <f t="shared" si="2"/>
        <v>9.3041515600000011</v>
      </c>
      <c r="P8" s="452">
        <f t="shared" si="3"/>
        <v>32.56453046</v>
      </c>
    </row>
    <row r="9" spans="1:17">
      <c r="A9" s="449">
        <v>7</v>
      </c>
      <c r="B9" s="459" t="s">
        <v>923</v>
      </c>
      <c r="C9" s="449" t="s">
        <v>300</v>
      </c>
      <c r="D9" s="251">
        <v>35857827</v>
      </c>
      <c r="E9" s="464" t="s">
        <v>924</v>
      </c>
      <c r="F9" s="465">
        <v>371.6</v>
      </c>
      <c r="G9" s="463">
        <f t="shared" si="5"/>
        <v>27.424080000000004</v>
      </c>
      <c r="H9" s="453">
        <v>46.45</v>
      </c>
      <c r="I9" s="463">
        <f>F9-G9-H9</f>
        <v>297.72592000000003</v>
      </c>
      <c r="J9" s="449" t="s">
        <v>925</v>
      </c>
      <c r="K9" s="453" t="s">
        <v>17</v>
      </c>
      <c r="L9" s="454">
        <f t="shared" si="4"/>
        <v>44.658888000000005</v>
      </c>
      <c r="M9" s="454">
        <f t="shared" si="0"/>
        <v>11.909036800000001</v>
      </c>
      <c r="N9" s="455">
        <f>I9*2%</f>
        <v>5.9545184000000004</v>
      </c>
      <c r="O9" s="455">
        <f t="shared" si="2"/>
        <v>5.9545184000000004</v>
      </c>
      <c r="P9" s="452">
        <f t="shared" si="3"/>
        <v>20.840814399999999</v>
      </c>
    </row>
    <row r="10" spans="1:17">
      <c r="A10" s="449">
        <v>8</v>
      </c>
      <c r="B10" s="466" t="s">
        <v>926</v>
      </c>
      <c r="C10" s="458" t="s">
        <v>927</v>
      </c>
      <c r="D10" s="254">
        <v>2661076</v>
      </c>
      <c r="E10" s="255">
        <v>5675029</v>
      </c>
      <c r="F10" s="467">
        <v>791.41</v>
      </c>
      <c r="G10" s="463">
        <f t="shared" si="5"/>
        <v>58.406058000000002</v>
      </c>
      <c r="H10" s="457">
        <v>69.42</v>
      </c>
      <c r="I10" s="463">
        <f t="shared" si="6"/>
        <v>663.58394199999998</v>
      </c>
      <c r="J10" s="468" t="s">
        <v>925</v>
      </c>
      <c r="K10" s="457" t="s">
        <v>258</v>
      </c>
      <c r="L10" s="454">
        <f t="shared" si="4"/>
        <v>99.537591299999988</v>
      </c>
      <c r="M10" s="454">
        <f t="shared" si="0"/>
        <v>26.54335768</v>
      </c>
      <c r="N10" s="455">
        <f t="shared" si="1"/>
        <v>13.27167884</v>
      </c>
      <c r="O10" s="455">
        <f t="shared" si="2"/>
        <v>13.27167884</v>
      </c>
      <c r="P10" s="452">
        <f t="shared" si="3"/>
        <v>46.450875939999989</v>
      </c>
    </row>
    <row r="11" spans="1:17">
      <c r="A11" s="449">
        <v>9</v>
      </c>
      <c r="B11" s="466" t="s">
        <v>928</v>
      </c>
      <c r="C11" s="449" t="s">
        <v>241</v>
      </c>
      <c r="D11" s="251">
        <v>1003110707798</v>
      </c>
      <c r="E11" s="191">
        <v>5694006</v>
      </c>
      <c r="F11" s="469">
        <v>642.82000000000005</v>
      </c>
      <c r="G11" s="463">
        <f t="shared" si="5"/>
        <v>47.440116000000003</v>
      </c>
      <c r="H11" s="453">
        <v>69.069999999999993</v>
      </c>
      <c r="I11" s="470">
        <f t="shared" si="6"/>
        <v>526.30988400000001</v>
      </c>
      <c r="J11" s="471" t="s">
        <v>13</v>
      </c>
      <c r="K11" s="453" t="s">
        <v>17</v>
      </c>
      <c r="L11" s="454">
        <f t="shared" si="4"/>
        <v>78.946482599999996</v>
      </c>
      <c r="M11" s="454">
        <f t="shared" si="0"/>
        <v>21.052395360000002</v>
      </c>
      <c r="N11" s="455">
        <f t="shared" si="1"/>
        <v>10.526197680000001</v>
      </c>
      <c r="O11" s="472">
        <f t="shared" si="2"/>
        <v>10.526197680000001</v>
      </c>
      <c r="P11" s="454">
        <f t="shared" si="3"/>
        <v>36.841691879999985</v>
      </c>
    </row>
    <row r="12" spans="1:17">
      <c r="A12" s="449">
        <v>10</v>
      </c>
      <c r="B12" s="473" t="s">
        <v>929</v>
      </c>
      <c r="C12" s="160" t="s">
        <v>173</v>
      </c>
      <c r="D12" s="254">
        <v>1003110706650</v>
      </c>
      <c r="E12" s="262">
        <v>5693238</v>
      </c>
      <c r="F12" s="474">
        <v>553.4</v>
      </c>
      <c r="G12" s="463">
        <f t="shared" si="5"/>
        <v>40.840920000000004</v>
      </c>
      <c r="H12" s="457">
        <v>68.260000000000005</v>
      </c>
      <c r="I12" s="463">
        <f t="shared" si="6"/>
        <v>444.29908</v>
      </c>
      <c r="J12" s="471" t="s">
        <v>13</v>
      </c>
      <c r="K12" s="457" t="s">
        <v>182</v>
      </c>
      <c r="L12" s="454">
        <f t="shared" si="4"/>
        <v>66.644862000000003</v>
      </c>
      <c r="M12" s="454">
        <f t="shared" si="0"/>
        <v>17.771963200000002</v>
      </c>
      <c r="N12" s="455">
        <f t="shared" si="1"/>
        <v>8.8859816000000009</v>
      </c>
      <c r="O12" s="455">
        <f t="shared" si="2"/>
        <v>8.8859816000000009</v>
      </c>
      <c r="P12" s="452">
        <f t="shared" si="3"/>
        <v>31.1009356</v>
      </c>
    </row>
    <row r="13" spans="1:17">
      <c r="A13" s="449">
        <v>11</v>
      </c>
      <c r="B13" s="487" t="s">
        <v>930</v>
      </c>
      <c r="C13" s="392" t="s">
        <v>931</v>
      </c>
      <c r="D13" s="488" t="s">
        <v>32</v>
      </c>
      <c r="E13" s="489">
        <v>5696613</v>
      </c>
      <c r="F13" s="490">
        <v>1044.83</v>
      </c>
      <c r="G13" s="491">
        <f t="shared" si="5"/>
        <v>77.108453999999995</v>
      </c>
      <c r="H13" s="397">
        <v>91.56</v>
      </c>
      <c r="I13" s="491">
        <f t="shared" si="6"/>
        <v>876.16154600000004</v>
      </c>
      <c r="J13" s="492" t="s">
        <v>925</v>
      </c>
      <c r="K13" s="397" t="s">
        <v>238</v>
      </c>
      <c r="L13" s="170">
        <f t="shared" si="4"/>
        <v>131.4242319</v>
      </c>
      <c r="M13" s="170">
        <f t="shared" si="0"/>
        <v>35.046461839999999</v>
      </c>
      <c r="N13" s="171">
        <f t="shared" si="1"/>
        <v>17.52323092</v>
      </c>
      <c r="O13" s="493">
        <f t="shared" si="2"/>
        <v>17.52323092</v>
      </c>
      <c r="P13" s="170">
        <f t="shared" si="3"/>
        <v>61.331308219999983</v>
      </c>
    </row>
    <row r="14" spans="1:17">
      <c r="A14" s="449">
        <v>12</v>
      </c>
      <c r="B14" s="159" t="s">
        <v>932</v>
      </c>
      <c r="C14" s="458" t="s">
        <v>300</v>
      </c>
      <c r="D14" s="264">
        <v>2662722</v>
      </c>
      <c r="E14" s="262">
        <v>5697068</v>
      </c>
      <c r="F14" s="474">
        <v>694.53</v>
      </c>
      <c r="G14" s="463">
        <f t="shared" si="5"/>
        <v>51.256314000000003</v>
      </c>
      <c r="H14" s="457">
        <v>60.93</v>
      </c>
      <c r="I14" s="463">
        <f t="shared" si="6"/>
        <v>582.34368600000005</v>
      </c>
      <c r="J14" s="468" t="s">
        <v>925</v>
      </c>
      <c r="K14" s="457" t="s">
        <v>238</v>
      </c>
      <c r="L14" s="454">
        <f t="shared" si="4"/>
        <v>87.351552900000002</v>
      </c>
      <c r="M14" s="454">
        <f t="shared" si="0"/>
        <v>23.293747440000001</v>
      </c>
      <c r="N14" s="455">
        <f t="shared" si="1"/>
        <v>11.64687372</v>
      </c>
      <c r="O14" s="455">
        <f t="shared" si="2"/>
        <v>11.64687372</v>
      </c>
      <c r="P14" s="452">
        <f t="shared" si="3"/>
        <v>40.764058019999993</v>
      </c>
    </row>
    <row r="15" spans="1:17">
      <c r="A15" s="449">
        <v>13</v>
      </c>
      <c r="B15" s="475" t="s">
        <v>933</v>
      </c>
      <c r="C15" s="449" t="s">
        <v>300</v>
      </c>
      <c r="D15" s="266">
        <v>2669638</v>
      </c>
      <c r="E15" s="262">
        <v>5696930</v>
      </c>
      <c r="F15" s="476">
        <v>436.73</v>
      </c>
      <c r="G15" s="470">
        <f t="shared" si="5"/>
        <v>32.230674</v>
      </c>
      <c r="H15" s="457">
        <v>45.97</v>
      </c>
      <c r="I15" s="470">
        <f t="shared" si="6"/>
        <v>358.52932599999997</v>
      </c>
      <c r="J15" s="471" t="s">
        <v>925</v>
      </c>
      <c r="K15" s="453" t="s">
        <v>14</v>
      </c>
      <c r="L15" s="454">
        <f t="shared" si="4"/>
        <v>53.779398899999997</v>
      </c>
      <c r="M15" s="454">
        <f t="shared" si="0"/>
        <v>14.341173039999999</v>
      </c>
      <c r="N15" s="455">
        <f t="shared" si="1"/>
        <v>7.1705865199999996</v>
      </c>
      <c r="O15" s="472">
        <f t="shared" si="2"/>
        <v>7.1705865199999996</v>
      </c>
      <c r="P15" s="454">
        <f t="shared" si="3"/>
        <v>25.097052819999995</v>
      </c>
    </row>
    <row r="16" spans="1:17">
      <c r="A16" s="449">
        <v>14</v>
      </c>
      <c r="B16" s="499" t="s">
        <v>934</v>
      </c>
      <c r="C16" s="500" t="s">
        <v>12</v>
      </c>
      <c r="D16" s="403">
        <v>1003110715745</v>
      </c>
      <c r="E16" s="495">
        <v>5691940</v>
      </c>
      <c r="F16" s="502">
        <v>702.83</v>
      </c>
      <c r="G16" s="294">
        <f t="shared" si="5"/>
        <v>51.868854000000006</v>
      </c>
      <c r="H16" s="294">
        <v>86.69</v>
      </c>
      <c r="I16" s="294">
        <f t="shared" si="6"/>
        <v>564.27114600000004</v>
      </c>
      <c r="J16" s="329" t="s">
        <v>13</v>
      </c>
      <c r="K16" s="294" t="s">
        <v>235</v>
      </c>
      <c r="L16" s="293">
        <f t="shared" si="4"/>
        <v>84.640671900000001</v>
      </c>
      <c r="M16" s="293">
        <f t="shared" si="0"/>
        <v>22.57084584</v>
      </c>
      <c r="N16" s="296">
        <f t="shared" si="1"/>
        <v>11.28542292</v>
      </c>
      <c r="O16" s="296">
        <f t="shared" si="2"/>
        <v>11.28542292</v>
      </c>
      <c r="P16" s="294">
        <f t="shared" si="3"/>
        <v>39.498980219999993</v>
      </c>
    </row>
    <row r="17" spans="1:16">
      <c r="A17" s="449">
        <v>15</v>
      </c>
      <c r="B17" s="402" t="s">
        <v>935</v>
      </c>
      <c r="C17" s="290" t="s">
        <v>234</v>
      </c>
      <c r="D17" s="506">
        <v>1003110712249</v>
      </c>
      <c r="E17" s="605">
        <v>5690610</v>
      </c>
      <c r="F17" s="293">
        <v>557.89</v>
      </c>
      <c r="G17" s="293">
        <f t="shared" si="5"/>
        <v>41.172282000000003</v>
      </c>
      <c r="H17" s="294">
        <v>59.95</v>
      </c>
      <c r="I17" s="293">
        <f t="shared" si="6"/>
        <v>456.767718</v>
      </c>
      <c r="J17" s="405" t="s">
        <v>13</v>
      </c>
      <c r="K17" s="293" t="s">
        <v>14</v>
      </c>
      <c r="L17" s="293">
        <f t="shared" si="4"/>
        <v>68.515157700000003</v>
      </c>
      <c r="M17" s="293">
        <f t="shared" si="0"/>
        <v>18.270708720000002</v>
      </c>
      <c r="N17" s="296">
        <f t="shared" si="1"/>
        <v>9.1353543600000009</v>
      </c>
      <c r="O17" s="406">
        <f t="shared" si="2"/>
        <v>9.1353543600000009</v>
      </c>
      <c r="P17" s="293">
        <f t="shared" si="3"/>
        <v>31.97374026</v>
      </c>
    </row>
    <row r="18" spans="1:16">
      <c r="A18" s="449">
        <v>16</v>
      </c>
      <c r="B18" s="499" t="s">
        <v>936</v>
      </c>
      <c r="C18" s="500" t="s">
        <v>931</v>
      </c>
      <c r="D18" s="403">
        <v>1003110712200</v>
      </c>
      <c r="E18" s="729">
        <v>5695388</v>
      </c>
      <c r="F18" s="294">
        <v>651.30999999999995</v>
      </c>
      <c r="G18" s="294">
        <f t="shared" si="5"/>
        <v>48.066677999999996</v>
      </c>
      <c r="H18" s="294">
        <v>69.989999999999995</v>
      </c>
      <c r="I18" s="294">
        <f t="shared" si="6"/>
        <v>533.25332199999991</v>
      </c>
      <c r="J18" s="329" t="s">
        <v>13</v>
      </c>
      <c r="K18" s="294" t="s">
        <v>14</v>
      </c>
      <c r="L18" s="293">
        <f t="shared" si="4"/>
        <v>79.987998299999987</v>
      </c>
      <c r="M18" s="293">
        <f t="shared" si="0"/>
        <v>21.330132879999997</v>
      </c>
      <c r="N18" s="296">
        <f t="shared" si="1"/>
        <v>10.665066439999999</v>
      </c>
      <c r="O18" s="296">
        <f t="shared" si="2"/>
        <v>10.665066439999999</v>
      </c>
      <c r="P18" s="294">
        <f t="shared" si="3"/>
        <v>37.32773254</v>
      </c>
    </row>
    <row r="19" spans="1:16">
      <c r="A19" s="449">
        <v>17</v>
      </c>
      <c r="B19" s="475" t="s">
        <v>937</v>
      </c>
      <c r="C19" s="477" t="s">
        <v>300</v>
      </c>
      <c r="D19" s="251">
        <v>2662242</v>
      </c>
      <c r="E19" s="272">
        <v>5693804</v>
      </c>
      <c r="F19" s="453">
        <v>544.03</v>
      </c>
      <c r="G19" s="470">
        <f t="shared" si="5"/>
        <v>40.149414</v>
      </c>
      <c r="H19" s="453">
        <v>70.84</v>
      </c>
      <c r="I19" s="470">
        <f t="shared" si="6"/>
        <v>433.04058599999996</v>
      </c>
      <c r="J19" s="471" t="s">
        <v>13</v>
      </c>
      <c r="K19" s="453" t="s">
        <v>14</v>
      </c>
      <c r="L19" s="454">
        <f t="shared" si="4"/>
        <v>64.956087899999986</v>
      </c>
      <c r="M19" s="454">
        <f t="shared" si="0"/>
        <v>17.32162344</v>
      </c>
      <c r="N19" s="472">
        <f t="shared" si="1"/>
        <v>8.6608117199999999</v>
      </c>
      <c r="O19" s="472">
        <f t="shared" si="2"/>
        <v>8.6608117199999999</v>
      </c>
      <c r="P19" s="454">
        <f t="shared" si="3"/>
        <v>30.312841019999993</v>
      </c>
    </row>
    <row r="20" spans="1:16">
      <c r="A20" s="449">
        <v>18</v>
      </c>
      <c r="B20" s="499" t="s">
        <v>938</v>
      </c>
      <c r="C20" s="290" t="s">
        <v>173</v>
      </c>
      <c r="D20" s="400">
        <v>1003110718800</v>
      </c>
      <c r="E20" s="495">
        <v>5698282</v>
      </c>
      <c r="F20" s="294">
        <v>560.1</v>
      </c>
      <c r="G20" s="294">
        <f t="shared" si="5"/>
        <v>41.335380000000001</v>
      </c>
      <c r="H20" s="294">
        <v>60.18</v>
      </c>
      <c r="I20" s="294">
        <f t="shared" si="6"/>
        <v>458.58462000000003</v>
      </c>
      <c r="J20" s="329" t="s">
        <v>13</v>
      </c>
      <c r="K20" s="294" t="s">
        <v>14</v>
      </c>
      <c r="L20" s="293">
        <f t="shared" si="4"/>
        <v>68.787693000000004</v>
      </c>
      <c r="M20" s="293">
        <f t="shared" si="0"/>
        <v>18.343384800000003</v>
      </c>
      <c r="N20" s="296">
        <f t="shared" si="1"/>
        <v>9.1716924000000013</v>
      </c>
      <c r="O20" s="296">
        <f t="shared" si="2"/>
        <v>9.1716924000000013</v>
      </c>
      <c r="P20" s="294">
        <f t="shared" si="3"/>
        <v>32.100923399999999</v>
      </c>
    </row>
    <row r="21" spans="1:16">
      <c r="A21" s="449">
        <v>19</v>
      </c>
      <c r="B21" s="56" t="s">
        <v>939</v>
      </c>
      <c r="C21" s="449" t="s">
        <v>173</v>
      </c>
      <c r="D21" s="251">
        <v>1003110718787</v>
      </c>
      <c r="E21" s="273">
        <v>5698356</v>
      </c>
      <c r="F21" s="453">
        <v>608.49</v>
      </c>
      <c r="G21" s="454">
        <f>F21*7.38%</f>
        <v>44.906562000000001</v>
      </c>
      <c r="H21" s="453">
        <v>65.38</v>
      </c>
      <c r="I21" s="454">
        <f t="shared" si="6"/>
        <v>498.20343800000001</v>
      </c>
      <c r="J21" s="471" t="s">
        <v>13</v>
      </c>
      <c r="K21" s="453" t="s">
        <v>14</v>
      </c>
      <c r="L21" s="454">
        <f t="shared" si="4"/>
        <v>74.730515699999998</v>
      </c>
      <c r="M21" s="454">
        <f t="shared" si="0"/>
        <v>19.92813752</v>
      </c>
      <c r="N21" s="472">
        <f t="shared" si="1"/>
        <v>9.96406876</v>
      </c>
      <c r="O21" s="472">
        <f t="shared" si="2"/>
        <v>9.96406876</v>
      </c>
      <c r="P21" s="454">
        <f t="shared" si="3"/>
        <v>34.874240659999998</v>
      </c>
    </row>
    <row r="22" spans="1:16">
      <c r="A22" s="449">
        <v>20</v>
      </c>
      <c r="B22" s="473" t="s">
        <v>940</v>
      </c>
      <c r="C22" s="458" t="s">
        <v>31</v>
      </c>
      <c r="D22" s="254">
        <v>13329133</v>
      </c>
      <c r="E22" s="268" t="s">
        <v>941</v>
      </c>
      <c r="F22" s="457">
        <v>979.01</v>
      </c>
      <c r="G22" s="452">
        <f t="shared" si="5"/>
        <v>72.250938000000005</v>
      </c>
      <c r="H22" s="457">
        <v>96.9</v>
      </c>
      <c r="I22" s="452">
        <f t="shared" si="6"/>
        <v>809.85906199999999</v>
      </c>
      <c r="J22" s="468" t="s">
        <v>925</v>
      </c>
      <c r="K22" s="457" t="s">
        <v>17</v>
      </c>
      <c r="L22" s="454">
        <f t="shared" si="4"/>
        <v>121.4788593</v>
      </c>
      <c r="M22" s="454">
        <f t="shared" si="0"/>
        <v>32.394362479999998</v>
      </c>
      <c r="N22" s="455">
        <f t="shared" si="1"/>
        <v>16.197181239999999</v>
      </c>
      <c r="O22" s="455">
        <f t="shared" si="2"/>
        <v>16.197181239999999</v>
      </c>
      <c r="P22" s="452">
        <f t="shared" si="3"/>
        <v>56.690134340000007</v>
      </c>
    </row>
    <row r="23" spans="1:16">
      <c r="A23" s="449">
        <v>21</v>
      </c>
      <c r="B23" s="402" t="s">
        <v>942</v>
      </c>
      <c r="C23" s="295" t="s">
        <v>699</v>
      </c>
      <c r="D23" s="403">
        <v>1003110720702</v>
      </c>
      <c r="E23" s="603">
        <v>5664716</v>
      </c>
      <c r="F23" s="293">
        <v>589.11</v>
      </c>
      <c r="G23" s="293">
        <f t="shared" si="5"/>
        <v>43.476318000000006</v>
      </c>
      <c r="H23" s="293">
        <v>63.3</v>
      </c>
      <c r="I23" s="293">
        <f t="shared" si="6"/>
        <v>482.33368200000001</v>
      </c>
      <c r="J23" s="405" t="s">
        <v>13</v>
      </c>
      <c r="K23" s="293" t="s">
        <v>17</v>
      </c>
      <c r="L23" s="293">
        <f t="shared" si="4"/>
        <v>72.350052300000002</v>
      </c>
      <c r="M23" s="293">
        <f t="shared" si="0"/>
        <v>19.293347280000003</v>
      </c>
      <c r="N23" s="406">
        <f t="shared" si="1"/>
        <v>9.6466736400000013</v>
      </c>
      <c r="O23" s="406">
        <f t="shared" si="2"/>
        <v>9.6466736400000013</v>
      </c>
      <c r="P23" s="293">
        <f t="shared" si="3"/>
        <v>33.763357739999989</v>
      </c>
    </row>
    <row r="24" spans="1:16">
      <c r="A24" s="449">
        <v>22</v>
      </c>
      <c r="B24" s="402" t="s">
        <v>943</v>
      </c>
      <c r="C24" s="295" t="s">
        <v>300</v>
      </c>
      <c r="D24" s="403">
        <v>2664830</v>
      </c>
      <c r="E24" s="603">
        <v>5701449</v>
      </c>
      <c r="F24" s="293">
        <v>544.29</v>
      </c>
      <c r="G24" s="293">
        <f t="shared" si="5"/>
        <v>40.168602</v>
      </c>
      <c r="H24" s="293">
        <v>0</v>
      </c>
      <c r="I24" s="293">
        <f t="shared" si="6"/>
        <v>504.12139799999994</v>
      </c>
      <c r="J24" s="405" t="s">
        <v>13</v>
      </c>
      <c r="K24" s="293" t="s">
        <v>266</v>
      </c>
      <c r="L24" s="293">
        <f t="shared" si="4"/>
        <v>75.618209699999994</v>
      </c>
      <c r="M24" s="293">
        <f t="shared" si="0"/>
        <v>20.164855919999997</v>
      </c>
      <c r="N24" s="406">
        <f t="shared" si="1"/>
        <v>10.082427959999999</v>
      </c>
      <c r="O24" s="406">
        <f t="shared" si="2"/>
        <v>10.082427959999999</v>
      </c>
      <c r="P24" s="293">
        <f t="shared" si="3"/>
        <v>35.288497860000007</v>
      </c>
    </row>
    <row r="25" spans="1:16">
      <c r="A25" s="449">
        <v>23</v>
      </c>
      <c r="B25" s="473" t="s">
        <v>944</v>
      </c>
      <c r="C25" s="458" t="s">
        <v>300</v>
      </c>
      <c r="D25" s="254">
        <v>2667368</v>
      </c>
      <c r="E25" s="268">
        <v>5703216</v>
      </c>
      <c r="F25" s="457">
        <v>544.04</v>
      </c>
      <c r="G25" s="452">
        <f t="shared" si="5"/>
        <v>40.150151999999999</v>
      </c>
      <c r="H25" s="457">
        <v>57.27</v>
      </c>
      <c r="I25" s="454">
        <f t="shared" si="6"/>
        <v>446.61984799999999</v>
      </c>
      <c r="J25" s="468" t="s">
        <v>925</v>
      </c>
      <c r="K25" s="457" t="s">
        <v>36</v>
      </c>
      <c r="L25" s="454">
        <f t="shared" si="4"/>
        <v>66.992977199999999</v>
      </c>
      <c r="M25" s="454">
        <f t="shared" si="0"/>
        <v>17.86479392</v>
      </c>
      <c r="N25" s="455">
        <f t="shared" si="1"/>
        <v>8.9323969600000002</v>
      </c>
      <c r="O25" s="455">
        <f t="shared" si="2"/>
        <v>8.9323969600000002</v>
      </c>
      <c r="P25" s="452">
        <f t="shared" si="3"/>
        <v>31.263389360000005</v>
      </c>
    </row>
    <row r="26" spans="1:16">
      <c r="A26" s="449">
        <v>24</v>
      </c>
      <c r="B26" s="503" t="s">
        <v>945</v>
      </c>
      <c r="C26" s="498" t="s">
        <v>12</v>
      </c>
      <c r="D26" s="506">
        <v>1003110729468</v>
      </c>
      <c r="E26" s="648">
        <v>5706162</v>
      </c>
      <c r="F26" s="294">
        <v>514</v>
      </c>
      <c r="G26" s="294">
        <f t="shared" si="5"/>
        <v>37.933199999999999</v>
      </c>
      <c r="H26" s="294">
        <v>65.98</v>
      </c>
      <c r="I26" s="293">
        <f t="shared" si="6"/>
        <v>410.08679999999998</v>
      </c>
      <c r="J26" s="498" t="s">
        <v>13</v>
      </c>
      <c r="K26" s="498" t="s">
        <v>164</v>
      </c>
      <c r="L26" s="293">
        <f t="shared" si="4"/>
        <v>61.513019999999997</v>
      </c>
      <c r="M26" s="293">
        <f t="shared" si="0"/>
        <v>16.403472000000001</v>
      </c>
      <c r="N26" s="296">
        <f t="shared" si="1"/>
        <v>8.2017360000000004</v>
      </c>
      <c r="O26" s="296">
        <f t="shared" si="2"/>
        <v>8.2017360000000004</v>
      </c>
      <c r="P26" s="294">
        <f t="shared" si="3"/>
        <v>28.706075999999992</v>
      </c>
    </row>
    <row r="27" spans="1:16">
      <c r="A27" s="449">
        <v>25</v>
      </c>
      <c r="B27" s="450" t="s">
        <v>946</v>
      </c>
      <c r="C27" s="458" t="s">
        <v>931</v>
      </c>
      <c r="D27" s="369">
        <v>2667406</v>
      </c>
      <c r="E27" s="268">
        <v>5703184</v>
      </c>
      <c r="F27" s="457">
        <v>795.78</v>
      </c>
      <c r="G27" s="452">
        <f t="shared" si="5"/>
        <v>58.728563999999999</v>
      </c>
      <c r="H27" s="457">
        <v>69.81</v>
      </c>
      <c r="I27" s="454">
        <f t="shared" si="6"/>
        <v>667.24143600000002</v>
      </c>
      <c r="J27" s="468" t="s">
        <v>925</v>
      </c>
      <c r="K27" s="457" t="s">
        <v>258</v>
      </c>
      <c r="L27" s="454">
        <f t="shared" si="4"/>
        <v>100.0862154</v>
      </c>
      <c r="M27" s="454">
        <f t="shared" si="0"/>
        <v>26.689657440000001</v>
      </c>
      <c r="N27" s="455">
        <f t="shared" si="1"/>
        <v>13.344828720000001</v>
      </c>
      <c r="O27" s="455">
        <f t="shared" si="2"/>
        <v>13.344828720000001</v>
      </c>
      <c r="P27" s="452">
        <f t="shared" si="3"/>
        <v>46.706900519999991</v>
      </c>
    </row>
    <row r="28" spans="1:16">
      <c r="A28" s="449">
        <v>26</v>
      </c>
      <c r="B28" s="450" t="s">
        <v>947</v>
      </c>
      <c r="C28" s="458" t="s">
        <v>173</v>
      </c>
      <c r="D28" s="254">
        <v>1003110728800</v>
      </c>
      <c r="E28" s="268" t="s">
        <v>948</v>
      </c>
      <c r="F28" s="457">
        <v>520.91999999999996</v>
      </c>
      <c r="G28" s="452">
        <f t="shared" si="5"/>
        <v>38.443896000000002</v>
      </c>
      <c r="H28" s="457">
        <v>173.64</v>
      </c>
      <c r="I28" s="454">
        <f t="shared" si="6"/>
        <v>308.83610399999998</v>
      </c>
      <c r="J28" s="468" t="s">
        <v>13</v>
      </c>
      <c r="K28" s="457" t="s">
        <v>17</v>
      </c>
      <c r="L28" s="454">
        <f t="shared" si="4"/>
        <v>46.325415599999992</v>
      </c>
      <c r="M28" s="454">
        <f t="shared" si="0"/>
        <v>12.353444159999999</v>
      </c>
      <c r="N28" s="455">
        <f t="shared" si="1"/>
        <v>6.1767220799999993</v>
      </c>
      <c r="O28" s="455">
        <f t="shared" si="2"/>
        <v>6.1767220799999993</v>
      </c>
      <c r="P28" s="452">
        <f t="shared" si="3"/>
        <v>21.618527279999995</v>
      </c>
    </row>
    <row r="29" spans="1:16">
      <c r="A29" s="449">
        <v>27</v>
      </c>
      <c r="B29" s="450" t="s">
        <v>949</v>
      </c>
      <c r="C29" s="458" t="s">
        <v>931</v>
      </c>
      <c r="D29" s="254">
        <v>2666817</v>
      </c>
      <c r="E29" s="268">
        <v>5702560</v>
      </c>
      <c r="F29" s="457">
        <v>611.51</v>
      </c>
      <c r="G29" s="452">
        <f t="shared" si="5"/>
        <v>45.129438</v>
      </c>
      <c r="H29" s="457">
        <v>53.64</v>
      </c>
      <c r="I29" s="454">
        <f t="shared" si="6"/>
        <v>512.74056199999995</v>
      </c>
      <c r="J29" s="468" t="s">
        <v>925</v>
      </c>
      <c r="K29" s="457" t="s">
        <v>266</v>
      </c>
      <c r="L29" s="454">
        <f t="shared" si="4"/>
        <v>76.911084299999985</v>
      </c>
      <c r="M29" s="454">
        <f t="shared" si="0"/>
        <v>20.509622479999997</v>
      </c>
      <c r="N29" s="455">
        <f t="shared" si="1"/>
        <v>10.254811239999999</v>
      </c>
      <c r="O29" s="455">
        <f t="shared" si="2"/>
        <v>10.254811239999999</v>
      </c>
      <c r="P29" s="452">
        <f t="shared" si="3"/>
        <v>35.89183933999999</v>
      </c>
    </row>
    <row r="30" spans="1:16">
      <c r="A30" s="449">
        <v>28</v>
      </c>
      <c r="B30" s="450" t="s">
        <v>950</v>
      </c>
      <c r="C30" s="458" t="s">
        <v>931</v>
      </c>
      <c r="D30" s="254">
        <v>2666442</v>
      </c>
      <c r="E30" s="268">
        <v>5705028</v>
      </c>
      <c r="F30" s="457">
        <v>969.68</v>
      </c>
      <c r="G30" s="452">
        <f t="shared" si="5"/>
        <v>71.562383999999994</v>
      </c>
      <c r="H30" s="457">
        <v>126.26</v>
      </c>
      <c r="I30" s="454">
        <f t="shared" si="6"/>
        <v>771.85761600000001</v>
      </c>
      <c r="J30" s="468" t="s">
        <v>13</v>
      </c>
      <c r="K30" s="457" t="s">
        <v>17</v>
      </c>
      <c r="L30" s="454">
        <f t="shared" si="4"/>
        <v>115.7786424</v>
      </c>
      <c r="M30" s="454">
        <f t="shared" si="0"/>
        <v>30.874304640000002</v>
      </c>
      <c r="N30" s="455">
        <f t="shared" si="1"/>
        <v>15.437152320000001</v>
      </c>
      <c r="O30" s="455">
        <f t="shared" si="2"/>
        <v>15.437152320000001</v>
      </c>
      <c r="P30" s="452">
        <f t="shared" si="3"/>
        <v>54.030033119999992</v>
      </c>
    </row>
    <row r="31" spans="1:16">
      <c r="A31" s="449">
        <v>29</v>
      </c>
      <c r="B31" s="450" t="s">
        <v>951</v>
      </c>
      <c r="C31" s="458" t="s">
        <v>931</v>
      </c>
      <c r="D31" s="254">
        <v>26666515</v>
      </c>
      <c r="E31" s="268">
        <v>5704265</v>
      </c>
      <c r="F31" s="457">
        <v>1299.47</v>
      </c>
      <c r="G31" s="452">
        <f t="shared" si="5"/>
        <v>95.900886000000014</v>
      </c>
      <c r="H31" s="457">
        <v>113.99</v>
      </c>
      <c r="I31" s="454">
        <f t="shared" si="6"/>
        <v>1089.5791139999999</v>
      </c>
      <c r="J31" s="468" t="s">
        <v>925</v>
      </c>
      <c r="K31" s="457" t="s">
        <v>17</v>
      </c>
      <c r="L31" s="454">
        <f t="shared" si="4"/>
        <v>163.43686709999997</v>
      </c>
      <c r="M31" s="454">
        <f t="shared" si="0"/>
        <v>43.583164559999993</v>
      </c>
      <c r="N31" s="455">
        <f t="shared" si="1"/>
        <v>21.791582279999997</v>
      </c>
      <c r="O31" s="455">
        <f t="shared" si="2"/>
        <v>21.791582279999997</v>
      </c>
      <c r="P31" s="452">
        <f t="shared" si="3"/>
        <v>76.270537979999972</v>
      </c>
    </row>
    <row r="32" spans="1:16">
      <c r="A32" s="449">
        <v>30</v>
      </c>
      <c r="B32" s="450" t="s">
        <v>952</v>
      </c>
      <c r="C32" s="458" t="s">
        <v>559</v>
      </c>
      <c r="D32" s="254">
        <v>1003110732844</v>
      </c>
      <c r="E32" s="280">
        <v>5706455</v>
      </c>
      <c r="F32" s="457">
        <v>520.48</v>
      </c>
      <c r="G32" s="452">
        <f t="shared" si="5"/>
        <v>38.411424000000004</v>
      </c>
      <c r="H32" s="457">
        <v>137.49</v>
      </c>
      <c r="I32" s="454">
        <f t="shared" si="6"/>
        <v>344.578576</v>
      </c>
      <c r="J32" s="468" t="s">
        <v>13</v>
      </c>
      <c r="K32" s="457" t="s">
        <v>26</v>
      </c>
      <c r="L32" s="454">
        <f t="shared" si="4"/>
        <v>51.686786399999995</v>
      </c>
      <c r="M32" s="454">
        <f t="shared" si="0"/>
        <v>13.783143040000001</v>
      </c>
      <c r="N32" s="455">
        <f t="shared" si="1"/>
        <v>6.8915715200000003</v>
      </c>
      <c r="O32" s="455">
        <f t="shared" si="2"/>
        <v>6.8915715200000003</v>
      </c>
      <c r="P32" s="452">
        <f t="shared" si="3"/>
        <v>24.120500319999998</v>
      </c>
    </row>
    <row r="33" spans="1:16">
      <c r="A33" s="449">
        <v>31</v>
      </c>
      <c r="B33" s="450" t="s">
        <v>953</v>
      </c>
      <c r="C33" s="458" t="s">
        <v>300</v>
      </c>
      <c r="D33" s="254">
        <v>35884605</v>
      </c>
      <c r="E33" s="280">
        <v>5682746</v>
      </c>
      <c r="F33" s="457">
        <v>577.78</v>
      </c>
      <c r="G33" s="452">
        <f t="shared" si="5"/>
        <v>42.640163999999999</v>
      </c>
      <c r="H33" s="457">
        <v>73.55</v>
      </c>
      <c r="I33" s="454">
        <f t="shared" si="6"/>
        <v>461.58983599999993</v>
      </c>
      <c r="J33" s="468" t="s">
        <v>13</v>
      </c>
      <c r="K33" s="457" t="s">
        <v>14</v>
      </c>
      <c r="L33" s="454">
        <f t="shared" si="4"/>
        <v>69.238475399999984</v>
      </c>
      <c r="M33" s="454">
        <f t="shared" si="0"/>
        <v>18.463593439999997</v>
      </c>
      <c r="N33" s="455">
        <f t="shared" si="1"/>
        <v>9.2317967199999984</v>
      </c>
      <c r="O33" s="455">
        <f t="shared" si="2"/>
        <v>9.2317967199999984</v>
      </c>
      <c r="P33" s="452">
        <f t="shared" si="3"/>
        <v>32.311288519999991</v>
      </c>
    </row>
    <row r="34" spans="1:16">
      <c r="A34" s="449">
        <v>32</v>
      </c>
      <c r="B34" s="450" t="s">
        <v>954</v>
      </c>
      <c r="C34" s="458" t="s">
        <v>300</v>
      </c>
      <c r="D34" s="254">
        <v>10031107322885</v>
      </c>
      <c r="E34" s="280">
        <v>5695526</v>
      </c>
      <c r="F34" s="457">
        <v>537.46</v>
      </c>
      <c r="G34" s="452">
        <f t="shared" si="5"/>
        <v>39.664548000000003</v>
      </c>
      <c r="H34" s="457">
        <v>57.75</v>
      </c>
      <c r="I34" s="454">
        <f t="shared" si="6"/>
        <v>440.04545200000001</v>
      </c>
      <c r="J34" s="468" t="s">
        <v>13</v>
      </c>
      <c r="K34" s="457" t="s">
        <v>14</v>
      </c>
      <c r="L34" s="454">
        <f t="shared" si="4"/>
        <v>66.006817799999993</v>
      </c>
      <c r="M34" s="454">
        <f t="shared" si="0"/>
        <v>17.601818080000001</v>
      </c>
      <c r="N34" s="455">
        <f t="shared" si="1"/>
        <v>8.8009090400000005</v>
      </c>
      <c r="O34" s="455">
        <f t="shared" si="2"/>
        <v>8.8009090400000005</v>
      </c>
      <c r="P34" s="452">
        <f t="shared" si="3"/>
        <v>30.803181639999991</v>
      </c>
    </row>
    <row r="35" spans="1:16">
      <c r="A35" s="449">
        <v>33</v>
      </c>
      <c r="B35" s="450" t="s">
        <v>955</v>
      </c>
      <c r="C35" s="458" t="s">
        <v>173</v>
      </c>
      <c r="D35" s="437">
        <v>1003110732767</v>
      </c>
      <c r="E35" s="280">
        <v>5706922</v>
      </c>
      <c r="F35" s="457">
        <v>578.53</v>
      </c>
      <c r="G35" s="452">
        <f t="shared" si="5"/>
        <v>42.695514000000003</v>
      </c>
      <c r="H35" s="457">
        <v>71.349999999999994</v>
      </c>
      <c r="I35" s="454">
        <f t="shared" si="6"/>
        <v>464.48448599999995</v>
      </c>
      <c r="J35" s="468" t="s">
        <v>13</v>
      </c>
      <c r="K35" s="457" t="s">
        <v>235</v>
      </c>
      <c r="L35" s="454">
        <f t="shared" si="4"/>
        <v>69.672672899999995</v>
      </c>
      <c r="M35" s="454">
        <f t="shared" si="0"/>
        <v>18.579379439999997</v>
      </c>
      <c r="N35" s="455">
        <f t="shared" si="1"/>
        <v>9.2896897199999984</v>
      </c>
      <c r="O35" s="455">
        <f t="shared" si="2"/>
        <v>9.2896897199999984</v>
      </c>
      <c r="P35" s="452">
        <f t="shared" si="3"/>
        <v>32.513914020000001</v>
      </c>
    </row>
    <row r="36" spans="1:16">
      <c r="A36" s="449">
        <v>34</v>
      </c>
      <c r="B36" s="450" t="s">
        <v>956</v>
      </c>
      <c r="C36" s="458" t="s">
        <v>12</v>
      </c>
      <c r="D36" s="254">
        <v>35900743</v>
      </c>
      <c r="E36" s="280">
        <v>5708899</v>
      </c>
      <c r="F36" s="457">
        <v>1531.36</v>
      </c>
      <c r="G36" s="452">
        <f t="shared" si="5"/>
        <v>113.014368</v>
      </c>
      <c r="H36" s="457">
        <v>127.58</v>
      </c>
      <c r="I36" s="454">
        <f t="shared" si="6"/>
        <v>1290.7656319999999</v>
      </c>
      <c r="J36" s="468" t="s">
        <v>925</v>
      </c>
      <c r="K36" s="457" t="s">
        <v>26</v>
      </c>
      <c r="L36" s="454">
        <f t="shared" si="4"/>
        <v>193.61484479999999</v>
      </c>
      <c r="M36" s="454">
        <f t="shared" si="0"/>
        <v>51.630625279999997</v>
      </c>
      <c r="N36" s="455">
        <f t="shared" si="1"/>
        <v>25.815312639999998</v>
      </c>
      <c r="O36" s="455">
        <f t="shared" si="2"/>
        <v>25.815312639999998</v>
      </c>
      <c r="P36" s="452">
        <f t="shared" si="3"/>
        <v>90.353594239999978</v>
      </c>
    </row>
    <row r="37" spans="1:16">
      <c r="A37" s="449">
        <v>35</v>
      </c>
      <c r="B37" s="450" t="s">
        <v>957</v>
      </c>
      <c r="C37" s="458" t="s">
        <v>931</v>
      </c>
      <c r="D37" s="254">
        <v>1003110740515</v>
      </c>
      <c r="E37" s="280">
        <v>5712930</v>
      </c>
      <c r="F37" s="457">
        <v>742.37</v>
      </c>
      <c r="G37" s="452">
        <f t="shared" si="5"/>
        <v>54.786906000000002</v>
      </c>
      <c r="H37" s="457">
        <v>79.77</v>
      </c>
      <c r="I37" s="454">
        <f t="shared" si="6"/>
        <v>607.81309399999998</v>
      </c>
      <c r="J37" s="468" t="s">
        <v>13</v>
      </c>
      <c r="K37" s="457" t="s">
        <v>49</v>
      </c>
      <c r="L37" s="454">
        <f t="shared" si="4"/>
        <v>91.171964099999997</v>
      </c>
      <c r="M37" s="454">
        <f t="shared" si="0"/>
        <v>24.312523760000001</v>
      </c>
      <c r="N37" s="455">
        <f t="shared" si="1"/>
        <v>12.156261880000001</v>
      </c>
      <c r="O37" s="455">
        <f t="shared" si="2"/>
        <v>12.156261880000001</v>
      </c>
      <c r="P37" s="452">
        <f t="shared" si="3"/>
        <v>42.546916579999987</v>
      </c>
    </row>
    <row r="38" spans="1:16">
      <c r="A38" s="449">
        <v>36</v>
      </c>
      <c r="B38" s="450" t="s">
        <v>958</v>
      </c>
      <c r="C38" s="458" t="s">
        <v>300</v>
      </c>
      <c r="D38" s="254">
        <v>1003110742955</v>
      </c>
      <c r="E38" s="280">
        <v>5708983</v>
      </c>
      <c r="F38" s="457">
        <v>551.1</v>
      </c>
      <c r="G38" s="452">
        <f t="shared" si="5"/>
        <v>40.671180000000007</v>
      </c>
      <c r="H38" s="457">
        <v>59.22</v>
      </c>
      <c r="I38" s="454">
        <f t="shared" si="6"/>
        <v>451.20882000000006</v>
      </c>
      <c r="J38" s="468" t="s">
        <v>13</v>
      </c>
      <c r="K38" s="457" t="s">
        <v>26</v>
      </c>
      <c r="L38" s="454">
        <f t="shared" si="4"/>
        <v>67.681323000000006</v>
      </c>
      <c r="M38" s="454">
        <f t="shared" si="0"/>
        <v>18.048352800000004</v>
      </c>
      <c r="N38" s="455">
        <f t="shared" si="1"/>
        <v>9.0241764000000018</v>
      </c>
      <c r="O38" s="455">
        <f t="shared" si="2"/>
        <v>9.0241764000000018</v>
      </c>
      <c r="P38" s="452">
        <f t="shared" si="3"/>
        <v>31.584617399999999</v>
      </c>
    </row>
    <row r="39" spans="1:16">
      <c r="A39" s="449">
        <v>37</v>
      </c>
      <c r="B39" s="450" t="s">
        <v>474</v>
      </c>
      <c r="C39" s="458" t="s">
        <v>276</v>
      </c>
      <c r="D39" s="254">
        <v>1003110740712</v>
      </c>
      <c r="E39" s="280">
        <v>5712536</v>
      </c>
      <c r="F39" s="457">
        <v>2168.7600000000002</v>
      </c>
      <c r="G39" s="452">
        <f t="shared" si="5"/>
        <v>160.05448800000002</v>
      </c>
      <c r="H39" s="457">
        <v>572.89</v>
      </c>
      <c r="I39" s="454">
        <f t="shared" si="6"/>
        <v>1435.8155120000001</v>
      </c>
      <c r="J39" s="468" t="s">
        <v>13</v>
      </c>
      <c r="K39" s="457" t="s">
        <v>258</v>
      </c>
      <c r="L39" s="454">
        <f t="shared" si="4"/>
        <v>215.37232680000002</v>
      </c>
      <c r="M39" s="454">
        <f t="shared" si="0"/>
        <v>57.432620480000004</v>
      </c>
      <c r="N39" s="455">
        <f t="shared" si="1"/>
        <v>28.716310240000002</v>
      </c>
      <c r="O39" s="455">
        <f t="shared" si="2"/>
        <v>28.716310240000002</v>
      </c>
      <c r="P39" s="452">
        <f t="shared" si="3"/>
        <v>100.50708584000002</v>
      </c>
    </row>
    <row r="40" spans="1:16">
      <c r="A40" s="449">
        <v>38</v>
      </c>
      <c r="B40" s="450" t="s">
        <v>959</v>
      </c>
      <c r="C40" s="458" t="s">
        <v>931</v>
      </c>
      <c r="D40" s="254">
        <v>10031107428028</v>
      </c>
      <c r="E40" s="280">
        <v>5713347</v>
      </c>
      <c r="F40" s="457">
        <v>607.88</v>
      </c>
      <c r="G40" s="452">
        <f t="shared" si="5"/>
        <v>44.861544000000002</v>
      </c>
      <c r="H40" s="457">
        <v>74.97</v>
      </c>
      <c r="I40" s="454">
        <f t="shared" si="6"/>
        <v>488.04845599999999</v>
      </c>
      <c r="J40" s="468" t="s">
        <v>13</v>
      </c>
      <c r="K40" s="457" t="s">
        <v>216</v>
      </c>
      <c r="L40" s="454">
        <f t="shared" si="4"/>
        <v>73.20726839999999</v>
      </c>
      <c r="M40" s="454">
        <f t="shared" si="0"/>
        <v>19.521938240000001</v>
      </c>
      <c r="N40" s="455">
        <f t="shared" si="1"/>
        <v>9.7609691200000004</v>
      </c>
      <c r="O40" s="455">
        <f t="shared" si="2"/>
        <v>9.7609691200000004</v>
      </c>
      <c r="P40" s="452">
        <f t="shared" si="3"/>
        <v>34.163391919999995</v>
      </c>
    </row>
    <row r="41" spans="1:16">
      <c r="A41" s="449">
        <v>39</v>
      </c>
      <c r="B41" s="339" t="s">
        <v>960</v>
      </c>
      <c r="C41" s="327" t="s">
        <v>931</v>
      </c>
      <c r="D41" s="400">
        <v>1003110742159</v>
      </c>
      <c r="E41" s="401">
        <v>5709829</v>
      </c>
      <c r="F41" s="294">
        <v>671.83</v>
      </c>
      <c r="G41" s="294">
        <f t="shared" si="5"/>
        <v>49.581054000000009</v>
      </c>
      <c r="H41" s="294">
        <v>72.19</v>
      </c>
      <c r="I41" s="293">
        <f t="shared" si="6"/>
        <v>550.05894600000011</v>
      </c>
      <c r="J41" s="329" t="s">
        <v>13</v>
      </c>
      <c r="K41" s="294" t="s">
        <v>14</v>
      </c>
      <c r="L41" s="293">
        <f t="shared" si="4"/>
        <v>82.508841900000007</v>
      </c>
      <c r="M41" s="293">
        <f t="shared" si="0"/>
        <v>22.002357840000005</v>
      </c>
      <c r="N41" s="296">
        <f t="shared" si="1"/>
        <v>11.001178920000003</v>
      </c>
      <c r="O41" s="296">
        <f t="shared" si="2"/>
        <v>11.001178920000003</v>
      </c>
      <c r="P41" s="294">
        <f t="shared" si="3"/>
        <v>38.504126220000003</v>
      </c>
    </row>
    <row r="42" spans="1:16">
      <c r="A42" s="449">
        <v>40</v>
      </c>
      <c r="B42" s="339" t="s">
        <v>961</v>
      </c>
      <c r="C42" s="327" t="s">
        <v>931</v>
      </c>
      <c r="D42" s="400">
        <v>1003110740154</v>
      </c>
      <c r="E42" s="401">
        <v>57114779</v>
      </c>
      <c r="F42" s="294">
        <v>764.11</v>
      </c>
      <c r="G42" s="294">
        <f t="shared" si="5"/>
        <v>56.391318000000005</v>
      </c>
      <c r="H42" s="294">
        <v>82.11</v>
      </c>
      <c r="I42" s="293">
        <f t="shared" si="6"/>
        <v>625.60868200000004</v>
      </c>
      <c r="J42" s="329" t="s">
        <v>13</v>
      </c>
      <c r="K42" s="294" t="s">
        <v>111</v>
      </c>
      <c r="L42" s="293">
        <f t="shared" si="4"/>
        <v>93.841302300000009</v>
      </c>
      <c r="M42" s="293">
        <f t="shared" si="0"/>
        <v>25.024347280000001</v>
      </c>
      <c r="N42" s="296">
        <f t="shared" si="1"/>
        <v>12.51217364</v>
      </c>
      <c r="O42" s="296">
        <f t="shared" si="2"/>
        <v>12.51217364</v>
      </c>
      <c r="P42" s="294">
        <f t="shared" si="3"/>
        <v>43.792607740000008</v>
      </c>
    </row>
    <row r="43" spans="1:16">
      <c r="A43" s="449">
        <v>41</v>
      </c>
      <c r="B43" s="226" t="s">
        <v>962</v>
      </c>
      <c r="C43" s="165" t="s">
        <v>234</v>
      </c>
      <c r="D43" s="382" t="s">
        <v>32</v>
      </c>
      <c r="E43" s="383">
        <v>5722728</v>
      </c>
      <c r="F43" s="168">
        <v>619.05999999999995</v>
      </c>
      <c r="G43" s="169">
        <f t="shared" si="5"/>
        <v>45.686627999999999</v>
      </c>
      <c r="H43" s="168">
        <v>66.52</v>
      </c>
      <c r="I43" s="170">
        <f t="shared" si="6"/>
        <v>506.85337199999992</v>
      </c>
      <c r="J43" s="167" t="s">
        <v>13</v>
      </c>
      <c r="K43" s="168" t="s">
        <v>491</v>
      </c>
      <c r="L43" s="170">
        <f t="shared" si="4"/>
        <v>76.028005799999988</v>
      </c>
      <c r="M43" s="170">
        <f t="shared" si="0"/>
        <v>20.274134879999998</v>
      </c>
      <c r="N43" s="171">
        <f t="shared" si="1"/>
        <v>10.137067439999999</v>
      </c>
      <c r="O43" s="171">
        <f t="shared" si="2"/>
        <v>10.137067439999999</v>
      </c>
      <c r="P43" s="169">
        <f t="shared" si="3"/>
        <v>35.479736039999992</v>
      </c>
    </row>
    <row r="44" spans="1:16">
      <c r="A44" s="449">
        <v>42</v>
      </c>
      <c r="B44" s="450" t="s">
        <v>963</v>
      </c>
      <c r="C44" s="458" t="s">
        <v>931</v>
      </c>
      <c r="D44" s="254">
        <v>2685242</v>
      </c>
      <c r="E44" s="280">
        <v>5722986</v>
      </c>
      <c r="F44" s="457">
        <v>763.96</v>
      </c>
      <c r="G44" s="452">
        <f t="shared" si="5"/>
        <v>56.380248000000009</v>
      </c>
      <c r="H44" s="457">
        <v>99.48</v>
      </c>
      <c r="I44" s="454">
        <f t="shared" si="6"/>
        <v>608.09975199999997</v>
      </c>
      <c r="J44" s="468" t="s">
        <v>13</v>
      </c>
      <c r="K44" s="457" t="s">
        <v>258</v>
      </c>
      <c r="L44" s="454">
        <f t="shared" si="4"/>
        <v>91.214962799999995</v>
      </c>
      <c r="M44" s="454">
        <f t="shared" si="0"/>
        <v>24.323990079999998</v>
      </c>
      <c r="N44" s="455">
        <f t="shared" si="1"/>
        <v>12.161995039999999</v>
      </c>
      <c r="O44" s="455">
        <f t="shared" si="2"/>
        <v>12.161995039999999</v>
      </c>
      <c r="P44" s="452">
        <f t="shared" si="3"/>
        <v>42.566982639999992</v>
      </c>
    </row>
    <row r="45" spans="1:16">
      <c r="A45" s="449">
        <v>43</v>
      </c>
      <c r="B45" s="450" t="s">
        <v>964</v>
      </c>
      <c r="C45" s="458" t="s">
        <v>300</v>
      </c>
      <c r="D45" s="254">
        <v>267423</v>
      </c>
      <c r="E45" s="280" t="s">
        <v>965</v>
      </c>
      <c r="F45" s="457">
        <v>436.71</v>
      </c>
      <c r="G45" s="452">
        <f t="shared" si="5"/>
        <v>32.229198000000004</v>
      </c>
      <c r="H45" s="457">
        <v>45.97</v>
      </c>
      <c r="I45" s="454">
        <f t="shared" si="6"/>
        <v>358.51080200000001</v>
      </c>
      <c r="J45" s="468" t="s">
        <v>925</v>
      </c>
      <c r="K45" s="457" t="s">
        <v>17</v>
      </c>
      <c r="L45" s="454">
        <f t="shared" si="4"/>
        <v>53.776620299999998</v>
      </c>
      <c r="M45" s="454">
        <f t="shared" si="0"/>
        <v>14.340432080000001</v>
      </c>
      <c r="N45" s="455">
        <f t="shared" si="1"/>
        <v>7.1702160400000006</v>
      </c>
      <c r="O45" s="455">
        <f t="shared" si="2"/>
        <v>7.1702160400000006</v>
      </c>
      <c r="P45" s="452">
        <f t="shared" si="3"/>
        <v>25.095756139999999</v>
      </c>
    </row>
    <row r="46" spans="1:16">
      <c r="A46" s="449">
        <v>44</v>
      </c>
      <c r="B46" s="450" t="s">
        <v>966</v>
      </c>
      <c r="C46" s="458" t="s">
        <v>173</v>
      </c>
      <c r="D46" s="281">
        <v>2680305</v>
      </c>
      <c r="E46" s="280">
        <v>5696207</v>
      </c>
      <c r="F46" s="457">
        <v>953.15</v>
      </c>
      <c r="G46" s="452">
        <f t="shared" si="5"/>
        <v>70.342470000000006</v>
      </c>
      <c r="H46" s="457">
        <v>124.11</v>
      </c>
      <c r="I46" s="454">
        <f t="shared" si="6"/>
        <v>758.69752999999992</v>
      </c>
      <c r="J46" s="468" t="s">
        <v>13</v>
      </c>
      <c r="K46" s="457" t="s">
        <v>14</v>
      </c>
      <c r="L46" s="454">
        <f t="shared" si="4"/>
        <v>113.80462949999999</v>
      </c>
      <c r="M46" s="454">
        <f t="shared" si="0"/>
        <v>30.347901199999995</v>
      </c>
      <c r="N46" s="455">
        <f t="shared" si="1"/>
        <v>15.173950599999998</v>
      </c>
      <c r="O46" s="455">
        <f t="shared" si="2"/>
        <v>15.173950599999998</v>
      </c>
      <c r="P46" s="452">
        <f t="shared" si="3"/>
        <v>53.108827099999999</v>
      </c>
    </row>
    <row r="47" spans="1:16">
      <c r="A47" s="449">
        <v>45</v>
      </c>
      <c r="B47" s="450" t="s">
        <v>967</v>
      </c>
      <c r="C47" s="458" t="s">
        <v>931</v>
      </c>
      <c r="D47" s="254">
        <v>1003110753586</v>
      </c>
      <c r="E47" s="280">
        <v>5717968</v>
      </c>
      <c r="F47" s="457">
        <v>819.17</v>
      </c>
      <c r="G47" s="452">
        <f t="shared" si="5"/>
        <v>60.454746</v>
      </c>
      <c r="H47" s="457">
        <v>91.45</v>
      </c>
      <c r="I47" s="454">
        <f t="shared" si="6"/>
        <v>667.26525399999991</v>
      </c>
      <c r="J47" s="468" t="s">
        <v>13</v>
      </c>
      <c r="K47" s="457" t="s">
        <v>174</v>
      </c>
      <c r="L47" s="454">
        <f t="shared" si="4"/>
        <v>100.08978809999998</v>
      </c>
      <c r="M47" s="454">
        <f t="shared" si="0"/>
        <v>26.690610159999999</v>
      </c>
      <c r="N47" s="455">
        <f t="shared" si="1"/>
        <v>13.345305079999999</v>
      </c>
      <c r="O47" s="455">
        <f t="shared" si="2"/>
        <v>13.345305079999999</v>
      </c>
      <c r="P47" s="452">
        <f t="shared" si="3"/>
        <v>46.708567779999981</v>
      </c>
    </row>
    <row r="48" spans="1:16">
      <c r="A48" s="449">
        <v>46</v>
      </c>
      <c r="B48" s="450" t="s">
        <v>968</v>
      </c>
      <c r="C48" s="458" t="s">
        <v>931</v>
      </c>
      <c r="D48" s="254">
        <v>2674100</v>
      </c>
      <c r="E48" s="280">
        <v>5713712</v>
      </c>
      <c r="F48" s="457">
        <v>574.25</v>
      </c>
      <c r="G48" s="452">
        <f t="shared" si="5"/>
        <v>42.379650000000005</v>
      </c>
      <c r="H48" s="457">
        <v>56.28</v>
      </c>
      <c r="I48" s="454">
        <f t="shared" si="6"/>
        <v>475.59035000000006</v>
      </c>
      <c r="J48" s="468" t="s">
        <v>925</v>
      </c>
      <c r="K48" s="457" t="s">
        <v>36</v>
      </c>
      <c r="L48" s="454">
        <f t="shared" si="4"/>
        <v>71.338552500000006</v>
      </c>
      <c r="M48" s="454">
        <f t="shared" si="0"/>
        <v>19.023614000000002</v>
      </c>
      <c r="N48" s="455">
        <f t="shared" si="1"/>
        <v>9.511807000000001</v>
      </c>
      <c r="O48" s="455">
        <f t="shared" si="2"/>
        <v>9.511807000000001</v>
      </c>
      <c r="P48" s="452">
        <f t="shared" si="3"/>
        <v>33.291324500000002</v>
      </c>
    </row>
    <row r="49" spans="1:16">
      <c r="A49" s="449">
        <v>47</v>
      </c>
      <c r="B49" s="450" t="s">
        <v>969</v>
      </c>
      <c r="C49" s="458" t="s">
        <v>931</v>
      </c>
      <c r="D49" s="254">
        <v>517720255427</v>
      </c>
      <c r="E49" s="280">
        <v>5725340</v>
      </c>
      <c r="F49" s="457">
        <v>641.85</v>
      </c>
      <c r="G49" s="452">
        <f t="shared" si="5"/>
        <v>47.368530000000007</v>
      </c>
      <c r="H49" s="457">
        <v>68.97</v>
      </c>
      <c r="I49" s="454">
        <f t="shared" si="6"/>
        <v>525.51147000000003</v>
      </c>
      <c r="J49" s="468" t="s">
        <v>13</v>
      </c>
      <c r="K49" s="457" t="s">
        <v>733</v>
      </c>
      <c r="L49" s="454">
        <f t="shared" si="4"/>
        <v>78.826720500000008</v>
      </c>
      <c r="M49" s="454">
        <f t="shared" si="0"/>
        <v>21.0204588</v>
      </c>
      <c r="N49" s="455">
        <f t="shared" si="1"/>
        <v>10.5102294</v>
      </c>
      <c r="O49" s="455">
        <f t="shared" si="2"/>
        <v>10.5102294</v>
      </c>
      <c r="P49" s="452">
        <f t="shared" si="3"/>
        <v>36.785802900000007</v>
      </c>
    </row>
    <row r="50" spans="1:16">
      <c r="A50" s="449">
        <v>48</v>
      </c>
      <c r="B50" s="450" t="s">
        <v>970</v>
      </c>
      <c r="C50" s="458" t="s">
        <v>300</v>
      </c>
      <c r="D50" s="254">
        <v>51772025423</v>
      </c>
      <c r="E50" s="280">
        <v>5723732</v>
      </c>
      <c r="F50" s="457">
        <v>555.04999999999995</v>
      </c>
      <c r="G50" s="452">
        <f t="shared" si="5"/>
        <v>40.962690000000002</v>
      </c>
      <c r="H50" s="457">
        <v>55.51</v>
      </c>
      <c r="I50" s="454">
        <f t="shared" si="6"/>
        <v>458.57731000000001</v>
      </c>
      <c r="J50" s="468" t="s">
        <v>925</v>
      </c>
      <c r="K50" s="457" t="s">
        <v>26</v>
      </c>
      <c r="L50" s="454">
        <f t="shared" si="4"/>
        <v>68.786596500000002</v>
      </c>
      <c r="M50" s="454">
        <f t="shared" si="0"/>
        <v>18.3430924</v>
      </c>
      <c r="N50" s="455">
        <f t="shared" si="1"/>
        <v>9.1715461999999999</v>
      </c>
      <c r="O50" s="455">
        <f t="shared" si="2"/>
        <v>9.1715461999999999</v>
      </c>
      <c r="P50" s="452">
        <f t="shared" si="3"/>
        <v>32.100411699999995</v>
      </c>
    </row>
    <row r="51" spans="1:16">
      <c r="A51" s="449">
        <v>49</v>
      </c>
      <c r="B51" s="450" t="s">
        <v>971</v>
      </c>
      <c r="C51" s="458" t="s">
        <v>300</v>
      </c>
      <c r="D51" s="254">
        <v>1003110761487</v>
      </c>
      <c r="E51" s="280">
        <v>5721659</v>
      </c>
      <c r="F51" s="457">
        <v>558.39</v>
      </c>
      <c r="G51" s="452">
        <f t="shared" si="5"/>
        <v>41.209181999999998</v>
      </c>
      <c r="H51" s="457">
        <v>147.5</v>
      </c>
      <c r="I51" s="454">
        <f t="shared" si="6"/>
        <v>369.68081800000004</v>
      </c>
      <c r="J51" s="468" t="s">
        <v>13</v>
      </c>
      <c r="K51" s="457" t="s">
        <v>26</v>
      </c>
      <c r="L51" s="454">
        <f t="shared" si="4"/>
        <v>55.452122700000004</v>
      </c>
      <c r="M51" s="454">
        <f t="shared" si="0"/>
        <v>14.787232720000002</v>
      </c>
      <c r="N51" s="455">
        <f t="shared" si="1"/>
        <v>7.3936163600000011</v>
      </c>
      <c r="O51" s="455">
        <f t="shared" si="2"/>
        <v>7.3936163600000011</v>
      </c>
      <c r="P51" s="452">
        <f t="shared" si="3"/>
        <v>25.877657259999992</v>
      </c>
    </row>
    <row r="52" spans="1:16">
      <c r="A52" s="449">
        <v>50</v>
      </c>
      <c r="B52" s="450" t="s">
        <v>972</v>
      </c>
      <c r="C52" s="458" t="s">
        <v>931</v>
      </c>
      <c r="D52" s="254">
        <v>517720252423</v>
      </c>
      <c r="E52" s="280" t="s">
        <v>973</v>
      </c>
      <c r="F52" s="457">
        <v>570.64</v>
      </c>
      <c r="G52" s="452">
        <f t="shared" si="5"/>
        <v>42.113232000000004</v>
      </c>
      <c r="H52" s="457">
        <v>0</v>
      </c>
      <c r="I52" s="454">
        <f t="shared" si="6"/>
        <v>528.52676799999995</v>
      </c>
      <c r="J52" s="468" t="s">
        <v>13</v>
      </c>
      <c r="K52" s="457" t="s">
        <v>17</v>
      </c>
      <c r="L52" s="454">
        <f t="shared" si="4"/>
        <v>79.279015199999989</v>
      </c>
      <c r="M52" s="454">
        <f t="shared" si="0"/>
        <v>21.141070719999998</v>
      </c>
      <c r="N52" s="455">
        <f t="shared" si="1"/>
        <v>10.570535359999999</v>
      </c>
      <c r="O52" s="455">
        <f t="shared" si="2"/>
        <v>10.570535359999999</v>
      </c>
      <c r="P52" s="452">
        <f t="shared" si="3"/>
        <v>36.996873759999986</v>
      </c>
    </row>
    <row r="53" spans="1:16">
      <c r="A53" s="449">
        <v>51</v>
      </c>
      <c r="B53" s="450" t="s">
        <v>974</v>
      </c>
      <c r="C53" s="458" t="s">
        <v>234</v>
      </c>
      <c r="D53" s="254">
        <v>2677240</v>
      </c>
      <c r="E53" s="280">
        <v>5723835</v>
      </c>
      <c r="F53" s="457">
        <v>797.82</v>
      </c>
      <c r="G53" s="452">
        <f t="shared" si="5"/>
        <v>58.87911600000001</v>
      </c>
      <c r="H53" s="457">
        <v>83.89</v>
      </c>
      <c r="I53" s="454">
        <f t="shared" si="6"/>
        <v>655.05088400000011</v>
      </c>
      <c r="J53" s="468" t="s">
        <v>925</v>
      </c>
      <c r="K53" s="457" t="s">
        <v>26</v>
      </c>
      <c r="L53" s="454">
        <f t="shared" si="4"/>
        <v>98.257632600000008</v>
      </c>
      <c r="M53" s="454">
        <f t="shared" si="0"/>
        <v>26.202035360000004</v>
      </c>
      <c r="N53" s="455">
        <f t="shared" si="1"/>
        <v>13.101017680000002</v>
      </c>
      <c r="O53" s="455">
        <f t="shared" si="2"/>
        <v>13.101017680000002</v>
      </c>
      <c r="P53" s="452">
        <f t="shared" si="3"/>
        <v>45.853561880000001</v>
      </c>
    </row>
    <row r="54" spans="1:16">
      <c r="A54" s="449">
        <v>52</v>
      </c>
      <c r="B54" s="450" t="s">
        <v>975</v>
      </c>
      <c r="C54" s="458" t="s">
        <v>931</v>
      </c>
      <c r="D54" s="254">
        <v>1003110769632</v>
      </c>
      <c r="E54" s="280">
        <v>5723699</v>
      </c>
      <c r="F54" s="457">
        <v>862.24</v>
      </c>
      <c r="G54" s="452">
        <f t="shared" si="5"/>
        <v>63.633312000000004</v>
      </c>
      <c r="H54" s="457">
        <v>92.65</v>
      </c>
      <c r="I54" s="454">
        <f t="shared" si="6"/>
        <v>705.95668799999999</v>
      </c>
      <c r="J54" s="468" t="s">
        <v>13</v>
      </c>
      <c r="K54" s="457" t="s">
        <v>26</v>
      </c>
      <c r="L54" s="454">
        <f t="shared" si="4"/>
        <v>105.8935032</v>
      </c>
      <c r="M54" s="454">
        <f t="shared" si="0"/>
        <v>28.238267520000001</v>
      </c>
      <c r="N54" s="455">
        <f t="shared" si="1"/>
        <v>14.11913376</v>
      </c>
      <c r="O54" s="455">
        <f t="shared" si="2"/>
        <v>14.11913376</v>
      </c>
      <c r="P54" s="452">
        <f t="shared" si="3"/>
        <v>49.41696816000001</v>
      </c>
    </row>
    <row r="55" spans="1:16">
      <c r="A55" s="449">
        <v>53</v>
      </c>
      <c r="B55" s="450" t="s">
        <v>976</v>
      </c>
      <c r="C55" s="458" t="s">
        <v>931</v>
      </c>
      <c r="D55" s="371">
        <v>26677550</v>
      </c>
      <c r="E55" s="280">
        <v>5723888</v>
      </c>
      <c r="F55" s="457">
        <v>818.82</v>
      </c>
      <c r="G55" s="452">
        <f t="shared" si="5"/>
        <v>60.428916000000008</v>
      </c>
      <c r="H55" s="457">
        <v>86.19</v>
      </c>
      <c r="I55" s="454">
        <f t="shared" si="6"/>
        <v>672.20108400000004</v>
      </c>
      <c r="J55" s="468" t="s">
        <v>925</v>
      </c>
      <c r="K55" s="457" t="s">
        <v>14</v>
      </c>
      <c r="L55" s="454">
        <f t="shared" si="4"/>
        <v>100.83016260000001</v>
      </c>
      <c r="M55" s="454">
        <f t="shared" si="0"/>
        <v>26.888043360000001</v>
      </c>
      <c r="N55" s="455">
        <f t="shared" si="1"/>
        <v>13.444021680000001</v>
      </c>
      <c r="O55" s="455">
        <f t="shared" si="2"/>
        <v>13.444021680000001</v>
      </c>
      <c r="P55" s="452">
        <f t="shared" si="3"/>
        <v>47.054075880000013</v>
      </c>
    </row>
    <row r="56" spans="1:16">
      <c r="A56" s="449">
        <v>54</v>
      </c>
      <c r="B56" s="339" t="s">
        <v>977</v>
      </c>
      <c r="C56" s="327" t="s">
        <v>173</v>
      </c>
      <c r="D56" s="400">
        <v>1003110766196</v>
      </c>
      <c r="E56" s="401">
        <v>5722610</v>
      </c>
      <c r="F56" s="294">
        <v>610.23</v>
      </c>
      <c r="G56" s="294">
        <f t="shared" si="5"/>
        <v>45.034974000000005</v>
      </c>
      <c r="H56" s="294">
        <v>64.819999999999993</v>
      </c>
      <c r="I56" s="293">
        <f t="shared" si="6"/>
        <v>500.37502599999999</v>
      </c>
      <c r="J56" s="329" t="s">
        <v>13</v>
      </c>
      <c r="K56" s="294" t="s">
        <v>17</v>
      </c>
      <c r="L56" s="293">
        <f t="shared" si="4"/>
        <v>75.056253900000002</v>
      </c>
      <c r="M56" s="293">
        <f t="shared" si="0"/>
        <v>20.015001040000001</v>
      </c>
      <c r="N56" s="296">
        <f t="shared" si="1"/>
        <v>10.007500520000001</v>
      </c>
      <c r="O56" s="296">
        <f t="shared" si="2"/>
        <v>10.007500520000001</v>
      </c>
      <c r="P56" s="294">
        <f t="shared" si="3"/>
        <v>35.026251819999999</v>
      </c>
    </row>
    <row r="57" spans="1:16">
      <c r="A57" s="449">
        <v>55</v>
      </c>
      <c r="B57" s="339" t="s">
        <v>978</v>
      </c>
      <c r="C57" s="327" t="s">
        <v>931</v>
      </c>
      <c r="D57" s="400">
        <v>1003110773165</v>
      </c>
      <c r="E57" s="401">
        <v>5731064</v>
      </c>
      <c r="F57" s="294">
        <v>666.93</v>
      </c>
      <c r="G57" s="294">
        <f t="shared" si="5"/>
        <v>49.219434</v>
      </c>
      <c r="H57" s="294">
        <v>82.26</v>
      </c>
      <c r="I57" s="293">
        <f t="shared" si="6"/>
        <v>535.45056599999998</v>
      </c>
      <c r="J57" s="329" t="s">
        <v>13</v>
      </c>
      <c r="K57" s="294" t="s">
        <v>111</v>
      </c>
      <c r="L57" s="293">
        <f t="shared" si="4"/>
        <v>80.3175849</v>
      </c>
      <c r="M57" s="293">
        <f t="shared" si="0"/>
        <v>21.41802264</v>
      </c>
      <c r="N57" s="296">
        <f t="shared" si="1"/>
        <v>10.70901132</v>
      </c>
      <c r="O57" s="296">
        <f t="shared" si="2"/>
        <v>10.70901132</v>
      </c>
      <c r="P57" s="294">
        <f t="shared" si="3"/>
        <v>37.481539619999992</v>
      </c>
    </row>
    <row r="58" spans="1:16">
      <c r="A58" s="449">
        <v>56</v>
      </c>
      <c r="B58" s="450" t="s">
        <v>979</v>
      </c>
      <c r="C58" s="458" t="s">
        <v>173</v>
      </c>
      <c r="D58" s="254">
        <v>1003110771113</v>
      </c>
      <c r="E58" s="280">
        <v>5728900</v>
      </c>
      <c r="F58" s="457">
        <v>542.30999999999995</v>
      </c>
      <c r="G58" s="452">
        <f t="shared" si="5"/>
        <v>40.022478</v>
      </c>
      <c r="H58" s="457">
        <v>66.89</v>
      </c>
      <c r="I58" s="454">
        <f t="shared" si="6"/>
        <v>435.39752199999998</v>
      </c>
      <c r="J58" s="468" t="s">
        <v>13</v>
      </c>
      <c r="K58" s="457" t="s">
        <v>258</v>
      </c>
      <c r="L58" s="454">
        <f t="shared" si="4"/>
        <v>65.3096283</v>
      </c>
      <c r="M58" s="454">
        <f t="shared" si="0"/>
        <v>17.415900879999999</v>
      </c>
      <c r="N58" s="455">
        <f t="shared" si="1"/>
        <v>8.7079504399999994</v>
      </c>
      <c r="O58" s="455">
        <f t="shared" si="2"/>
        <v>8.7079504399999994</v>
      </c>
      <c r="P58" s="452">
        <f t="shared" si="3"/>
        <v>30.477826540000009</v>
      </c>
    </row>
    <row r="59" spans="1:16">
      <c r="A59" s="449">
        <v>57</v>
      </c>
      <c r="B59" s="450" t="s">
        <v>980</v>
      </c>
      <c r="C59" s="458" t="s">
        <v>300</v>
      </c>
      <c r="D59" s="283">
        <v>35927775</v>
      </c>
      <c r="E59" s="280">
        <v>5729952</v>
      </c>
      <c r="F59" s="457">
        <v>741.7</v>
      </c>
      <c r="G59" s="452">
        <f t="shared" si="5"/>
        <v>54.737460000000006</v>
      </c>
      <c r="H59" s="457">
        <v>74.14</v>
      </c>
      <c r="I59" s="454">
        <f t="shared" si="6"/>
        <v>612.82254</v>
      </c>
      <c r="J59" s="468" t="s">
        <v>925</v>
      </c>
      <c r="K59" s="457" t="s">
        <v>26</v>
      </c>
      <c r="L59" s="454">
        <f t="shared" si="4"/>
        <v>91.923380999999992</v>
      </c>
      <c r="M59" s="454">
        <f t="shared" si="0"/>
        <v>24.512901599999999</v>
      </c>
      <c r="N59" s="455">
        <f t="shared" si="1"/>
        <v>12.2564508</v>
      </c>
      <c r="O59" s="455">
        <f t="shared" si="2"/>
        <v>12.2564508</v>
      </c>
      <c r="P59" s="452">
        <f t="shared" si="3"/>
        <v>42.897577799999993</v>
      </c>
    </row>
    <row r="60" spans="1:16">
      <c r="A60" s="449">
        <v>58</v>
      </c>
      <c r="B60" s="450" t="s">
        <v>981</v>
      </c>
      <c r="C60" s="458" t="s">
        <v>12</v>
      </c>
      <c r="D60" s="284">
        <v>1003110770362</v>
      </c>
      <c r="E60" s="280">
        <v>5730151</v>
      </c>
      <c r="F60" s="457">
        <v>623.85</v>
      </c>
      <c r="G60" s="452">
        <f t="shared" si="5"/>
        <v>46.040130000000005</v>
      </c>
      <c r="H60" s="457">
        <v>67.03</v>
      </c>
      <c r="I60" s="454">
        <f t="shared" si="6"/>
        <v>510.77987000000007</v>
      </c>
      <c r="J60" s="468" t="s">
        <v>13</v>
      </c>
      <c r="K60" s="457" t="s">
        <v>982</v>
      </c>
      <c r="L60" s="454">
        <f t="shared" si="4"/>
        <v>76.616980500000011</v>
      </c>
      <c r="M60" s="454">
        <f t="shared" si="0"/>
        <v>20.431194800000004</v>
      </c>
      <c r="N60" s="455">
        <f t="shared" si="1"/>
        <v>10.215597400000002</v>
      </c>
      <c r="O60" s="455">
        <f t="shared" si="2"/>
        <v>10.215597400000002</v>
      </c>
      <c r="P60" s="452">
        <f t="shared" si="3"/>
        <v>35.754590900000011</v>
      </c>
    </row>
    <row r="61" spans="1:16">
      <c r="A61" s="449">
        <v>59</v>
      </c>
      <c r="B61" s="450" t="s">
        <v>983</v>
      </c>
      <c r="C61" s="458" t="s">
        <v>300</v>
      </c>
      <c r="D61" s="254">
        <v>51772025523</v>
      </c>
      <c r="E61" s="280">
        <v>5729636</v>
      </c>
      <c r="F61" s="457">
        <v>468.4</v>
      </c>
      <c r="G61" s="452">
        <f t="shared" si="5"/>
        <v>34.567920000000001</v>
      </c>
      <c r="H61" s="457">
        <v>46.84</v>
      </c>
      <c r="I61" s="454">
        <f t="shared" si="6"/>
        <v>386.99207999999999</v>
      </c>
      <c r="J61" s="468" t="s">
        <v>925</v>
      </c>
      <c r="K61" s="457" t="s">
        <v>17</v>
      </c>
      <c r="L61" s="454">
        <f t="shared" si="4"/>
        <v>58.048811999999998</v>
      </c>
      <c r="M61" s="454">
        <f t="shared" si="0"/>
        <v>15.4796832</v>
      </c>
      <c r="N61" s="455">
        <f t="shared" si="1"/>
        <v>7.7398416000000001</v>
      </c>
      <c r="O61" s="455">
        <f t="shared" si="2"/>
        <v>7.7398416000000001</v>
      </c>
      <c r="P61" s="452">
        <f t="shared" si="3"/>
        <v>27.089445600000005</v>
      </c>
    </row>
    <row r="62" spans="1:16">
      <c r="A62" s="449">
        <v>60</v>
      </c>
      <c r="B62" s="450" t="s">
        <v>457</v>
      </c>
      <c r="C62" s="458" t="s">
        <v>931</v>
      </c>
      <c r="D62" s="254">
        <v>1003109652738</v>
      </c>
      <c r="E62" s="280" t="s">
        <v>984</v>
      </c>
      <c r="F62" s="457">
        <v>463.37</v>
      </c>
      <c r="G62" s="452">
        <f t="shared" si="5"/>
        <v>34.196705999999999</v>
      </c>
      <c r="H62" s="457">
        <v>0</v>
      </c>
      <c r="I62" s="454">
        <f t="shared" si="6"/>
        <v>429.173294</v>
      </c>
      <c r="J62" s="468" t="s">
        <v>13</v>
      </c>
      <c r="K62" s="457" t="s">
        <v>17</v>
      </c>
      <c r="L62" s="454">
        <f t="shared" si="4"/>
        <v>64.3759941</v>
      </c>
      <c r="M62" s="454">
        <f t="shared" si="0"/>
        <v>17.166931760000001</v>
      </c>
      <c r="N62" s="455">
        <f t="shared" si="1"/>
        <v>8.5834658800000003</v>
      </c>
      <c r="O62" s="455">
        <f t="shared" si="2"/>
        <v>8.5834658800000003</v>
      </c>
      <c r="P62" s="452">
        <f t="shared" si="3"/>
        <v>30.042130580000006</v>
      </c>
    </row>
    <row r="63" spans="1:16">
      <c r="A63" s="449">
        <v>61</v>
      </c>
      <c r="B63" s="450" t="s">
        <v>985</v>
      </c>
      <c r="C63" s="458" t="s">
        <v>300</v>
      </c>
      <c r="D63" s="254">
        <v>517720254231</v>
      </c>
      <c r="E63" s="280">
        <v>5731455</v>
      </c>
      <c r="F63" s="457">
        <v>600.9</v>
      </c>
      <c r="G63" s="452">
        <f t="shared" si="5"/>
        <v>44.346420000000002</v>
      </c>
      <c r="H63" s="457">
        <v>100.15</v>
      </c>
      <c r="I63" s="454">
        <f t="shared" si="6"/>
        <v>456.40358000000003</v>
      </c>
      <c r="J63" s="468" t="s">
        <v>925</v>
      </c>
      <c r="K63" s="457" t="s">
        <v>26</v>
      </c>
      <c r="L63" s="454">
        <f t="shared" si="4"/>
        <v>68.460537000000002</v>
      </c>
      <c r="M63" s="454">
        <f t="shared" si="0"/>
        <v>18.2561432</v>
      </c>
      <c r="N63" s="455">
        <f t="shared" si="1"/>
        <v>9.1280716000000002</v>
      </c>
      <c r="O63" s="455">
        <f t="shared" si="2"/>
        <v>9.1280716000000002</v>
      </c>
      <c r="P63" s="452">
        <f t="shared" si="3"/>
        <v>31.948250600000009</v>
      </c>
    </row>
    <row r="64" spans="1:16">
      <c r="A64" s="449">
        <v>62</v>
      </c>
      <c r="B64" s="450" t="s">
        <v>986</v>
      </c>
      <c r="C64" s="458" t="s">
        <v>931</v>
      </c>
      <c r="D64" s="254">
        <v>1003110775438</v>
      </c>
      <c r="E64" s="280" t="s">
        <v>987</v>
      </c>
      <c r="F64" s="457">
        <v>639.08000000000004</v>
      </c>
      <c r="G64" s="452">
        <f t="shared" si="5"/>
        <v>47.164104000000009</v>
      </c>
      <c r="H64" s="457">
        <v>168.82</v>
      </c>
      <c r="I64" s="454">
        <f t="shared" si="6"/>
        <v>423.09589599999998</v>
      </c>
      <c r="J64" s="468" t="s">
        <v>13</v>
      </c>
      <c r="K64" s="457" t="s">
        <v>17</v>
      </c>
      <c r="L64" s="454">
        <f t="shared" si="4"/>
        <v>63.464384399999993</v>
      </c>
      <c r="M64" s="454">
        <f t="shared" si="0"/>
        <v>16.923835839999999</v>
      </c>
      <c r="N64" s="455">
        <f t="shared" si="1"/>
        <v>8.4619179199999994</v>
      </c>
      <c r="O64" s="455">
        <f t="shared" si="2"/>
        <v>8.4619179199999994</v>
      </c>
      <c r="P64" s="452">
        <f t="shared" si="3"/>
        <v>29.616712719999995</v>
      </c>
    </row>
    <row r="65" spans="1:16">
      <c r="A65" s="449">
        <v>63</v>
      </c>
      <c r="B65" s="450" t="s">
        <v>988</v>
      </c>
      <c r="C65" s="458" t="s">
        <v>300</v>
      </c>
      <c r="D65" s="254">
        <v>35934076</v>
      </c>
      <c r="E65" s="280">
        <v>5730378</v>
      </c>
      <c r="F65" s="457">
        <v>550.58000000000004</v>
      </c>
      <c r="G65" s="452">
        <f t="shared" si="5"/>
        <v>40.632804000000007</v>
      </c>
      <c r="H65" s="457">
        <v>45.85</v>
      </c>
      <c r="I65" s="454">
        <f t="shared" si="6"/>
        <v>464.097196</v>
      </c>
      <c r="J65" s="468" t="s">
        <v>925</v>
      </c>
      <c r="K65" s="457" t="s">
        <v>17</v>
      </c>
      <c r="L65" s="454">
        <f t="shared" si="4"/>
        <v>69.614579399999997</v>
      </c>
      <c r="M65" s="454">
        <f t="shared" si="0"/>
        <v>18.56388784</v>
      </c>
      <c r="N65" s="455">
        <f t="shared" si="1"/>
        <v>9.2819439199999998</v>
      </c>
      <c r="O65" s="455">
        <f t="shared" si="2"/>
        <v>9.2819439199999998</v>
      </c>
      <c r="P65" s="452">
        <f t="shared" si="3"/>
        <v>32.486803719999997</v>
      </c>
    </row>
    <row r="66" spans="1:16">
      <c r="A66" s="449">
        <v>64</v>
      </c>
      <c r="B66" s="450" t="s">
        <v>989</v>
      </c>
      <c r="C66" s="458" t="s">
        <v>234</v>
      </c>
      <c r="D66" s="254">
        <v>1003110775348</v>
      </c>
      <c r="E66" s="280" t="s">
        <v>990</v>
      </c>
      <c r="F66" s="457">
        <v>491.25</v>
      </c>
      <c r="G66" s="452">
        <f t="shared" si="5"/>
        <v>36.254249999999999</v>
      </c>
      <c r="H66" s="457">
        <v>52.79</v>
      </c>
      <c r="I66" s="454">
        <f t="shared" si="6"/>
        <v>402.20574999999997</v>
      </c>
      <c r="J66" s="468" t="s">
        <v>13</v>
      </c>
      <c r="K66" s="457" t="s">
        <v>17</v>
      </c>
      <c r="L66" s="454">
        <f t="shared" si="4"/>
        <v>60.330862499999995</v>
      </c>
      <c r="M66" s="454">
        <f t="shared" si="0"/>
        <v>16.088229999999999</v>
      </c>
      <c r="N66" s="455">
        <f t="shared" si="1"/>
        <v>8.0441149999999997</v>
      </c>
      <c r="O66" s="455">
        <f t="shared" si="2"/>
        <v>8.0441149999999997</v>
      </c>
      <c r="P66" s="452">
        <f t="shared" si="3"/>
        <v>28.154402500000003</v>
      </c>
    </row>
    <row r="67" spans="1:16">
      <c r="A67" s="449">
        <v>65</v>
      </c>
      <c r="B67" s="339" t="s">
        <v>991</v>
      </c>
      <c r="C67" s="327" t="s">
        <v>12</v>
      </c>
      <c r="D67" s="400">
        <v>1003110798171</v>
      </c>
      <c r="E67" s="401">
        <v>5732699</v>
      </c>
      <c r="F67" s="294">
        <v>608.41999999999996</v>
      </c>
      <c r="G67" s="294">
        <f t="shared" si="5"/>
        <v>44.901395999999998</v>
      </c>
      <c r="H67" s="294">
        <v>75.040000000000006</v>
      </c>
      <c r="I67" s="293">
        <f t="shared" si="6"/>
        <v>488.47860399999996</v>
      </c>
      <c r="J67" s="329" t="s">
        <v>13</v>
      </c>
      <c r="K67" s="294" t="s">
        <v>14</v>
      </c>
      <c r="L67" s="293">
        <f t="shared" si="4"/>
        <v>73.271790599999989</v>
      </c>
      <c r="M67" s="293">
        <f t="shared" ref="M67:M105" si="7">I67*4%</f>
        <v>19.539144159999999</v>
      </c>
      <c r="N67" s="296">
        <f t="shared" ref="N67:N105" si="8">I67*2%</f>
        <v>9.7695720799999997</v>
      </c>
      <c r="O67" s="296">
        <f t="shared" ref="O67:O105" si="9">I67*2%</f>
        <v>9.7695720799999997</v>
      </c>
      <c r="P67" s="294">
        <f t="shared" ref="P67:P105" si="10">L67-M67-N67-O67</f>
        <v>34.19350227999999</v>
      </c>
    </row>
    <row r="68" spans="1:16">
      <c r="A68" s="449">
        <v>66</v>
      </c>
      <c r="B68" s="450" t="s">
        <v>992</v>
      </c>
      <c r="C68" s="458" t="s">
        <v>931</v>
      </c>
      <c r="D68" s="254">
        <v>1003110780096</v>
      </c>
      <c r="E68" s="280">
        <v>5736452</v>
      </c>
      <c r="F68" s="457">
        <v>695.69</v>
      </c>
      <c r="G68" s="452">
        <f t="shared" si="5"/>
        <v>51.341922000000004</v>
      </c>
      <c r="H68" s="457">
        <v>74.75</v>
      </c>
      <c r="I68" s="454">
        <f t="shared" si="6"/>
        <v>569.5980780000001</v>
      </c>
      <c r="J68" s="468" t="s">
        <v>13</v>
      </c>
      <c r="K68" s="457" t="s">
        <v>216</v>
      </c>
      <c r="L68" s="454">
        <f t="shared" ref="L68:L105" si="11">I68*15%</f>
        <v>85.439711700000018</v>
      </c>
      <c r="M68" s="454">
        <f t="shared" si="7"/>
        <v>22.783923120000004</v>
      </c>
      <c r="N68" s="478">
        <f t="shared" si="8"/>
        <v>11.391961560000002</v>
      </c>
      <c r="O68" s="478">
        <f t="shared" si="9"/>
        <v>11.391961560000002</v>
      </c>
      <c r="P68" s="479">
        <f t="shared" si="10"/>
        <v>39.871865460000009</v>
      </c>
    </row>
    <row r="69" spans="1:16">
      <c r="A69" s="449">
        <v>67</v>
      </c>
      <c r="B69" s="450" t="s">
        <v>993</v>
      </c>
      <c r="C69" s="458" t="s">
        <v>234</v>
      </c>
      <c r="D69" s="254">
        <v>1003110779358</v>
      </c>
      <c r="E69" s="280" t="s">
        <v>994</v>
      </c>
      <c r="F69" s="457">
        <v>487.78</v>
      </c>
      <c r="G69" s="479">
        <f t="shared" ref="G69:G105" si="12">F69*7.38%</f>
        <v>35.998164000000003</v>
      </c>
      <c r="H69" s="457">
        <v>0</v>
      </c>
      <c r="I69" s="480">
        <f t="shared" ref="I69:I105" si="13">F69-G69-H69</f>
        <v>451.781836</v>
      </c>
      <c r="J69" s="468" t="s">
        <v>13</v>
      </c>
      <c r="K69" s="457" t="s">
        <v>17</v>
      </c>
      <c r="L69" s="454">
        <f t="shared" si="11"/>
        <v>67.767275400000003</v>
      </c>
      <c r="M69" s="454">
        <f t="shared" si="7"/>
        <v>18.071273439999999</v>
      </c>
      <c r="N69" s="478">
        <f t="shared" si="8"/>
        <v>9.0356367199999994</v>
      </c>
      <c r="O69" s="478">
        <f t="shared" si="9"/>
        <v>9.0356367199999994</v>
      </c>
      <c r="P69" s="479">
        <f t="shared" si="10"/>
        <v>31.624728520000005</v>
      </c>
    </row>
    <row r="70" spans="1:16">
      <c r="A70" s="449">
        <v>68</v>
      </c>
      <c r="B70" s="450" t="s">
        <v>995</v>
      </c>
      <c r="C70" s="458" t="s">
        <v>12</v>
      </c>
      <c r="D70" s="254">
        <v>1003110779269</v>
      </c>
      <c r="E70" s="280">
        <v>5734827</v>
      </c>
      <c r="F70" s="457">
        <v>591.58000000000004</v>
      </c>
      <c r="G70" s="452">
        <f t="shared" si="12"/>
        <v>43.658604000000004</v>
      </c>
      <c r="H70" s="457">
        <v>72.959999999999994</v>
      </c>
      <c r="I70" s="454">
        <f t="shared" si="13"/>
        <v>474.96139600000009</v>
      </c>
      <c r="J70" s="468" t="s">
        <v>13</v>
      </c>
      <c r="K70" s="457" t="s">
        <v>235</v>
      </c>
      <c r="L70" s="454">
        <f t="shared" si="11"/>
        <v>71.244209400000017</v>
      </c>
      <c r="M70" s="454">
        <f t="shared" si="7"/>
        <v>18.998455840000005</v>
      </c>
      <c r="N70" s="455">
        <f t="shared" si="8"/>
        <v>9.4992279200000027</v>
      </c>
      <c r="O70" s="455">
        <f t="shared" si="9"/>
        <v>9.4992279200000027</v>
      </c>
      <c r="P70" s="452">
        <f t="shared" si="10"/>
        <v>33.247297720000006</v>
      </c>
    </row>
    <row r="71" spans="1:16">
      <c r="A71" s="449">
        <v>69</v>
      </c>
      <c r="B71" s="450" t="s">
        <v>996</v>
      </c>
      <c r="C71" s="458" t="s">
        <v>931</v>
      </c>
      <c r="D71" s="254">
        <v>2683720</v>
      </c>
      <c r="E71" s="280">
        <v>5734717</v>
      </c>
      <c r="F71" s="457">
        <v>667.8</v>
      </c>
      <c r="G71" s="452">
        <f t="shared" si="12"/>
        <v>49.283639999999998</v>
      </c>
      <c r="H71" s="457">
        <v>86.96</v>
      </c>
      <c r="I71" s="454">
        <f t="shared" si="13"/>
        <v>531.55635999999993</v>
      </c>
      <c r="J71" s="468" t="s">
        <v>13</v>
      </c>
      <c r="K71" s="457" t="s">
        <v>14</v>
      </c>
      <c r="L71" s="454">
        <f t="shared" si="11"/>
        <v>79.733453999999981</v>
      </c>
      <c r="M71" s="454">
        <f t="shared" si="7"/>
        <v>21.262254399999996</v>
      </c>
      <c r="N71" s="455">
        <f t="shared" si="8"/>
        <v>10.631127199999998</v>
      </c>
      <c r="O71" s="455">
        <f t="shared" si="9"/>
        <v>10.631127199999998</v>
      </c>
      <c r="P71" s="452">
        <f t="shared" si="10"/>
        <v>37.208945199999988</v>
      </c>
    </row>
    <row r="72" spans="1:16">
      <c r="A72" s="449">
        <v>70</v>
      </c>
      <c r="B72" s="450" t="s">
        <v>997</v>
      </c>
      <c r="C72" s="458" t="s">
        <v>173</v>
      </c>
      <c r="D72" s="254">
        <v>2681085</v>
      </c>
      <c r="E72" s="280">
        <v>5735363</v>
      </c>
      <c r="F72" s="457">
        <v>493.48</v>
      </c>
      <c r="G72" s="452">
        <f t="shared" si="12"/>
        <v>36.418824000000001</v>
      </c>
      <c r="H72" s="457">
        <v>49.35</v>
      </c>
      <c r="I72" s="454">
        <f t="shared" si="13"/>
        <v>407.71117600000002</v>
      </c>
      <c r="J72" s="468" t="s">
        <v>925</v>
      </c>
      <c r="K72" s="457" t="s">
        <v>17</v>
      </c>
      <c r="L72" s="454">
        <f t="shared" si="11"/>
        <v>61.156676400000002</v>
      </c>
      <c r="M72" s="454">
        <f t="shared" si="7"/>
        <v>16.308447040000001</v>
      </c>
      <c r="N72" s="455">
        <f t="shared" si="8"/>
        <v>8.1542235200000004</v>
      </c>
      <c r="O72" s="455">
        <f t="shared" si="9"/>
        <v>8.1542235200000004</v>
      </c>
      <c r="P72" s="452">
        <f t="shared" si="10"/>
        <v>28.53978232</v>
      </c>
    </row>
    <row r="73" spans="1:16">
      <c r="A73" s="449">
        <v>71</v>
      </c>
      <c r="B73" s="450" t="s">
        <v>998</v>
      </c>
      <c r="C73" s="458" t="s">
        <v>931</v>
      </c>
      <c r="D73" s="254">
        <v>100311077041</v>
      </c>
      <c r="E73" s="280">
        <v>5735033</v>
      </c>
      <c r="F73" s="457">
        <v>647.87</v>
      </c>
      <c r="G73" s="452">
        <f t="shared" si="12"/>
        <v>47.812806000000002</v>
      </c>
      <c r="H73" s="457">
        <v>69.62</v>
      </c>
      <c r="I73" s="454">
        <f t="shared" si="13"/>
        <v>530.43719399999998</v>
      </c>
      <c r="J73" s="468" t="s">
        <v>13</v>
      </c>
      <c r="K73" s="457" t="s">
        <v>17</v>
      </c>
      <c r="L73" s="454">
        <f t="shared" si="11"/>
        <v>79.565579099999994</v>
      </c>
      <c r="M73" s="454">
        <f t="shared" si="7"/>
        <v>21.217487760000001</v>
      </c>
      <c r="N73" s="455">
        <f t="shared" si="8"/>
        <v>10.60874388</v>
      </c>
      <c r="O73" s="455">
        <f t="shared" si="9"/>
        <v>10.60874388</v>
      </c>
      <c r="P73" s="452">
        <f t="shared" si="10"/>
        <v>37.130603579999999</v>
      </c>
    </row>
    <row r="74" spans="1:16">
      <c r="A74" s="449">
        <v>72</v>
      </c>
      <c r="B74" s="450" t="s">
        <v>999</v>
      </c>
      <c r="C74" s="458" t="s">
        <v>234</v>
      </c>
      <c r="D74" s="481">
        <v>1003110784453</v>
      </c>
      <c r="E74" s="280" t="s">
        <v>1000</v>
      </c>
      <c r="F74" s="457">
        <v>522.94000000000005</v>
      </c>
      <c r="G74" s="452">
        <f t="shared" si="12"/>
        <v>38.592972000000003</v>
      </c>
      <c r="H74" s="457">
        <v>56.68</v>
      </c>
      <c r="I74" s="454">
        <f t="shared" si="13"/>
        <v>427.66702800000002</v>
      </c>
      <c r="J74" s="468" t="s">
        <v>13</v>
      </c>
      <c r="K74" s="457" t="s">
        <v>17</v>
      </c>
      <c r="L74" s="454">
        <f t="shared" si="11"/>
        <v>64.1500542</v>
      </c>
      <c r="M74" s="454">
        <f t="shared" si="7"/>
        <v>17.106681120000001</v>
      </c>
      <c r="N74" s="455">
        <f t="shared" si="8"/>
        <v>8.5533405600000005</v>
      </c>
      <c r="O74" s="455">
        <f t="shared" si="9"/>
        <v>8.5533405600000005</v>
      </c>
      <c r="P74" s="452">
        <f t="shared" si="10"/>
        <v>29.93669195999999</v>
      </c>
    </row>
    <row r="75" spans="1:16">
      <c r="A75" s="449">
        <v>73</v>
      </c>
      <c r="B75" s="450" t="s">
        <v>1001</v>
      </c>
      <c r="C75" s="458" t="s">
        <v>12</v>
      </c>
      <c r="D75" s="254">
        <v>2682715</v>
      </c>
      <c r="E75" s="280">
        <v>5738488</v>
      </c>
      <c r="F75" s="457">
        <v>888.16</v>
      </c>
      <c r="G75" s="452">
        <f t="shared" si="12"/>
        <v>65.546208000000007</v>
      </c>
      <c r="H75" s="457">
        <v>77.91</v>
      </c>
      <c r="I75" s="454">
        <f t="shared" si="13"/>
        <v>744.70379200000002</v>
      </c>
      <c r="J75" s="468" t="s">
        <v>925</v>
      </c>
      <c r="K75" s="457" t="s">
        <v>17</v>
      </c>
      <c r="L75" s="454">
        <f t="shared" si="11"/>
        <v>111.70556879999999</v>
      </c>
      <c r="M75" s="454">
        <f t="shared" si="7"/>
        <v>29.788151680000002</v>
      </c>
      <c r="N75" s="455">
        <f t="shared" si="8"/>
        <v>14.894075840000001</v>
      </c>
      <c r="O75" s="455">
        <f t="shared" si="9"/>
        <v>14.894075840000001</v>
      </c>
      <c r="P75" s="452">
        <f t="shared" si="10"/>
        <v>52.129265439999998</v>
      </c>
    </row>
    <row r="76" spans="1:16">
      <c r="A76" s="449">
        <v>74</v>
      </c>
      <c r="B76" s="450" t="s">
        <v>1002</v>
      </c>
      <c r="C76" s="458" t="s">
        <v>234</v>
      </c>
      <c r="D76" s="482">
        <v>1003110784345</v>
      </c>
      <c r="E76" s="280">
        <v>5734774</v>
      </c>
      <c r="F76" s="457">
        <v>640.38</v>
      </c>
      <c r="G76" s="452">
        <f t="shared" si="12"/>
        <v>47.260044000000001</v>
      </c>
      <c r="H76" s="457">
        <v>106.73</v>
      </c>
      <c r="I76" s="454">
        <f t="shared" si="13"/>
        <v>486.38995599999998</v>
      </c>
      <c r="J76" s="468" t="s">
        <v>13</v>
      </c>
      <c r="K76" s="457" t="s">
        <v>14</v>
      </c>
      <c r="L76" s="454">
        <f t="shared" si="11"/>
        <v>72.958493399999995</v>
      </c>
      <c r="M76" s="454">
        <f t="shared" si="7"/>
        <v>19.45559824</v>
      </c>
      <c r="N76" s="455">
        <f t="shared" si="8"/>
        <v>9.7277991200000002</v>
      </c>
      <c r="O76" s="455">
        <f t="shared" si="9"/>
        <v>9.7277991200000002</v>
      </c>
      <c r="P76" s="452">
        <f t="shared" si="10"/>
        <v>34.047296919999994</v>
      </c>
    </row>
    <row r="77" spans="1:16">
      <c r="A77" s="449">
        <v>75</v>
      </c>
      <c r="B77" s="450" t="s">
        <v>1003</v>
      </c>
      <c r="C77" s="458" t="s">
        <v>300</v>
      </c>
      <c r="D77" s="254">
        <v>35944047</v>
      </c>
      <c r="E77" s="280" t="s">
        <v>1004</v>
      </c>
      <c r="F77" s="457">
        <v>535.05999999999995</v>
      </c>
      <c r="G77" s="452">
        <f t="shared" si="12"/>
        <v>39.487428000000001</v>
      </c>
      <c r="H77" s="457">
        <v>52.55</v>
      </c>
      <c r="I77" s="454">
        <f t="shared" si="13"/>
        <v>443.02257199999991</v>
      </c>
      <c r="J77" s="468" t="s">
        <v>925</v>
      </c>
      <c r="K77" s="457" t="s">
        <v>17</v>
      </c>
      <c r="L77" s="454">
        <f t="shared" si="11"/>
        <v>66.453385799999978</v>
      </c>
      <c r="M77" s="454">
        <f t="shared" si="7"/>
        <v>17.720902879999997</v>
      </c>
      <c r="N77" s="455">
        <f t="shared" si="8"/>
        <v>8.8604514399999985</v>
      </c>
      <c r="O77" s="455">
        <f t="shared" si="9"/>
        <v>8.8604514399999985</v>
      </c>
      <c r="P77" s="452">
        <f t="shared" si="10"/>
        <v>31.011580039999984</v>
      </c>
    </row>
    <row r="78" spans="1:16">
      <c r="A78" s="449">
        <v>76</v>
      </c>
      <c r="B78" s="450" t="s">
        <v>1005</v>
      </c>
      <c r="C78" s="458" t="s">
        <v>12</v>
      </c>
      <c r="D78" s="254">
        <v>1003110786175</v>
      </c>
      <c r="E78" s="280" t="s">
        <v>1006</v>
      </c>
      <c r="F78" s="457">
        <v>559.79</v>
      </c>
      <c r="G78" s="452">
        <f t="shared" si="12"/>
        <v>41.312502000000002</v>
      </c>
      <c r="H78" s="457">
        <v>60.15</v>
      </c>
      <c r="I78" s="454">
        <f t="shared" si="13"/>
        <v>458.32749799999999</v>
      </c>
      <c r="J78" s="468" t="s">
        <v>13</v>
      </c>
      <c r="K78" s="457" t="s">
        <v>17</v>
      </c>
      <c r="L78" s="454">
        <f t="shared" si="11"/>
        <v>68.749124699999996</v>
      </c>
      <c r="M78" s="454">
        <f t="shared" si="7"/>
        <v>18.333099919999999</v>
      </c>
      <c r="N78" s="455">
        <f t="shared" si="8"/>
        <v>9.1665499599999993</v>
      </c>
      <c r="O78" s="455">
        <f t="shared" si="9"/>
        <v>9.1665499599999993</v>
      </c>
      <c r="P78" s="452">
        <f t="shared" si="10"/>
        <v>32.082924860000006</v>
      </c>
    </row>
    <row r="79" spans="1:16">
      <c r="A79" s="449">
        <v>77</v>
      </c>
      <c r="B79" s="450" t="s">
        <v>1007</v>
      </c>
      <c r="C79" s="458" t="s">
        <v>931</v>
      </c>
      <c r="D79" s="254">
        <v>2695124</v>
      </c>
      <c r="E79" s="280">
        <v>5703291</v>
      </c>
      <c r="F79" s="457">
        <v>665.41</v>
      </c>
      <c r="G79" s="452">
        <f t="shared" si="12"/>
        <v>49.107258000000002</v>
      </c>
      <c r="H79" s="457">
        <v>0</v>
      </c>
      <c r="I79" s="454">
        <f t="shared" si="13"/>
        <v>616.30274199999997</v>
      </c>
      <c r="J79" s="468" t="s">
        <v>13</v>
      </c>
      <c r="K79" s="457" t="s">
        <v>14</v>
      </c>
      <c r="L79" s="454">
        <f t="shared" si="11"/>
        <v>92.445411299999989</v>
      </c>
      <c r="M79" s="454">
        <f t="shared" si="7"/>
        <v>24.652109679999999</v>
      </c>
      <c r="N79" s="455">
        <f t="shared" si="8"/>
        <v>12.326054839999999</v>
      </c>
      <c r="O79" s="455">
        <f t="shared" si="9"/>
        <v>12.326054839999999</v>
      </c>
      <c r="P79" s="452">
        <f t="shared" si="10"/>
        <v>43.141191939999999</v>
      </c>
    </row>
    <row r="80" spans="1:16">
      <c r="A80" s="449">
        <v>78</v>
      </c>
      <c r="B80" s="450" t="s">
        <v>285</v>
      </c>
      <c r="C80" s="458" t="s">
        <v>173</v>
      </c>
      <c r="D80" s="254">
        <v>1003110802849</v>
      </c>
      <c r="E80" s="280">
        <v>5739211</v>
      </c>
      <c r="F80" s="457">
        <v>1025.48</v>
      </c>
      <c r="G80" s="452">
        <f t="shared" si="12"/>
        <v>75.680424000000002</v>
      </c>
      <c r="H80" s="457">
        <v>126.48</v>
      </c>
      <c r="I80" s="454">
        <f t="shared" si="13"/>
        <v>823.31957599999998</v>
      </c>
      <c r="J80" s="468" t="s">
        <v>13</v>
      </c>
      <c r="K80" s="457" t="s">
        <v>26</v>
      </c>
      <c r="L80" s="454">
        <f t="shared" si="11"/>
        <v>123.49793639999999</v>
      </c>
      <c r="M80" s="454">
        <f t="shared" si="7"/>
        <v>32.932783039999997</v>
      </c>
      <c r="N80" s="455">
        <f t="shared" si="8"/>
        <v>16.466391519999998</v>
      </c>
      <c r="O80" s="455">
        <f t="shared" si="9"/>
        <v>16.466391519999998</v>
      </c>
      <c r="P80" s="452">
        <f t="shared" si="10"/>
        <v>57.632370319999978</v>
      </c>
    </row>
    <row r="81" spans="1:16">
      <c r="A81" s="449">
        <v>79</v>
      </c>
      <c r="B81" s="450" t="s">
        <v>1008</v>
      </c>
      <c r="C81" s="458" t="s">
        <v>173</v>
      </c>
      <c r="D81" s="254">
        <v>1003110788928</v>
      </c>
      <c r="E81" s="280">
        <v>5740426</v>
      </c>
      <c r="F81" s="457">
        <v>509.34</v>
      </c>
      <c r="G81" s="452">
        <f t="shared" si="12"/>
        <v>37.589292</v>
      </c>
      <c r="H81" s="457">
        <v>54.73</v>
      </c>
      <c r="I81" s="454">
        <f t="shared" si="13"/>
        <v>417.02070799999996</v>
      </c>
      <c r="J81" s="468" t="s">
        <v>13</v>
      </c>
      <c r="K81" s="457" t="s">
        <v>491</v>
      </c>
      <c r="L81" s="454">
        <f t="shared" si="11"/>
        <v>62.553106199999988</v>
      </c>
      <c r="M81" s="454">
        <f t="shared" si="7"/>
        <v>16.68082832</v>
      </c>
      <c r="N81" s="455">
        <f t="shared" si="8"/>
        <v>8.3404141599999999</v>
      </c>
      <c r="O81" s="455">
        <f t="shared" si="9"/>
        <v>8.3404141599999999</v>
      </c>
      <c r="P81" s="452">
        <f t="shared" si="10"/>
        <v>29.191449559999981</v>
      </c>
    </row>
    <row r="82" spans="1:16">
      <c r="A82" s="449">
        <v>80</v>
      </c>
      <c r="B82" s="450" t="s">
        <v>1009</v>
      </c>
      <c r="C82" s="458" t="s">
        <v>234</v>
      </c>
      <c r="D82" s="254">
        <v>1003110805386</v>
      </c>
      <c r="E82" s="280">
        <v>5722393</v>
      </c>
      <c r="F82" s="457">
        <v>521.16</v>
      </c>
      <c r="G82" s="452">
        <f t="shared" si="12"/>
        <v>38.461607999999998</v>
      </c>
      <c r="H82" s="457">
        <v>56</v>
      </c>
      <c r="I82" s="454">
        <f t="shared" si="13"/>
        <v>426.69839199999996</v>
      </c>
      <c r="J82" s="468" t="s">
        <v>925</v>
      </c>
      <c r="K82" s="457" t="s">
        <v>216</v>
      </c>
      <c r="L82" s="454">
        <f t="shared" si="11"/>
        <v>64.004758799999991</v>
      </c>
      <c r="M82" s="454">
        <f t="shared" si="7"/>
        <v>17.067935679999998</v>
      </c>
      <c r="N82" s="455">
        <f t="shared" si="8"/>
        <v>8.533967839999999</v>
      </c>
      <c r="O82" s="455">
        <f t="shared" si="9"/>
        <v>8.533967839999999</v>
      </c>
      <c r="P82" s="452">
        <f t="shared" si="10"/>
        <v>29.868887439999998</v>
      </c>
    </row>
    <row r="83" spans="1:16">
      <c r="A83" s="449">
        <v>81</v>
      </c>
      <c r="B83" s="450" t="s">
        <v>1010</v>
      </c>
      <c r="C83" s="458" t="s">
        <v>931</v>
      </c>
      <c r="D83" s="254">
        <v>2685595</v>
      </c>
      <c r="E83" s="280">
        <v>5723981</v>
      </c>
      <c r="F83" s="457">
        <v>738.67</v>
      </c>
      <c r="G83" s="452">
        <f t="shared" si="12"/>
        <v>54.513846000000001</v>
      </c>
      <c r="H83" s="457">
        <v>64.8</v>
      </c>
      <c r="I83" s="454">
        <f t="shared" si="13"/>
        <v>619.35615400000006</v>
      </c>
      <c r="J83" s="468" t="s">
        <v>13</v>
      </c>
      <c r="K83" s="457" t="s">
        <v>14</v>
      </c>
      <c r="L83" s="454">
        <f t="shared" si="11"/>
        <v>92.903423100000012</v>
      </c>
      <c r="M83" s="454">
        <f t="shared" si="7"/>
        <v>24.774246160000004</v>
      </c>
      <c r="N83" s="455">
        <f t="shared" si="8"/>
        <v>12.387123080000002</v>
      </c>
      <c r="O83" s="455">
        <f t="shared" si="9"/>
        <v>12.387123080000002</v>
      </c>
      <c r="P83" s="452">
        <f t="shared" si="10"/>
        <v>43.354930780000004</v>
      </c>
    </row>
    <row r="84" spans="1:16">
      <c r="A84" s="449">
        <v>82</v>
      </c>
      <c r="B84" s="339" t="s">
        <v>1011</v>
      </c>
      <c r="C84" s="327" t="s">
        <v>31</v>
      </c>
      <c r="D84" s="400">
        <v>1003110794833</v>
      </c>
      <c r="E84" s="401">
        <v>5744775</v>
      </c>
      <c r="F84" s="294">
        <v>1333</v>
      </c>
      <c r="G84" s="294">
        <f t="shared" si="12"/>
        <v>98.375399999999999</v>
      </c>
      <c r="H84" s="294">
        <v>143.24</v>
      </c>
      <c r="I84" s="293">
        <f t="shared" si="13"/>
        <v>1091.3846000000001</v>
      </c>
      <c r="J84" s="329" t="s">
        <v>13</v>
      </c>
      <c r="K84" s="294" t="s">
        <v>17</v>
      </c>
      <c r="L84" s="293">
        <f t="shared" si="11"/>
        <v>163.70769000000001</v>
      </c>
      <c r="M84" s="293">
        <f t="shared" si="7"/>
        <v>43.655384000000005</v>
      </c>
      <c r="N84" s="296">
        <f t="shared" si="8"/>
        <v>21.827692000000003</v>
      </c>
      <c r="O84" s="296">
        <f t="shared" si="9"/>
        <v>21.827692000000003</v>
      </c>
      <c r="P84" s="294">
        <f t="shared" si="10"/>
        <v>76.396922000000018</v>
      </c>
    </row>
    <row r="85" spans="1:16">
      <c r="A85" s="449">
        <v>83</v>
      </c>
      <c r="B85" s="226" t="s">
        <v>1012</v>
      </c>
      <c r="C85" s="165" t="s">
        <v>559</v>
      </c>
      <c r="D85" s="382" t="s">
        <v>32</v>
      </c>
      <c r="E85" s="383">
        <v>5721073</v>
      </c>
      <c r="F85" s="168">
        <v>729.88</v>
      </c>
      <c r="G85" s="169">
        <f t="shared" si="12"/>
        <v>53.865144000000001</v>
      </c>
      <c r="H85" s="168">
        <v>95.04</v>
      </c>
      <c r="I85" s="170">
        <f t="shared" si="13"/>
        <v>580.97485600000005</v>
      </c>
      <c r="J85" s="167" t="s">
        <v>13</v>
      </c>
      <c r="K85" s="168" t="s">
        <v>14</v>
      </c>
      <c r="L85" s="170">
        <f t="shared" si="11"/>
        <v>87.146228399999998</v>
      </c>
      <c r="M85" s="170">
        <f t="shared" si="7"/>
        <v>23.238994240000004</v>
      </c>
      <c r="N85" s="171">
        <f t="shared" si="8"/>
        <v>11.619497120000002</v>
      </c>
      <c r="O85" s="171">
        <f t="shared" si="9"/>
        <v>11.619497120000002</v>
      </c>
      <c r="P85" s="169">
        <f t="shared" si="10"/>
        <v>40.668239919999991</v>
      </c>
    </row>
    <row r="86" spans="1:16">
      <c r="A86" s="449">
        <v>84</v>
      </c>
      <c r="B86" s="450" t="s">
        <v>1013</v>
      </c>
      <c r="C86" s="458" t="s">
        <v>173</v>
      </c>
      <c r="D86" s="254">
        <v>2692184</v>
      </c>
      <c r="E86" s="280">
        <v>5701567</v>
      </c>
      <c r="F86" s="457">
        <v>1862.36</v>
      </c>
      <c r="G86" s="452">
        <f t="shared" si="12"/>
        <v>137.44216800000001</v>
      </c>
      <c r="H86" s="457">
        <v>163.37</v>
      </c>
      <c r="I86" s="454">
        <f t="shared" si="13"/>
        <v>1561.5478319999997</v>
      </c>
      <c r="J86" s="468" t="s">
        <v>925</v>
      </c>
      <c r="K86" s="457" t="s">
        <v>17</v>
      </c>
      <c r="L86" s="454">
        <f t="shared" si="11"/>
        <v>234.23217479999994</v>
      </c>
      <c r="M86" s="454">
        <f t="shared" si="7"/>
        <v>62.46191327999999</v>
      </c>
      <c r="N86" s="455">
        <f t="shared" si="8"/>
        <v>31.230956639999995</v>
      </c>
      <c r="O86" s="455">
        <f t="shared" si="9"/>
        <v>31.230956639999995</v>
      </c>
      <c r="P86" s="452">
        <f t="shared" si="10"/>
        <v>109.30834823999999</v>
      </c>
    </row>
    <row r="87" spans="1:16">
      <c r="A87" s="449">
        <v>85</v>
      </c>
      <c r="B87" s="450" t="s">
        <v>1014</v>
      </c>
      <c r="C87" s="458" t="s">
        <v>12</v>
      </c>
      <c r="D87" s="254">
        <v>1003110799755</v>
      </c>
      <c r="E87" s="280">
        <v>5745257</v>
      </c>
      <c r="F87" s="457">
        <v>735.93</v>
      </c>
      <c r="G87" s="452">
        <f t="shared" si="12"/>
        <v>54.311633999999998</v>
      </c>
      <c r="H87" s="457">
        <v>79.08</v>
      </c>
      <c r="I87" s="454">
        <f t="shared" si="13"/>
        <v>602.53836599999988</v>
      </c>
      <c r="J87" s="468" t="s">
        <v>13</v>
      </c>
      <c r="K87" s="457" t="s">
        <v>17</v>
      </c>
      <c r="L87" s="454">
        <f t="shared" si="11"/>
        <v>90.380754899999985</v>
      </c>
      <c r="M87" s="454">
        <f t="shared" si="7"/>
        <v>24.101534639999997</v>
      </c>
      <c r="N87" s="455">
        <f t="shared" si="8"/>
        <v>12.050767319999999</v>
      </c>
      <c r="O87" s="455">
        <f t="shared" si="9"/>
        <v>12.050767319999999</v>
      </c>
      <c r="P87" s="452">
        <f t="shared" si="10"/>
        <v>42.177685619999991</v>
      </c>
    </row>
    <row r="88" spans="1:16">
      <c r="A88" s="449">
        <v>86</v>
      </c>
      <c r="B88" s="450" t="s">
        <v>1015</v>
      </c>
      <c r="C88" s="458" t="s">
        <v>276</v>
      </c>
      <c r="D88" s="254">
        <v>1003110804458</v>
      </c>
      <c r="E88" s="280">
        <v>5738157</v>
      </c>
      <c r="F88" s="457">
        <v>694.09</v>
      </c>
      <c r="G88" s="452">
        <f t="shared" si="12"/>
        <v>51.223842000000005</v>
      </c>
      <c r="H88" s="457">
        <v>97.02</v>
      </c>
      <c r="I88" s="454">
        <f t="shared" si="13"/>
        <v>545.84615800000006</v>
      </c>
      <c r="J88" s="468" t="s">
        <v>13</v>
      </c>
      <c r="K88" s="457" t="s">
        <v>17</v>
      </c>
      <c r="L88" s="454">
        <f t="shared" si="11"/>
        <v>81.876923700000006</v>
      </c>
      <c r="M88" s="454">
        <f t="shared" si="7"/>
        <v>21.833846320000003</v>
      </c>
      <c r="N88" s="455">
        <f t="shared" si="8"/>
        <v>10.916923160000001</v>
      </c>
      <c r="O88" s="455">
        <f t="shared" si="9"/>
        <v>10.916923160000001</v>
      </c>
      <c r="P88" s="452">
        <f t="shared" si="10"/>
        <v>38.209231059999993</v>
      </c>
    </row>
    <row r="89" spans="1:16">
      <c r="A89" s="449">
        <v>87</v>
      </c>
      <c r="B89" s="450" t="s">
        <v>1016</v>
      </c>
      <c r="C89" s="458" t="s">
        <v>931</v>
      </c>
      <c r="D89" s="254">
        <v>1003110804469</v>
      </c>
      <c r="E89" s="280">
        <v>5749357</v>
      </c>
      <c r="F89" s="457">
        <v>681.61</v>
      </c>
      <c r="G89" s="452">
        <f t="shared" si="12"/>
        <v>50.302818000000002</v>
      </c>
      <c r="H89" s="457">
        <v>180.05</v>
      </c>
      <c r="I89" s="454">
        <f t="shared" si="13"/>
        <v>451.257182</v>
      </c>
      <c r="J89" s="468" t="s">
        <v>13</v>
      </c>
      <c r="K89" s="457" t="s">
        <v>17</v>
      </c>
      <c r="L89" s="454">
        <f t="shared" si="11"/>
        <v>67.688577299999992</v>
      </c>
      <c r="M89" s="454">
        <f t="shared" si="7"/>
        <v>18.050287279999999</v>
      </c>
      <c r="N89" s="455">
        <f t="shared" si="8"/>
        <v>9.0251436399999996</v>
      </c>
      <c r="O89" s="455">
        <f t="shared" si="9"/>
        <v>9.0251436399999996</v>
      </c>
      <c r="P89" s="452">
        <f t="shared" si="10"/>
        <v>31.58800273999999</v>
      </c>
    </row>
    <row r="90" spans="1:16">
      <c r="A90" s="449">
        <v>88</v>
      </c>
      <c r="B90" s="450" t="s">
        <v>1017</v>
      </c>
      <c r="C90" s="458" t="s">
        <v>931</v>
      </c>
      <c r="D90" s="254">
        <v>1003110804461</v>
      </c>
      <c r="E90" s="280">
        <v>5728096</v>
      </c>
      <c r="F90" s="457">
        <v>684.98</v>
      </c>
      <c r="G90" s="452">
        <f t="shared" si="12"/>
        <v>50.551524000000008</v>
      </c>
      <c r="H90" s="457">
        <v>0</v>
      </c>
      <c r="I90" s="454">
        <f t="shared" si="13"/>
        <v>634.42847600000005</v>
      </c>
      <c r="J90" s="468" t="s">
        <v>13</v>
      </c>
      <c r="K90" s="457" t="s">
        <v>332</v>
      </c>
      <c r="L90" s="454">
        <f t="shared" si="11"/>
        <v>95.164271400000004</v>
      </c>
      <c r="M90" s="454">
        <f t="shared" si="7"/>
        <v>25.377139040000003</v>
      </c>
      <c r="N90" s="455">
        <f t="shared" si="8"/>
        <v>12.688569520000001</v>
      </c>
      <c r="O90" s="455">
        <f t="shared" si="9"/>
        <v>12.688569520000001</v>
      </c>
      <c r="P90" s="452">
        <f t="shared" si="10"/>
        <v>44.409993319999998</v>
      </c>
    </row>
    <row r="91" spans="1:16">
      <c r="A91" s="449">
        <v>89</v>
      </c>
      <c r="B91" s="450" t="s">
        <v>1018</v>
      </c>
      <c r="C91" s="458" t="s">
        <v>931</v>
      </c>
      <c r="D91" s="254">
        <v>1003110804468</v>
      </c>
      <c r="E91" s="280">
        <v>5749889</v>
      </c>
      <c r="F91" s="457">
        <v>633.1</v>
      </c>
      <c r="G91" s="452">
        <f t="shared" si="12"/>
        <v>46.722780000000007</v>
      </c>
      <c r="H91" s="457">
        <v>68.03</v>
      </c>
      <c r="I91" s="454">
        <f t="shared" si="13"/>
        <v>518.34721999999999</v>
      </c>
      <c r="J91" s="468" t="s">
        <v>13</v>
      </c>
      <c r="K91" s="457" t="s">
        <v>17</v>
      </c>
      <c r="L91" s="454">
        <f t="shared" si="11"/>
        <v>77.752082999999999</v>
      </c>
      <c r="M91" s="454">
        <f t="shared" si="7"/>
        <v>20.733888799999999</v>
      </c>
      <c r="N91" s="455">
        <f t="shared" si="8"/>
        <v>10.3669444</v>
      </c>
      <c r="O91" s="455">
        <f t="shared" si="9"/>
        <v>10.3669444</v>
      </c>
      <c r="P91" s="452">
        <f t="shared" si="10"/>
        <v>36.284305399999994</v>
      </c>
    </row>
    <row r="92" spans="1:16">
      <c r="A92" s="449">
        <v>90</v>
      </c>
      <c r="B92" s="450" t="s">
        <v>1019</v>
      </c>
      <c r="C92" s="458" t="s">
        <v>559</v>
      </c>
      <c r="D92" s="254">
        <v>1003110808826</v>
      </c>
      <c r="E92" s="280">
        <v>5753441</v>
      </c>
      <c r="F92" s="457">
        <v>506.18</v>
      </c>
      <c r="G92" s="452">
        <f t="shared" si="12"/>
        <v>37.356084000000003</v>
      </c>
      <c r="H92" s="457">
        <v>0</v>
      </c>
      <c r="I92" s="454">
        <f t="shared" si="13"/>
        <v>468.823916</v>
      </c>
      <c r="J92" s="468" t="s">
        <v>13</v>
      </c>
      <c r="K92" s="457" t="s">
        <v>332</v>
      </c>
      <c r="L92" s="454">
        <f t="shared" si="11"/>
        <v>70.323587399999994</v>
      </c>
      <c r="M92" s="454">
        <f t="shared" si="7"/>
        <v>18.752956640000001</v>
      </c>
      <c r="N92" s="455">
        <f t="shared" si="8"/>
        <v>9.3764783200000004</v>
      </c>
      <c r="O92" s="455">
        <f t="shared" si="9"/>
        <v>9.3764783200000004</v>
      </c>
      <c r="P92" s="452">
        <f t="shared" si="10"/>
        <v>32.817674119999992</v>
      </c>
    </row>
    <row r="93" spans="1:16">
      <c r="A93" s="449">
        <v>91</v>
      </c>
      <c r="B93" s="450" t="s">
        <v>354</v>
      </c>
      <c r="C93" s="458" t="s">
        <v>300</v>
      </c>
      <c r="D93" s="254">
        <v>2689710</v>
      </c>
      <c r="E93" s="280">
        <v>5753771</v>
      </c>
      <c r="F93" s="457">
        <v>459.7</v>
      </c>
      <c r="G93" s="452">
        <f t="shared" si="12"/>
        <v>33.92586</v>
      </c>
      <c r="H93" s="457">
        <v>45.97</v>
      </c>
      <c r="I93" s="454">
        <f t="shared" si="13"/>
        <v>379.80413999999996</v>
      </c>
      <c r="J93" s="468" t="s">
        <v>925</v>
      </c>
      <c r="K93" s="457" t="s">
        <v>17</v>
      </c>
      <c r="L93" s="454">
        <f t="shared" si="11"/>
        <v>56.970620999999994</v>
      </c>
      <c r="M93" s="454">
        <f t="shared" si="7"/>
        <v>15.192165599999999</v>
      </c>
      <c r="N93" s="455">
        <f t="shared" si="8"/>
        <v>7.5960827999999996</v>
      </c>
      <c r="O93" s="455">
        <f t="shared" si="9"/>
        <v>7.5960827999999996</v>
      </c>
      <c r="P93" s="452">
        <f t="shared" si="10"/>
        <v>26.586289800000003</v>
      </c>
    </row>
    <row r="94" spans="1:16">
      <c r="A94" s="449">
        <v>92</v>
      </c>
      <c r="B94" s="450" t="s">
        <v>1020</v>
      </c>
      <c r="C94" s="458" t="s">
        <v>1021</v>
      </c>
      <c r="D94" s="254">
        <v>2746829</v>
      </c>
      <c r="E94" s="280" t="s">
        <v>1022</v>
      </c>
      <c r="F94" s="457">
        <v>558.44000000000005</v>
      </c>
      <c r="G94" s="452">
        <f t="shared" si="12"/>
        <v>41.212872000000004</v>
      </c>
      <c r="H94" s="457">
        <v>48.99</v>
      </c>
      <c r="I94" s="454">
        <f t="shared" si="13"/>
        <v>468.23712799999998</v>
      </c>
      <c r="J94" s="468" t="s">
        <v>925</v>
      </c>
      <c r="K94" s="457" t="s">
        <v>17</v>
      </c>
      <c r="L94" s="454">
        <f t="shared" si="11"/>
        <v>70.2355692</v>
      </c>
      <c r="M94" s="454">
        <f t="shared" si="7"/>
        <v>18.72948512</v>
      </c>
      <c r="N94" s="455">
        <f t="shared" si="8"/>
        <v>9.3647425599999998</v>
      </c>
      <c r="O94" s="455">
        <f t="shared" si="9"/>
        <v>9.3647425599999998</v>
      </c>
      <c r="P94" s="452">
        <f t="shared" si="10"/>
        <v>32.776598960000001</v>
      </c>
    </row>
    <row r="95" spans="1:16">
      <c r="A95" s="449">
        <v>93</v>
      </c>
      <c r="B95" s="473" t="s">
        <v>545</v>
      </c>
      <c r="C95" s="458" t="s">
        <v>12</v>
      </c>
      <c r="D95" s="254">
        <v>100311820637</v>
      </c>
      <c r="E95" s="280">
        <v>5757179</v>
      </c>
      <c r="F95" s="457">
        <v>517.85</v>
      </c>
      <c r="G95" s="452">
        <f t="shared" si="12"/>
        <v>38.217330000000004</v>
      </c>
      <c r="H95" s="457">
        <v>0</v>
      </c>
      <c r="I95" s="454">
        <f t="shared" si="13"/>
        <v>479.63267000000002</v>
      </c>
      <c r="J95" s="468" t="s">
        <v>13</v>
      </c>
      <c r="K95" s="457" t="s">
        <v>332</v>
      </c>
      <c r="L95" s="454">
        <f t="shared" si="11"/>
        <v>71.944900500000003</v>
      </c>
      <c r="M95" s="454">
        <f t="shared" si="7"/>
        <v>19.185306800000003</v>
      </c>
      <c r="N95" s="455">
        <f t="shared" si="8"/>
        <v>9.5926534000000014</v>
      </c>
      <c r="O95" s="455">
        <f t="shared" si="9"/>
        <v>9.5926534000000014</v>
      </c>
      <c r="P95" s="452">
        <f t="shared" si="10"/>
        <v>33.57428689999999</v>
      </c>
    </row>
    <row r="96" spans="1:16">
      <c r="A96" s="449">
        <v>94</v>
      </c>
      <c r="B96" s="450" t="s">
        <v>1023</v>
      </c>
      <c r="C96" s="458" t="s">
        <v>931</v>
      </c>
      <c r="D96" s="254">
        <v>36201957</v>
      </c>
      <c r="E96" s="280" t="s">
        <v>1024</v>
      </c>
      <c r="F96" s="457">
        <v>1039.08</v>
      </c>
      <c r="G96" s="452">
        <f t="shared" si="12"/>
        <v>76.684104000000005</v>
      </c>
      <c r="H96" s="457">
        <v>86.59</v>
      </c>
      <c r="I96" s="454">
        <f t="shared" si="13"/>
        <v>875.80589599999985</v>
      </c>
      <c r="J96" s="468" t="s">
        <v>925</v>
      </c>
      <c r="K96" s="457" t="s">
        <v>17</v>
      </c>
      <c r="L96" s="454">
        <f t="shared" si="11"/>
        <v>131.37088439999997</v>
      </c>
      <c r="M96" s="454">
        <f t="shared" si="7"/>
        <v>35.032235839999991</v>
      </c>
      <c r="N96" s="455">
        <f t="shared" si="8"/>
        <v>17.516117919999996</v>
      </c>
      <c r="O96" s="455">
        <f t="shared" si="9"/>
        <v>17.516117919999996</v>
      </c>
      <c r="P96" s="452">
        <f t="shared" si="10"/>
        <v>61.306412719999969</v>
      </c>
    </row>
    <row r="97" spans="1:16">
      <c r="A97" s="449">
        <v>95</v>
      </c>
      <c r="B97" s="339" t="s">
        <v>1025</v>
      </c>
      <c r="C97" s="327" t="s">
        <v>234</v>
      </c>
      <c r="D97" s="400">
        <v>100310831160</v>
      </c>
      <c r="E97" s="401">
        <v>5755614</v>
      </c>
      <c r="F97" s="294">
        <v>644.91999999999996</v>
      </c>
      <c r="G97" s="294">
        <f t="shared" si="12"/>
        <v>47.595095999999998</v>
      </c>
      <c r="H97" s="294">
        <v>69.3</v>
      </c>
      <c r="I97" s="293">
        <f t="shared" si="13"/>
        <v>528.02490399999999</v>
      </c>
      <c r="J97" s="329" t="s">
        <v>13</v>
      </c>
      <c r="K97" s="294" t="s">
        <v>17</v>
      </c>
      <c r="L97" s="293">
        <f t="shared" si="11"/>
        <v>79.203735600000002</v>
      </c>
      <c r="M97" s="293">
        <f t="shared" si="7"/>
        <v>21.120996160000001</v>
      </c>
      <c r="N97" s="296">
        <f t="shared" si="8"/>
        <v>10.56049808</v>
      </c>
      <c r="O97" s="296">
        <f t="shared" si="9"/>
        <v>10.56049808</v>
      </c>
      <c r="P97" s="294">
        <f t="shared" si="10"/>
        <v>36.961743279999993</v>
      </c>
    </row>
    <row r="98" spans="1:16">
      <c r="A98" s="449">
        <v>96</v>
      </c>
      <c r="B98" s="339" t="s">
        <v>1026</v>
      </c>
      <c r="C98" s="327" t="s">
        <v>12</v>
      </c>
      <c r="D98" s="400">
        <v>1003110811627</v>
      </c>
      <c r="E98" s="401">
        <v>5755378</v>
      </c>
      <c r="F98" s="294">
        <v>722.68</v>
      </c>
      <c r="G98" s="294">
        <f t="shared" si="12"/>
        <v>53.333784000000001</v>
      </c>
      <c r="H98" s="294">
        <v>77.650000000000006</v>
      </c>
      <c r="I98" s="293">
        <f t="shared" si="13"/>
        <v>591.69621599999994</v>
      </c>
      <c r="J98" s="329" t="s">
        <v>13</v>
      </c>
      <c r="K98" s="294" t="s">
        <v>164</v>
      </c>
      <c r="L98" s="293">
        <f t="shared" si="11"/>
        <v>88.754432399999985</v>
      </c>
      <c r="M98" s="293">
        <f t="shared" si="7"/>
        <v>23.667848639999999</v>
      </c>
      <c r="N98" s="296">
        <f t="shared" si="8"/>
        <v>11.833924319999999</v>
      </c>
      <c r="O98" s="296">
        <f t="shared" si="9"/>
        <v>11.833924319999999</v>
      </c>
      <c r="P98" s="294">
        <f t="shared" si="10"/>
        <v>41.41873511999998</v>
      </c>
    </row>
    <row r="99" spans="1:16">
      <c r="A99" s="449">
        <v>97</v>
      </c>
      <c r="B99" s="450" t="s">
        <v>1027</v>
      </c>
      <c r="C99" s="458" t="s">
        <v>931</v>
      </c>
      <c r="D99" s="254">
        <v>2336108</v>
      </c>
      <c r="E99" s="280" t="s">
        <v>1028</v>
      </c>
      <c r="F99" s="457">
        <v>703.67</v>
      </c>
      <c r="G99" s="452">
        <f t="shared" si="12"/>
        <v>51.930846000000003</v>
      </c>
      <c r="H99" s="457">
        <v>0</v>
      </c>
      <c r="I99" s="454">
        <f t="shared" si="13"/>
        <v>651.73915399999998</v>
      </c>
      <c r="J99" s="468" t="s">
        <v>13</v>
      </c>
      <c r="K99" s="457" t="s">
        <v>17</v>
      </c>
      <c r="L99" s="454">
        <f t="shared" si="11"/>
        <v>97.760873099999998</v>
      </c>
      <c r="M99" s="454">
        <f t="shared" si="7"/>
        <v>26.069566160000001</v>
      </c>
      <c r="N99" s="455">
        <f t="shared" si="8"/>
        <v>13.03478308</v>
      </c>
      <c r="O99" s="455">
        <f t="shared" si="9"/>
        <v>13.03478308</v>
      </c>
      <c r="P99" s="452">
        <f t="shared" si="10"/>
        <v>45.62174078000001</v>
      </c>
    </row>
    <row r="100" spans="1:16">
      <c r="A100" s="449">
        <v>98</v>
      </c>
      <c r="B100" s="450" t="s">
        <v>1029</v>
      </c>
      <c r="C100" s="458" t="s">
        <v>12</v>
      </c>
      <c r="D100" s="254">
        <v>1003110820678</v>
      </c>
      <c r="E100" s="280">
        <v>5751983</v>
      </c>
      <c r="F100" s="457">
        <v>629.34</v>
      </c>
      <c r="G100" s="452">
        <f t="shared" si="12"/>
        <v>46.445292000000002</v>
      </c>
      <c r="H100" s="457">
        <v>314.67</v>
      </c>
      <c r="I100" s="454">
        <f t="shared" si="13"/>
        <v>268.22470800000002</v>
      </c>
      <c r="J100" s="468" t="s">
        <v>13</v>
      </c>
      <c r="K100" s="457" t="s">
        <v>51</v>
      </c>
      <c r="L100" s="454">
        <f t="shared" si="11"/>
        <v>40.2337062</v>
      </c>
      <c r="M100" s="454">
        <f t="shared" si="7"/>
        <v>10.728988320000001</v>
      </c>
      <c r="N100" s="455">
        <f t="shared" si="8"/>
        <v>5.3644941600000005</v>
      </c>
      <c r="O100" s="455">
        <f t="shared" si="9"/>
        <v>5.3644941600000005</v>
      </c>
      <c r="P100" s="452">
        <f t="shared" si="10"/>
        <v>18.775729560000002</v>
      </c>
    </row>
    <row r="101" spans="1:16">
      <c r="A101" s="449">
        <v>99</v>
      </c>
      <c r="B101" s="450" t="s">
        <v>1030</v>
      </c>
      <c r="C101" s="458" t="s">
        <v>931</v>
      </c>
      <c r="D101" s="254">
        <v>1003110820782</v>
      </c>
      <c r="E101" s="280">
        <v>5757057</v>
      </c>
      <c r="F101" s="457">
        <v>643.86</v>
      </c>
      <c r="G101" s="452">
        <f t="shared" si="12"/>
        <v>47.516868000000002</v>
      </c>
      <c r="H101" s="457">
        <v>214.62</v>
      </c>
      <c r="I101" s="454">
        <f t="shared" si="13"/>
        <v>381.72313199999996</v>
      </c>
      <c r="J101" s="468" t="s">
        <v>925</v>
      </c>
      <c r="K101" s="457" t="s">
        <v>17</v>
      </c>
      <c r="L101" s="454">
        <f t="shared" si="11"/>
        <v>57.258469799999993</v>
      </c>
      <c r="M101" s="454">
        <f t="shared" si="7"/>
        <v>15.268925279999999</v>
      </c>
      <c r="N101" s="455">
        <f t="shared" si="8"/>
        <v>7.6344626399999997</v>
      </c>
      <c r="O101" s="455">
        <f t="shared" si="9"/>
        <v>7.6344626399999997</v>
      </c>
      <c r="P101" s="452">
        <f t="shared" si="10"/>
        <v>26.720619239999994</v>
      </c>
    </row>
    <row r="102" spans="1:16">
      <c r="A102" s="449">
        <v>100</v>
      </c>
      <c r="B102" s="450" t="s">
        <v>1031</v>
      </c>
      <c r="C102" s="458" t="s">
        <v>931</v>
      </c>
      <c r="D102" s="254">
        <v>2702856</v>
      </c>
      <c r="E102" s="280" t="s">
        <v>1032</v>
      </c>
      <c r="F102" s="457">
        <v>1066.56</v>
      </c>
      <c r="G102" s="452">
        <f t="shared" si="12"/>
        <v>78.712128000000007</v>
      </c>
      <c r="H102" s="457">
        <v>266.64</v>
      </c>
      <c r="I102" s="454">
        <f t="shared" si="13"/>
        <v>721.20787199999995</v>
      </c>
      <c r="J102" s="468" t="s">
        <v>13</v>
      </c>
      <c r="K102" s="457" t="s">
        <v>17</v>
      </c>
      <c r="L102" s="454">
        <f t="shared" si="11"/>
        <v>108.18118079999999</v>
      </c>
      <c r="M102" s="454">
        <f t="shared" si="7"/>
        <v>28.84831488</v>
      </c>
      <c r="N102" s="455">
        <f t="shared" si="8"/>
        <v>14.42415744</v>
      </c>
      <c r="O102" s="455">
        <f t="shared" si="9"/>
        <v>14.42415744</v>
      </c>
      <c r="P102" s="452">
        <f t="shared" si="10"/>
        <v>50.484551039999985</v>
      </c>
    </row>
    <row r="103" spans="1:16">
      <c r="A103" s="449">
        <v>101</v>
      </c>
      <c r="B103" s="450" t="s">
        <v>1033</v>
      </c>
      <c r="C103" s="458" t="s">
        <v>31</v>
      </c>
      <c r="D103" s="254">
        <v>1003110823909</v>
      </c>
      <c r="E103" s="280">
        <v>5762307</v>
      </c>
      <c r="F103" s="457">
        <v>680.95</v>
      </c>
      <c r="G103" s="452">
        <f t="shared" si="12"/>
        <v>50.254110000000004</v>
      </c>
      <c r="H103" s="457">
        <v>179.88</v>
      </c>
      <c r="I103" s="454">
        <f t="shared" si="13"/>
        <v>450.81589000000008</v>
      </c>
      <c r="J103" s="468" t="s">
        <v>13</v>
      </c>
      <c r="K103" s="457" t="s">
        <v>17</v>
      </c>
      <c r="L103" s="454">
        <f t="shared" si="11"/>
        <v>67.622383500000012</v>
      </c>
      <c r="M103" s="454">
        <f t="shared" si="7"/>
        <v>18.032635600000003</v>
      </c>
      <c r="N103" s="455">
        <f t="shared" si="8"/>
        <v>9.0163178000000013</v>
      </c>
      <c r="O103" s="455">
        <f t="shared" si="9"/>
        <v>9.0163178000000013</v>
      </c>
      <c r="P103" s="452">
        <f t="shared" si="10"/>
        <v>31.5571123</v>
      </c>
    </row>
    <row r="104" spans="1:16">
      <c r="A104" s="449">
        <v>102</v>
      </c>
      <c r="B104" s="450" t="s">
        <v>1034</v>
      </c>
      <c r="C104" s="458" t="s">
        <v>931</v>
      </c>
      <c r="D104" s="254">
        <v>100311082236</v>
      </c>
      <c r="E104" s="280">
        <v>5761323</v>
      </c>
      <c r="F104" s="457">
        <v>638.09</v>
      </c>
      <c r="G104" s="452">
        <f t="shared" si="12"/>
        <v>47.091042000000009</v>
      </c>
      <c r="H104" s="457">
        <v>212.7</v>
      </c>
      <c r="I104" s="454">
        <f t="shared" si="13"/>
        <v>378.29895800000003</v>
      </c>
      <c r="J104" s="468" t="s">
        <v>13</v>
      </c>
      <c r="K104" s="457" t="s">
        <v>258</v>
      </c>
      <c r="L104" s="454">
        <f t="shared" si="11"/>
        <v>56.744843700000004</v>
      </c>
      <c r="M104" s="454">
        <f t="shared" si="7"/>
        <v>15.131958320000001</v>
      </c>
      <c r="N104" s="455">
        <f t="shared" si="8"/>
        <v>7.5659791600000004</v>
      </c>
      <c r="O104" s="455">
        <f t="shared" si="9"/>
        <v>7.5659791600000004</v>
      </c>
      <c r="P104" s="452">
        <f t="shared" si="10"/>
        <v>26.480927060000003</v>
      </c>
    </row>
    <row r="105" spans="1:16">
      <c r="A105" s="449"/>
      <c r="B105" s="450"/>
      <c r="C105" s="458"/>
      <c r="D105" s="254"/>
      <c r="E105" s="280"/>
      <c r="F105" s="457"/>
      <c r="G105" s="452">
        <f t="shared" si="12"/>
        <v>0</v>
      </c>
      <c r="H105" s="457"/>
      <c r="I105" s="454">
        <f t="shared" si="13"/>
        <v>0</v>
      </c>
      <c r="J105" s="468"/>
      <c r="K105" s="457"/>
      <c r="L105" s="452">
        <f t="shared" si="11"/>
        <v>0</v>
      </c>
      <c r="M105" s="454">
        <f t="shared" si="7"/>
        <v>0</v>
      </c>
      <c r="N105" s="455">
        <f t="shared" si="8"/>
        <v>0</v>
      </c>
      <c r="O105" s="455">
        <f t="shared" si="9"/>
        <v>0</v>
      </c>
      <c r="P105" s="452">
        <f t="shared" si="10"/>
        <v>0</v>
      </c>
    </row>
    <row r="106" spans="1:16">
      <c r="A106" s="3"/>
      <c r="B106" s="483"/>
      <c r="C106" s="483"/>
      <c r="D106" s="484"/>
      <c r="E106" s="483"/>
      <c r="F106" s="485"/>
      <c r="G106" s="485"/>
      <c r="H106" s="485"/>
      <c r="I106" s="485"/>
      <c r="J106" s="483"/>
      <c r="K106" s="486"/>
      <c r="L106" s="486"/>
      <c r="M106" s="486"/>
      <c r="N106" s="7"/>
      <c r="O106" s="7"/>
      <c r="P106" s="8"/>
    </row>
    <row r="107" spans="1:16" ht="15.6">
      <c r="A107" s="3"/>
      <c r="B107" s="4"/>
      <c r="C107" s="4"/>
      <c r="D107" s="13"/>
      <c r="E107" s="5" t="s">
        <v>11</v>
      </c>
      <c r="F107" s="6">
        <f>SUM(F3:F106)</f>
        <v>70697.81</v>
      </c>
      <c r="G107" s="6">
        <f>SUM(G3:G105)</f>
        <v>5217.498378000002</v>
      </c>
      <c r="H107" s="6">
        <f>SUM(H3:H105)</f>
        <v>8854.909999999998</v>
      </c>
      <c r="I107" s="6">
        <f>SUM(I3:I105)</f>
        <v>56625.401621999998</v>
      </c>
      <c r="J107" s="4"/>
      <c r="K107" s="9"/>
      <c r="L107" s="6">
        <f>SUM(L3:L105)</f>
        <v>8493.8102433000004</v>
      </c>
      <c r="M107" s="6">
        <f>SUM(M3:M105)</f>
        <v>2265.0160648800002</v>
      </c>
      <c r="N107" s="6">
        <f>SUM(N3:N105)</f>
        <v>1132.5080324400001</v>
      </c>
      <c r="O107" s="6">
        <f>SUM(O3:O105)</f>
        <v>1132.5080324400001</v>
      </c>
      <c r="P107" s="6">
        <f>SUM(P3:P105)</f>
        <v>3963.7781135399987</v>
      </c>
    </row>
  </sheetData>
  <autoFilter ref="D2:P105" xr:uid="{44B8A28D-1DB3-4A00-A80A-113F899D34A9}"/>
  <mergeCells count="1">
    <mergeCell ref="B1:Q1"/>
  </mergeCells>
  <pageMargins left="0.511811024" right="0.511811024" top="0.78740157499999996" bottom="0.78740157499999996" header="0.31496062000000002" footer="0.31496062000000002"/>
  <pageSetup paperSize="9" scale="53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81D6-BCA3-4DB8-AB03-07A998272111}">
  <dimension ref="A1:Q116"/>
  <sheetViews>
    <sheetView topLeftCell="A60" zoomScaleNormal="100" workbookViewId="0">
      <selection activeCell="C73" sqref="C73:P73"/>
    </sheetView>
  </sheetViews>
  <sheetFormatPr defaultRowHeight="14.4"/>
  <cols>
    <col min="2" max="2" width="44.44140625" customWidth="1"/>
    <col min="3" max="3" width="19.21875" customWidth="1"/>
    <col min="4" max="4" width="19" customWidth="1"/>
    <col min="5" max="5" width="15.77734375" customWidth="1"/>
    <col min="6" max="6" width="18.33203125" customWidth="1"/>
    <col min="7" max="7" width="12.21875" customWidth="1"/>
    <col min="8" max="8" width="12" customWidth="1"/>
    <col min="9" max="9" width="15.6640625" customWidth="1"/>
    <col min="10" max="10" width="16" customWidth="1"/>
    <col min="11" max="11" width="15.44140625" customWidth="1"/>
    <col min="12" max="12" width="13.33203125" customWidth="1"/>
    <col min="13" max="13" width="14.77734375" customWidth="1"/>
    <col min="14" max="14" width="16.88671875" customWidth="1"/>
    <col min="15" max="15" width="15" customWidth="1"/>
    <col min="16" max="16" width="19" customWidth="1"/>
    <col min="17" max="17" width="0.44140625" customWidth="1"/>
  </cols>
  <sheetData>
    <row r="1" spans="1:17" ht="23.4">
      <c r="B1" s="742" t="s">
        <v>1035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509">
        <v>1</v>
      </c>
      <c r="B3" s="510" t="s">
        <v>1036</v>
      </c>
      <c r="C3" s="511" t="s">
        <v>931</v>
      </c>
      <c r="D3" s="229">
        <v>1003110833213</v>
      </c>
      <c r="E3" s="230">
        <v>5767245</v>
      </c>
      <c r="F3" s="512">
        <v>896.58</v>
      </c>
      <c r="G3" s="513">
        <f>F3*7.38%</f>
        <v>66.167604000000011</v>
      </c>
      <c r="H3" s="514">
        <v>0</v>
      </c>
      <c r="I3" s="513">
        <f>F3-G3-H3</f>
        <v>830.41239600000006</v>
      </c>
      <c r="J3" s="509" t="s">
        <v>13</v>
      </c>
      <c r="K3" s="514" t="s">
        <v>166</v>
      </c>
      <c r="L3" s="515">
        <f>I3*15%</f>
        <v>124.5618594</v>
      </c>
      <c r="M3" s="515">
        <f t="shared" ref="M3:M66" si="0">I3*4%</f>
        <v>33.21649584</v>
      </c>
      <c r="N3" s="516">
        <f t="shared" ref="N3:N66" si="1">I3*2%</f>
        <v>16.60824792</v>
      </c>
      <c r="O3" s="516">
        <f t="shared" ref="O3:O66" si="2">I3*2%</f>
        <v>16.60824792</v>
      </c>
      <c r="P3" s="513">
        <f t="shared" ref="P3:P66" si="3">L3-M3-N3-O3</f>
        <v>58.128867720000017</v>
      </c>
    </row>
    <row r="4" spans="1:17">
      <c r="A4" s="509">
        <v>2</v>
      </c>
      <c r="B4" s="510" t="s">
        <v>1037</v>
      </c>
      <c r="C4" s="517" t="s">
        <v>1038</v>
      </c>
      <c r="D4" s="238">
        <v>2696279</v>
      </c>
      <c r="E4" s="230" t="s">
        <v>1039</v>
      </c>
      <c r="F4" s="512">
        <v>573.72</v>
      </c>
      <c r="G4" s="513">
        <f>F4*7.38%</f>
        <v>42.340536000000007</v>
      </c>
      <c r="H4" s="518">
        <v>57.38</v>
      </c>
      <c r="I4" s="513">
        <f>F4-G4-H4</f>
        <v>473.99946399999999</v>
      </c>
      <c r="J4" s="519" t="s">
        <v>38</v>
      </c>
      <c r="K4" s="518" t="s">
        <v>330</v>
      </c>
      <c r="L4" s="515">
        <f t="shared" ref="L4:L67" si="4">I4*15%</f>
        <v>71.099919599999993</v>
      </c>
      <c r="M4" s="515">
        <f t="shared" si="0"/>
        <v>18.95997856</v>
      </c>
      <c r="N4" s="516">
        <f t="shared" si="1"/>
        <v>9.4799892799999999</v>
      </c>
      <c r="O4" s="516">
        <f t="shared" si="2"/>
        <v>9.4799892799999999</v>
      </c>
      <c r="P4" s="513">
        <f t="shared" si="3"/>
        <v>33.17996248</v>
      </c>
    </row>
    <row r="5" spans="1:17">
      <c r="A5" s="509">
        <v>3</v>
      </c>
      <c r="B5" s="520" t="s">
        <v>161</v>
      </c>
      <c r="C5" s="509" t="s">
        <v>931</v>
      </c>
      <c r="D5" s="242">
        <v>36226633</v>
      </c>
      <c r="E5" s="243">
        <v>5767001</v>
      </c>
      <c r="F5" s="521">
        <v>983.2</v>
      </c>
      <c r="G5" s="513">
        <f t="shared" ref="G5:G68" si="5">F5*7.38%</f>
        <v>72.56016000000001</v>
      </c>
      <c r="H5" s="522">
        <v>128.38</v>
      </c>
      <c r="I5" s="513">
        <f t="shared" ref="I5:I68" si="6">F5-G5-H5</f>
        <v>782.25984000000005</v>
      </c>
      <c r="J5" s="509" t="s">
        <v>13</v>
      </c>
      <c r="K5" s="514" t="s">
        <v>17</v>
      </c>
      <c r="L5" s="515">
        <f t="shared" si="4"/>
        <v>117.338976</v>
      </c>
      <c r="M5" s="515">
        <f t="shared" si="0"/>
        <v>31.290393600000002</v>
      </c>
      <c r="N5" s="516">
        <f t="shared" si="1"/>
        <v>15.645196800000001</v>
      </c>
      <c r="O5" s="516">
        <f t="shared" si="2"/>
        <v>15.645196800000001</v>
      </c>
      <c r="P5" s="513">
        <f t="shared" si="3"/>
        <v>54.758188800000006</v>
      </c>
    </row>
    <row r="6" spans="1:17">
      <c r="A6" s="509">
        <v>4</v>
      </c>
      <c r="B6" s="510" t="s">
        <v>1040</v>
      </c>
      <c r="C6" s="519" t="s">
        <v>559</v>
      </c>
      <c r="D6" s="246">
        <v>2699960</v>
      </c>
      <c r="E6" s="191">
        <v>5768545</v>
      </c>
      <c r="F6" s="523">
        <v>889.31</v>
      </c>
      <c r="G6" s="524">
        <f t="shared" si="5"/>
        <v>65.631078000000002</v>
      </c>
      <c r="H6" s="518">
        <v>78.010000000000005</v>
      </c>
      <c r="I6" s="524">
        <f t="shared" si="6"/>
        <v>745.66892199999995</v>
      </c>
      <c r="J6" s="519" t="s">
        <v>38</v>
      </c>
      <c r="K6" s="518" t="s">
        <v>17</v>
      </c>
      <c r="L6" s="515">
        <f t="shared" si="4"/>
        <v>111.85033829999999</v>
      </c>
      <c r="M6" s="515">
        <f t="shared" si="0"/>
        <v>29.826756879999998</v>
      </c>
      <c r="N6" s="516">
        <f t="shared" si="1"/>
        <v>14.913378439999999</v>
      </c>
      <c r="O6" s="516">
        <f t="shared" si="2"/>
        <v>14.913378439999999</v>
      </c>
      <c r="P6" s="513">
        <f t="shared" si="3"/>
        <v>52.196824539999994</v>
      </c>
    </row>
    <row r="7" spans="1:17">
      <c r="A7" s="509">
        <v>5</v>
      </c>
      <c r="B7" s="520" t="s">
        <v>1041</v>
      </c>
      <c r="C7" s="509" t="s">
        <v>31</v>
      </c>
      <c r="D7" s="246">
        <v>1003110834238</v>
      </c>
      <c r="E7" s="191">
        <v>5766836</v>
      </c>
      <c r="F7" s="514">
        <v>650.02</v>
      </c>
      <c r="G7" s="524">
        <f t="shared" si="5"/>
        <v>47.971476000000003</v>
      </c>
      <c r="H7" s="514">
        <v>69.849999999999994</v>
      </c>
      <c r="I7" s="524">
        <f t="shared" si="6"/>
        <v>532.19852399999991</v>
      </c>
      <c r="J7" s="509" t="s">
        <v>13</v>
      </c>
      <c r="K7" s="514" t="s">
        <v>14</v>
      </c>
      <c r="L7" s="515">
        <f t="shared" si="4"/>
        <v>79.829778599999983</v>
      </c>
      <c r="M7" s="515">
        <f t="shared" si="0"/>
        <v>21.287940959999997</v>
      </c>
      <c r="N7" s="516">
        <f t="shared" si="1"/>
        <v>10.643970479999998</v>
      </c>
      <c r="O7" s="516">
        <f t="shared" si="2"/>
        <v>10.643970479999998</v>
      </c>
      <c r="P7" s="513">
        <f t="shared" si="3"/>
        <v>37.253896679999983</v>
      </c>
    </row>
    <row r="8" spans="1:17">
      <c r="A8" s="509">
        <v>6</v>
      </c>
      <c r="B8" s="510" t="s">
        <v>1042</v>
      </c>
      <c r="C8" s="519" t="s">
        <v>173</v>
      </c>
      <c r="D8" s="249">
        <v>1003110836506</v>
      </c>
      <c r="E8" s="250">
        <v>5768443</v>
      </c>
      <c r="F8" s="518">
        <v>626.23099999999999</v>
      </c>
      <c r="G8" s="524">
        <f t="shared" si="5"/>
        <v>46.215847800000006</v>
      </c>
      <c r="H8" s="518">
        <v>67.290000000000006</v>
      </c>
      <c r="I8" s="524">
        <f>F8-G8-H8</f>
        <v>512.72515220000003</v>
      </c>
      <c r="J8" s="519" t="s">
        <v>13</v>
      </c>
      <c r="K8" s="518" t="s">
        <v>17</v>
      </c>
      <c r="L8" s="515">
        <f t="shared" si="4"/>
        <v>76.908772830000004</v>
      </c>
      <c r="M8" s="515">
        <f t="shared" si="0"/>
        <v>20.509006088000003</v>
      </c>
      <c r="N8" s="516">
        <f t="shared" si="1"/>
        <v>10.254503044000002</v>
      </c>
      <c r="O8" s="516">
        <f t="shared" si="2"/>
        <v>10.254503044000002</v>
      </c>
      <c r="P8" s="513">
        <f t="shared" si="3"/>
        <v>35.89076065399999</v>
      </c>
    </row>
    <row r="9" spans="1:17">
      <c r="A9" s="509">
        <v>7</v>
      </c>
      <c r="B9" s="596" t="s">
        <v>1043</v>
      </c>
      <c r="C9" s="597" t="s">
        <v>1038</v>
      </c>
      <c r="D9" s="586" t="s">
        <v>1157</v>
      </c>
      <c r="E9" s="598">
        <v>5766545</v>
      </c>
      <c r="F9" s="599">
        <v>792.69</v>
      </c>
      <c r="G9" s="600">
        <f t="shared" si="5"/>
        <v>58.500522000000011</v>
      </c>
      <c r="H9" s="601">
        <v>69.540000000000006</v>
      </c>
      <c r="I9" s="600">
        <f>F9-G9-H9</f>
        <v>664.64947800000004</v>
      </c>
      <c r="J9" s="597" t="s">
        <v>38</v>
      </c>
      <c r="K9" s="601" t="s">
        <v>40</v>
      </c>
      <c r="L9" s="592">
        <f t="shared" si="4"/>
        <v>99.697421700000007</v>
      </c>
      <c r="M9" s="592">
        <f t="shared" si="0"/>
        <v>26.585979120000001</v>
      </c>
      <c r="N9" s="594">
        <f>I9*2%</f>
        <v>13.292989560000001</v>
      </c>
      <c r="O9" s="594">
        <f t="shared" si="2"/>
        <v>13.292989560000001</v>
      </c>
      <c r="P9" s="591">
        <f t="shared" si="3"/>
        <v>46.525463459999997</v>
      </c>
    </row>
    <row r="10" spans="1:17">
      <c r="A10" s="509">
        <v>8</v>
      </c>
      <c r="B10" s="525" t="s">
        <v>1044</v>
      </c>
      <c r="C10" s="519" t="s">
        <v>247</v>
      </c>
      <c r="D10" s="254">
        <v>36203002</v>
      </c>
      <c r="E10" s="255" t="s">
        <v>1045</v>
      </c>
      <c r="F10" s="526">
        <v>443.32</v>
      </c>
      <c r="G10" s="524">
        <f t="shared" si="5"/>
        <v>32.717016000000001</v>
      </c>
      <c r="H10" s="518">
        <v>57.86</v>
      </c>
      <c r="I10" s="524">
        <f t="shared" si="6"/>
        <v>352.74298399999998</v>
      </c>
      <c r="J10" s="527" t="s">
        <v>13</v>
      </c>
      <c r="K10" s="518" t="s">
        <v>40</v>
      </c>
      <c r="L10" s="515">
        <f t="shared" si="4"/>
        <v>52.911447599999995</v>
      </c>
      <c r="M10" s="515">
        <f t="shared" si="0"/>
        <v>14.10971936</v>
      </c>
      <c r="N10" s="516">
        <f t="shared" si="1"/>
        <v>7.0548596799999999</v>
      </c>
      <c r="O10" s="516">
        <f t="shared" si="2"/>
        <v>7.0548596799999999</v>
      </c>
      <c r="P10" s="513">
        <f t="shared" si="3"/>
        <v>24.692008879999996</v>
      </c>
    </row>
    <row r="11" spans="1:17">
      <c r="A11" s="509">
        <v>9</v>
      </c>
      <c r="B11" s="525" t="s">
        <v>1046</v>
      </c>
      <c r="C11" s="509" t="s">
        <v>31</v>
      </c>
      <c r="D11" s="251">
        <v>2700272</v>
      </c>
      <c r="E11" s="191" t="s">
        <v>1047</v>
      </c>
      <c r="F11" s="528">
        <v>794.64</v>
      </c>
      <c r="G11" s="524">
        <f t="shared" si="5"/>
        <v>58.644432000000002</v>
      </c>
      <c r="H11" s="514">
        <v>0</v>
      </c>
      <c r="I11" s="529">
        <f t="shared" si="6"/>
        <v>735.99556799999993</v>
      </c>
      <c r="J11" s="530" t="s">
        <v>13</v>
      </c>
      <c r="K11" s="514" t="s">
        <v>17</v>
      </c>
      <c r="L11" s="515">
        <f t="shared" si="4"/>
        <v>110.39933519999998</v>
      </c>
      <c r="M11" s="515">
        <f t="shared" si="0"/>
        <v>29.439822719999999</v>
      </c>
      <c r="N11" s="516">
        <f t="shared" si="1"/>
        <v>14.719911359999999</v>
      </c>
      <c r="O11" s="531">
        <f t="shared" si="2"/>
        <v>14.719911359999999</v>
      </c>
      <c r="P11" s="515">
        <f t="shared" si="3"/>
        <v>51.519689759999991</v>
      </c>
    </row>
    <row r="12" spans="1:17">
      <c r="A12" s="509">
        <v>10</v>
      </c>
      <c r="B12" s="532" t="s">
        <v>1048</v>
      </c>
      <c r="C12" s="160" t="s">
        <v>1038</v>
      </c>
      <c r="D12" s="254">
        <v>2027045204</v>
      </c>
      <c r="E12" s="262">
        <v>5771808</v>
      </c>
      <c r="F12" s="533">
        <v>494.31</v>
      </c>
      <c r="G12" s="524">
        <f t="shared" si="5"/>
        <v>36.480077999999999</v>
      </c>
      <c r="H12" s="518">
        <v>0</v>
      </c>
      <c r="I12" s="524">
        <f t="shared" si="6"/>
        <v>457.82992200000001</v>
      </c>
      <c r="J12" s="530" t="s">
        <v>13</v>
      </c>
      <c r="K12" s="518" t="s">
        <v>17</v>
      </c>
      <c r="L12" s="515">
        <f t="shared" si="4"/>
        <v>68.674488299999993</v>
      </c>
      <c r="M12" s="515">
        <f t="shared" si="0"/>
        <v>18.31319688</v>
      </c>
      <c r="N12" s="516">
        <f t="shared" si="1"/>
        <v>9.1565984399999998</v>
      </c>
      <c r="O12" s="516">
        <f t="shared" si="2"/>
        <v>9.1565984399999998</v>
      </c>
      <c r="P12" s="513">
        <f t="shared" si="3"/>
        <v>32.048094539999994</v>
      </c>
    </row>
    <row r="13" spans="1:17">
      <c r="A13" s="509">
        <v>11</v>
      </c>
      <c r="B13" s="525" t="s">
        <v>1049</v>
      </c>
      <c r="C13" s="509" t="s">
        <v>12</v>
      </c>
      <c r="D13" s="251">
        <v>2702880</v>
      </c>
      <c r="E13" s="191">
        <v>5772433</v>
      </c>
      <c r="F13" s="533">
        <v>683.75</v>
      </c>
      <c r="G13" s="529">
        <f t="shared" si="5"/>
        <v>50.460750000000004</v>
      </c>
      <c r="H13" s="514">
        <v>0</v>
      </c>
      <c r="I13" s="529">
        <f t="shared" si="6"/>
        <v>633.28925000000004</v>
      </c>
      <c r="J13" s="530" t="s">
        <v>13</v>
      </c>
      <c r="K13" s="514" t="s">
        <v>182</v>
      </c>
      <c r="L13" s="515">
        <f t="shared" si="4"/>
        <v>94.993387499999997</v>
      </c>
      <c r="M13" s="515">
        <f t="shared" si="0"/>
        <v>25.331570000000003</v>
      </c>
      <c r="N13" s="516">
        <f t="shared" si="1"/>
        <v>12.665785000000001</v>
      </c>
      <c r="O13" s="531">
        <f t="shared" si="2"/>
        <v>12.665785000000001</v>
      </c>
      <c r="P13" s="515">
        <f t="shared" si="3"/>
        <v>44.330247499999999</v>
      </c>
    </row>
    <row r="14" spans="1:17">
      <c r="A14" s="509">
        <v>12</v>
      </c>
      <c r="B14" s="159" t="s">
        <v>1042</v>
      </c>
      <c r="C14" s="519" t="s">
        <v>173</v>
      </c>
      <c r="D14" s="264">
        <v>1003110836506</v>
      </c>
      <c r="E14" s="262">
        <v>5768443</v>
      </c>
      <c r="F14" s="533">
        <v>626.21</v>
      </c>
      <c r="G14" s="524">
        <f t="shared" si="5"/>
        <v>46.214298000000007</v>
      </c>
      <c r="H14" s="518">
        <v>67.290000000000006</v>
      </c>
      <c r="I14" s="524">
        <f t="shared" si="6"/>
        <v>512.70570200000009</v>
      </c>
      <c r="J14" s="527" t="s">
        <v>13</v>
      </c>
      <c r="K14" s="518" t="s">
        <v>17</v>
      </c>
      <c r="L14" s="515">
        <f t="shared" si="4"/>
        <v>76.905855300000013</v>
      </c>
      <c r="M14" s="515">
        <f t="shared" si="0"/>
        <v>20.508228080000006</v>
      </c>
      <c r="N14" s="516">
        <f t="shared" si="1"/>
        <v>10.254114040000003</v>
      </c>
      <c r="O14" s="516">
        <f t="shared" si="2"/>
        <v>10.254114040000003</v>
      </c>
      <c r="P14" s="513">
        <f t="shared" si="3"/>
        <v>35.889399139999995</v>
      </c>
    </row>
    <row r="15" spans="1:17">
      <c r="A15" s="509">
        <v>13</v>
      </c>
      <c r="B15" s="534" t="s">
        <v>1050</v>
      </c>
      <c r="C15" s="509" t="s">
        <v>931</v>
      </c>
      <c r="D15" s="266">
        <v>1003110851238</v>
      </c>
      <c r="E15" s="262">
        <v>5771053</v>
      </c>
      <c r="F15" s="535">
        <v>790.8</v>
      </c>
      <c r="G15" s="529">
        <f t="shared" si="5"/>
        <v>58.361040000000003</v>
      </c>
      <c r="H15" s="518">
        <v>263.60000000000002</v>
      </c>
      <c r="I15" s="529">
        <f t="shared" si="6"/>
        <v>468.83895999999993</v>
      </c>
      <c r="J15" s="530" t="s">
        <v>38</v>
      </c>
      <c r="K15" s="514" t="s">
        <v>258</v>
      </c>
      <c r="L15" s="515">
        <f t="shared" si="4"/>
        <v>70.325843999999989</v>
      </c>
      <c r="M15" s="515">
        <f t="shared" si="0"/>
        <v>18.753558399999999</v>
      </c>
      <c r="N15" s="516">
        <f t="shared" si="1"/>
        <v>9.3767791999999996</v>
      </c>
      <c r="O15" s="531">
        <f t="shared" si="2"/>
        <v>9.3767791999999996</v>
      </c>
      <c r="P15" s="515">
        <f t="shared" si="3"/>
        <v>32.818727199999984</v>
      </c>
    </row>
    <row r="16" spans="1:17">
      <c r="A16" s="509">
        <v>14</v>
      </c>
      <c r="B16" s="532" t="s">
        <v>1051</v>
      </c>
      <c r="C16" s="517" t="s">
        <v>931</v>
      </c>
      <c r="D16" s="251">
        <v>2700322</v>
      </c>
      <c r="E16" s="268">
        <v>5778132</v>
      </c>
      <c r="F16" s="533">
        <v>1016.21</v>
      </c>
      <c r="G16" s="524">
        <f t="shared" si="5"/>
        <v>74.99629800000001</v>
      </c>
      <c r="H16" s="518">
        <v>89.14</v>
      </c>
      <c r="I16" s="524">
        <f t="shared" si="6"/>
        <v>852.07370200000003</v>
      </c>
      <c r="J16" s="527" t="s">
        <v>38</v>
      </c>
      <c r="K16" s="518" t="s">
        <v>25</v>
      </c>
      <c r="L16" s="515">
        <f t="shared" si="4"/>
        <v>127.81105529999999</v>
      </c>
      <c r="M16" s="515">
        <f t="shared" si="0"/>
        <v>34.082948080000001</v>
      </c>
      <c r="N16" s="516">
        <f t="shared" si="1"/>
        <v>17.041474040000001</v>
      </c>
      <c r="O16" s="516">
        <f t="shared" si="2"/>
        <v>17.041474040000001</v>
      </c>
      <c r="P16" s="513">
        <f t="shared" si="3"/>
        <v>59.645159140000004</v>
      </c>
    </row>
    <row r="17" spans="1:17">
      <c r="A17" s="509">
        <v>15</v>
      </c>
      <c r="B17" s="534" t="s">
        <v>1052</v>
      </c>
      <c r="C17" s="536" t="s">
        <v>173</v>
      </c>
      <c r="D17" s="246">
        <v>1003110849984</v>
      </c>
      <c r="E17" s="270">
        <v>5777741</v>
      </c>
      <c r="F17" s="514">
        <v>535.27</v>
      </c>
      <c r="G17" s="529">
        <f t="shared" si="5"/>
        <v>39.502926000000002</v>
      </c>
      <c r="H17" s="518">
        <v>57.52</v>
      </c>
      <c r="I17" s="529">
        <f t="shared" si="6"/>
        <v>438.247074</v>
      </c>
      <c r="J17" s="530" t="s">
        <v>13</v>
      </c>
      <c r="K17" s="514" t="s">
        <v>332</v>
      </c>
      <c r="L17" s="515">
        <f t="shared" si="4"/>
        <v>65.737061099999991</v>
      </c>
      <c r="M17" s="515">
        <f t="shared" si="0"/>
        <v>17.529882960000002</v>
      </c>
      <c r="N17" s="516">
        <f t="shared" si="1"/>
        <v>8.764941480000001</v>
      </c>
      <c r="O17" s="531">
        <f t="shared" si="2"/>
        <v>8.764941480000001</v>
      </c>
      <c r="P17" s="515">
        <f t="shared" si="3"/>
        <v>30.677295179999991</v>
      </c>
    </row>
    <row r="18" spans="1:17">
      <c r="A18" s="509">
        <v>16</v>
      </c>
      <c r="B18" s="532" t="s">
        <v>1053</v>
      </c>
      <c r="C18" s="517" t="s">
        <v>173</v>
      </c>
      <c r="D18" s="251">
        <v>1003110848235</v>
      </c>
      <c r="E18" s="271">
        <v>5776506</v>
      </c>
      <c r="F18" s="518">
        <v>584.74</v>
      </c>
      <c r="G18" s="524">
        <f t="shared" si="5"/>
        <v>43.153812000000002</v>
      </c>
      <c r="H18" s="518">
        <v>194.91</v>
      </c>
      <c r="I18" s="524">
        <f t="shared" si="6"/>
        <v>346.67618800000002</v>
      </c>
      <c r="J18" s="527" t="s">
        <v>13</v>
      </c>
      <c r="K18" s="518" t="s">
        <v>1054</v>
      </c>
      <c r="L18" s="515">
        <f t="shared" si="4"/>
        <v>52.001428199999999</v>
      </c>
      <c r="M18" s="515">
        <f t="shared" si="0"/>
        <v>13.867047520000002</v>
      </c>
      <c r="N18" s="516">
        <f t="shared" si="1"/>
        <v>6.9335237600000008</v>
      </c>
      <c r="O18" s="516">
        <f t="shared" si="2"/>
        <v>6.9335237600000008</v>
      </c>
      <c r="P18" s="513">
        <f t="shared" si="3"/>
        <v>24.26733316</v>
      </c>
    </row>
    <row r="19" spans="1:17">
      <c r="A19" s="509">
        <v>17</v>
      </c>
      <c r="B19" s="402" t="s">
        <v>1055</v>
      </c>
      <c r="C19" s="290" t="s">
        <v>559</v>
      </c>
      <c r="D19" s="403">
        <v>1003110847269</v>
      </c>
      <c r="E19" s="404">
        <v>5776347</v>
      </c>
      <c r="F19" s="293">
        <v>549.46</v>
      </c>
      <c r="G19" s="293">
        <f t="shared" si="5"/>
        <v>40.550148000000007</v>
      </c>
      <c r="H19" s="293">
        <v>67.77</v>
      </c>
      <c r="I19" s="293">
        <f t="shared" si="6"/>
        <v>441.13985200000002</v>
      </c>
      <c r="J19" s="405" t="s">
        <v>13</v>
      </c>
      <c r="K19" s="293" t="s">
        <v>25</v>
      </c>
      <c r="L19" s="293">
        <f t="shared" si="4"/>
        <v>66.170977800000003</v>
      </c>
      <c r="M19" s="293">
        <f t="shared" si="0"/>
        <v>17.645594080000002</v>
      </c>
      <c r="N19" s="406">
        <f t="shared" si="1"/>
        <v>8.8227970400000011</v>
      </c>
      <c r="O19" s="406">
        <f t="shared" si="2"/>
        <v>8.8227970400000011</v>
      </c>
      <c r="P19" s="293">
        <f t="shared" si="3"/>
        <v>30.879789639999995</v>
      </c>
      <c r="Q19" s="684"/>
    </row>
    <row r="20" spans="1:17">
      <c r="A20" s="509">
        <v>18</v>
      </c>
      <c r="B20" s="532" t="s">
        <v>1056</v>
      </c>
      <c r="C20" s="536" t="s">
        <v>173</v>
      </c>
      <c r="D20" s="254">
        <v>51772025423</v>
      </c>
      <c r="E20" s="268">
        <v>5778413</v>
      </c>
      <c r="F20" s="518">
        <v>1142.95</v>
      </c>
      <c r="G20" s="524">
        <f t="shared" si="5"/>
        <v>84.349710000000002</v>
      </c>
      <c r="H20" s="518">
        <v>380.99</v>
      </c>
      <c r="I20" s="513">
        <f t="shared" si="6"/>
        <v>677.61029000000008</v>
      </c>
      <c r="J20" s="527" t="s">
        <v>13</v>
      </c>
      <c r="K20" s="518" t="s">
        <v>49</v>
      </c>
      <c r="L20" s="515">
        <f t="shared" si="4"/>
        <v>101.64154350000001</v>
      </c>
      <c r="M20" s="515">
        <f t="shared" si="0"/>
        <v>27.104411600000002</v>
      </c>
      <c r="N20" s="516">
        <f t="shared" si="1"/>
        <v>13.552205800000001</v>
      </c>
      <c r="O20" s="516">
        <f t="shared" si="2"/>
        <v>13.552205800000001</v>
      </c>
      <c r="P20" s="513">
        <f t="shared" si="3"/>
        <v>47.4327203</v>
      </c>
    </row>
    <row r="21" spans="1:17">
      <c r="A21" s="509">
        <v>19</v>
      </c>
      <c r="B21" s="56" t="s">
        <v>1057</v>
      </c>
      <c r="C21" s="509" t="s">
        <v>931</v>
      </c>
      <c r="D21" s="251">
        <v>2704298</v>
      </c>
      <c r="E21" s="273">
        <v>5784006</v>
      </c>
      <c r="F21" s="514">
        <v>932.4</v>
      </c>
      <c r="G21" s="515">
        <f>F21*7.38%</f>
        <v>68.811120000000003</v>
      </c>
      <c r="H21" s="514">
        <v>81.790000000000006</v>
      </c>
      <c r="I21" s="515">
        <f t="shared" si="6"/>
        <v>781.79888000000005</v>
      </c>
      <c r="J21" s="530" t="s">
        <v>38</v>
      </c>
      <c r="K21" s="514" t="s">
        <v>25</v>
      </c>
      <c r="L21" s="515">
        <f t="shared" si="4"/>
        <v>117.26983200000001</v>
      </c>
      <c r="M21" s="515">
        <f t="shared" si="0"/>
        <v>31.271955200000004</v>
      </c>
      <c r="N21" s="531">
        <f t="shared" si="1"/>
        <v>15.635977600000002</v>
      </c>
      <c r="O21" s="531">
        <f t="shared" si="2"/>
        <v>15.635977600000002</v>
      </c>
      <c r="P21" s="515">
        <f t="shared" si="3"/>
        <v>54.725921599999992</v>
      </c>
    </row>
    <row r="22" spans="1:17">
      <c r="A22" s="509">
        <v>20</v>
      </c>
      <c r="B22" s="499" t="s">
        <v>1058</v>
      </c>
      <c r="C22" s="327" t="s">
        <v>247</v>
      </c>
      <c r="D22" s="400">
        <v>1003110861880</v>
      </c>
      <c r="E22" s="495">
        <v>5784068</v>
      </c>
      <c r="F22" s="294">
        <v>579.98</v>
      </c>
      <c r="G22" s="294">
        <f t="shared" si="5"/>
        <v>42.802524000000005</v>
      </c>
      <c r="H22" s="294">
        <v>62.32</v>
      </c>
      <c r="I22" s="294">
        <f t="shared" si="6"/>
        <v>474.85747600000008</v>
      </c>
      <c r="J22" s="329" t="s">
        <v>13</v>
      </c>
      <c r="K22" s="294" t="s">
        <v>51</v>
      </c>
      <c r="L22" s="293">
        <f t="shared" si="4"/>
        <v>71.228621400000009</v>
      </c>
      <c r="M22" s="293">
        <f t="shared" si="0"/>
        <v>18.994299040000005</v>
      </c>
      <c r="N22" s="296">
        <f t="shared" si="1"/>
        <v>9.4971495200000025</v>
      </c>
      <c r="O22" s="296">
        <f t="shared" si="2"/>
        <v>9.4971495200000025</v>
      </c>
      <c r="P22" s="294">
        <f t="shared" si="3"/>
        <v>33.240023320000006</v>
      </c>
    </row>
    <row r="23" spans="1:17">
      <c r="A23" s="509">
        <v>21</v>
      </c>
      <c r="B23" s="534" t="s">
        <v>1059</v>
      </c>
      <c r="C23" s="509" t="s">
        <v>1038</v>
      </c>
      <c r="D23" s="251">
        <v>1003110859420</v>
      </c>
      <c r="E23" s="274" t="s">
        <v>1060</v>
      </c>
      <c r="F23" s="514">
        <v>674.79</v>
      </c>
      <c r="G23" s="515">
        <f t="shared" si="5"/>
        <v>49.799501999999997</v>
      </c>
      <c r="H23" s="514">
        <v>64.819999999999993</v>
      </c>
      <c r="I23" s="515">
        <f t="shared" si="6"/>
        <v>560.17049799999995</v>
      </c>
      <c r="J23" s="530" t="s">
        <v>13</v>
      </c>
      <c r="K23" s="514" t="s">
        <v>17</v>
      </c>
      <c r="L23" s="515">
        <f t="shared" si="4"/>
        <v>84.025574699999993</v>
      </c>
      <c r="M23" s="515">
        <f t="shared" si="0"/>
        <v>22.40681992</v>
      </c>
      <c r="N23" s="531">
        <f t="shared" si="1"/>
        <v>11.20340996</v>
      </c>
      <c r="O23" s="531">
        <f t="shared" si="2"/>
        <v>11.20340996</v>
      </c>
      <c r="P23" s="515">
        <f t="shared" si="3"/>
        <v>39.211934859999985</v>
      </c>
    </row>
    <row r="24" spans="1:17">
      <c r="A24" s="509">
        <v>22</v>
      </c>
      <c r="B24" s="534" t="s">
        <v>1061</v>
      </c>
      <c r="C24" s="509" t="s">
        <v>931</v>
      </c>
      <c r="D24" s="251">
        <v>2703100</v>
      </c>
      <c r="E24" s="274">
        <v>5778837</v>
      </c>
      <c r="F24" s="514">
        <v>840.37</v>
      </c>
      <c r="G24" s="515">
        <f t="shared" si="5"/>
        <v>62.019306000000007</v>
      </c>
      <c r="H24" s="514">
        <v>73.72</v>
      </c>
      <c r="I24" s="515">
        <f t="shared" si="6"/>
        <v>704.63069399999995</v>
      </c>
      <c r="J24" s="530" t="s">
        <v>38</v>
      </c>
      <c r="K24" s="514" t="s">
        <v>238</v>
      </c>
      <c r="L24" s="515">
        <f t="shared" si="4"/>
        <v>105.69460409999999</v>
      </c>
      <c r="M24" s="515">
        <f t="shared" si="0"/>
        <v>28.18522776</v>
      </c>
      <c r="N24" s="531">
        <f t="shared" si="1"/>
        <v>14.09261388</v>
      </c>
      <c r="O24" s="531">
        <f t="shared" si="2"/>
        <v>14.09261388</v>
      </c>
      <c r="P24" s="515">
        <f t="shared" si="3"/>
        <v>49.324148579999985</v>
      </c>
    </row>
    <row r="25" spans="1:17">
      <c r="A25" s="509">
        <v>23</v>
      </c>
      <c r="B25" s="532" t="s">
        <v>1062</v>
      </c>
      <c r="C25" s="519" t="s">
        <v>12</v>
      </c>
      <c r="D25" s="254">
        <v>1003110865133</v>
      </c>
      <c r="E25" s="268">
        <v>5786055</v>
      </c>
      <c r="F25" s="518">
        <v>707.26</v>
      </c>
      <c r="G25" s="513">
        <f t="shared" si="5"/>
        <v>52.195788</v>
      </c>
      <c r="H25" s="518">
        <v>0</v>
      </c>
      <c r="I25" s="515">
        <f t="shared" si="6"/>
        <v>655.064212</v>
      </c>
      <c r="J25" s="527" t="s">
        <v>13</v>
      </c>
      <c r="K25" s="518" t="s">
        <v>235</v>
      </c>
      <c r="L25" s="515">
        <f t="shared" si="4"/>
        <v>98.259631799999994</v>
      </c>
      <c r="M25" s="515">
        <f t="shared" si="0"/>
        <v>26.20256848</v>
      </c>
      <c r="N25" s="516">
        <f t="shared" si="1"/>
        <v>13.10128424</v>
      </c>
      <c r="O25" s="516">
        <f t="shared" si="2"/>
        <v>13.10128424</v>
      </c>
      <c r="P25" s="513">
        <f t="shared" si="3"/>
        <v>45.854494840000001</v>
      </c>
    </row>
    <row r="26" spans="1:17">
      <c r="A26" s="509">
        <v>24</v>
      </c>
      <c r="B26" s="537" t="s">
        <v>844</v>
      </c>
      <c r="C26" s="538" t="s">
        <v>368</v>
      </c>
      <c r="D26" s="277">
        <v>1003110880690</v>
      </c>
      <c r="E26" s="278">
        <v>5786248</v>
      </c>
      <c r="F26" s="518">
        <v>549.30999999999995</v>
      </c>
      <c r="G26" s="513">
        <f t="shared" si="5"/>
        <v>40.539077999999996</v>
      </c>
      <c r="H26" s="518">
        <v>0</v>
      </c>
      <c r="I26" s="515">
        <f t="shared" si="6"/>
        <v>508.77092199999993</v>
      </c>
      <c r="J26" s="538" t="s">
        <v>13</v>
      </c>
      <c r="K26" s="538" t="s">
        <v>17</v>
      </c>
      <c r="L26" s="515">
        <f t="shared" si="4"/>
        <v>76.315638299999989</v>
      </c>
      <c r="M26" s="515">
        <f t="shared" si="0"/>
        <v>20.350836879999999</v>
      </c>
      <c r="N26" s="516">
        <f t="shared" si="1"/>
        <v>10.17541844</v>
      </c>
      <c r="O26" s="516">
        <f t="shared" si="2"/>
        <v>10.17541844</v>
      </c>
      <c r="P26" s="513">
        <f t="shared" si="3"/>
        <v>35.613964539999984</v>
      </c>
    </row>
    <row r="27" spans="1:17">
      <c r="A27" s="509">
        <v>25</v>
      </c>
      <c r="B27" s="339" t="s">
        <v>1063</v>
      </c>
      <c r="C27" s="327" t="s">
        <v>247</v>
      </c>
      <c r="D27" s="745">
        <v>1003110864867</v>
      </c>
      <c r="E27" s="495">
        <v>5785771</v>
      </c>
      <c r="F27" s="294">
        <v>566.88</v>
      </c>
      <c r="G27" s="294">
        <f t="shared" si="5"/>
        <v>41.835744000000005</v>
      </c>
      <c r="H27" s="294">
        <v>69.92</v>
      </c>
      <c r="I27" s="293">
        <f t="shared" si="6"/>
        <v>455.124256</v>
      </c>
      <c r="J27" s="329" t="s">
        <v>13</v>
      </c>
      <c r="K27" s="294" t="s">
        <v>26</v>
      </c>
      <c r="L27" s="293">
        <f t="shared" si="4"/>
        <v>68.2686384</v>
      </c>
      <c r="M27" s="293">
        <f t="shared" si="0"/>
        <v>18.204970240000002</v>
      </c>
      <c r="N27" s="296">
        <f t="shared" si="1"/>
        <v>9.1024851200000008</v>
      </c>
      <c r="O27" s="296">
        <f t="shared" si="2"/>
        <v>9.1024851200000008</v>
      </c>
      <c r="P27" s="294">
        <f t="shared" si="3"/>
        <v>31.858697919999994</v>
      </c>
    </row>
    <row r="28" spans="1:17">
      <c r="A28" s="509">
        <v>26</v>
      </c>
      <c r="B28" s="510" t="s">
        <v>1064</v>
      </c>
      <c r="C28" s="519" t="s">
        <v>559</v>
      </c>
      <c r="D28" s="254">
        <v>36252210</v>
      </c>
      <c r="E28" s="268">
        <v>5768449</v>
      </c>
      <c r="F28" s="518">
        <v>783.58</v>
      </c>
      <c r="G28" s="513">
        <f t="shared" si="5"/>
        <v>57.828204000000007</v>
      </c>
      <c r="H28" s="518">
        <v>65.27</v>
      </c>
      <c r="I28" s="515">
        <f t="shared" si="6"/>
        <v>660.48179600000003</v>
      </c>
      <c r="J28" s="527" t="s">
        <v>38</v>
      </c>
      <c r="K28" s="518" t="s">
        <v>14</v>
      </c>
      <c r="L28" s="515">
        <f t="shared" si="4"/>
        <v>99.072269399999996</v>
      </c>
      <c r="M28" s="515">
        <f t="shared" si="0"/>
        <v>26.41927184</v>
      </c>
      <c r="N28" s="516">
        <f t="shared" si="1"/>
        <v>13.20963592</v>
      </c>
      <c r="O28" s="516">
        <f t="shared" si="2"/>
        <v>13.20963592</v>
      </c>
      <c r="P28" s="513">
        <f t="shared" si="3"/>
        <v>46.233725719999995</v>
      </c>
    </row>
    <row r="29" spans="1:17">
      <c r="A29" s="509">
        <v>27</v>
      </c>
      <c r="B29" s="510" t="s">
        <v>1065</v>
      </c>
      <c r="C29" s="519" t="s">
        <v>234</v>
      </c>
      <c r="D29" s="254">
        <v>36266977</v>
      </c>
      <c r="E29" s="268" t="s">
        <v>1066</v>
      </c>
      <c r="F29" s="518">
        <v>986.1</v>
      </c>
      <c r="G29" s="513">
        <f t="shared" si="5"/>
        <v>72.774180000000001</v>
      </c>
      <c r="H29" s="518">
        <v>82.14</v>
      </c>
      <c r="I29" s="515">
        <f t="shared" si="6"/>
        <v>831.18582000000004</v>
      </c>
      <c r="J29" s="527" t="s">
        <v>38</v>
      </c>
      <c r="K29" s="518" t="s">
        <v>17</v>
      </c>
      <c r="L29" s="515">
        <f t="shared" si="4"/>
        <v>124.67787300000001</v>
      </c>
      <c r="M29" s="515">
        <f t="shared" si="0"/>
        <v>33.247432799999999</v>
      </c>
      <c r="N29" s="516">
        <f t="shared" si="1"/>
        <v>16.623716399999999</v>
      </c>
      <c r="O29" s="516">
        <f t="shared" si="2"/>
        <v>16.623716399999999</v>
      </c>
      <c r="P29" s="513">
        <f t="shared" si="3"/>
        <v>58.183007400000015</v>
      </c>
    </row>
    <row r="30" spans="1:17">
      <c r="A30" s="509">
        <v>28</v>
      </c>
      <c r="B30" s="510" t="s">
        <v>1067</v>
      </c>
      <c r="C30" s="519" t="s">
        <v>170</v>
      </c>
      <c r="D30" s="254">
        <v>36249574</v>
      </c>
      <c r="E30" s="268" t="s">
        <v>1068</v>
      </c>
      <c r="F30" s="518">
        <v>753</v>
      </c>
      <c r="G30" s="513">
        <f t="shared" si="5"/>
        <v>55.571400000000004</v>
      </c>
      <c r="H30" s="518">
        <v>62.71</v>
      </c>
      <c r="I30" s="515">
        <f t="shared" si="6"/>
        <v>634.71859999999992</v>
      </c>
      <c r="J30" s="527" t="s">
        <v>38</v>
      </c>
      <c r="K30" s="518" t="s">
        <v>17</v>
      </c>
      <c r="L30" s="515">
        <f t="shared" si="4"/>
        <v>95.207789999999989</v>
      </c>
      <c r="M30" s="515">
        <f t="shared" si="0"/>
        <v>25.388743999999999</v>
      </c>
      <c r="N30" s="516">
        <f t="shared" si="1"/>
        <v>12.694372</v>
      </c>
      <c r="O30" s="516">
        <f t="shared" si="2"/>
        <v>12.694372</v>
      </c>
      <c r="P30" s="513">
        <f t="shared" si="3"/>
        <v>44.430301999999983</v>
      </c>
    </row>
    <row r="31" spans="1:17">
      <c r="A31" s="509">
        <v>29</v>
      </c>
      <c r="B31" s="510" t="s">
        <v>1069</v>
      </c>
      <c r="C31" s="519" t="s">
        <v>247</v>
      </c>
      <c r="D31" s="254">
        <v>51772025423</v>
      </c>
      <c r="E31" s="268">
        <v>5786437</v>
      </c>
      <c r="F31" s="518">
        <v>468.05</v>
      </c>
      <c r="G31" s="513">
        <f t="shared" si="5"/>
        <v>34.542090000000002</v>
      </c>
      <c r="H31" s="518">
        <v>0</v>
      </c>
      <c r="I31" s="515">
        <f t="shared" si="6"/>
        <v>433.50791000000004</v>
      </c>
      <c r="J31" s="527" t="s">
        <v>13</v>
      </c>
      <c r="K31" s="518" t="s">
        <v>26</v>
      </c>
      <c r="L31" s="515">
        <f t="shared" si="4"/>
        <v>65.026186500000009</v>
      </c>
      <c r="M31" s="515">
        <f t="shared" si="0"/>
        <v>17.340316400000003</v>
      </c>
      <c r="N31" s="516">
        <f t="shared" si="1"/>
        <v>8.6701582000000013</v>
      </c>
      <c r="O31" s="516">
        <f t="shared" si="2"/>
        <v>8.6701582000000013</v>
      </c>
      <c r="P31" s="513">
        <f t="shared" si="3"/>
        <v>30.345553699999996</v>
      </c>
    </row>
    <row r="32" spans="1:17">
      <c r="A32" s="509">
        <v>30</v>
      </c>
      <c r="B32" s="510" t="s">
        <v>1070</v>
      </c>
      <c r="C32" s="519" t="s">
        <v>247</v>
      </c>
      <c r="D32" s="254">
        <v>51772025423116</v>
      </c>
      <c r="E32" s="280">
        <v>5785750</v>
      </c>
      <c r="F32" s="518">
        <v>654.92999999999995</v>
      </c>
      <c r="G32" s="513">
        <f t="shared" si="5"/>
        <v>48.333833999999996</v>
      </c>
      <c r="H32" s="518">
        <v>163.72999999999999</v>
      </c>
      <c r="I32" s="515">
        <f t="shared" si="6"/>
        <v>442.86616599999991</v>
      </c>
      <c r="J32" s="527" t="s">
        <v>13</v>
      </c>
      <c r="K32" s="518" t="s">
        <v>26</v>
      </c>
      <c r="L32" s="515">
        <f t="shared" si="4"/>
        <v>66.429924899999989</v>
      </c>
      <c r="M32" s="515">
        <f t="shared" si="0"/>
        <v>17.714646639999998</v>
      </c>
      <c r="N32" s="516">
        <f t="shared" si="1"/>
        <v>8.857323319999999</v>
      </c>
      <c r="O32" s="516">
        <f t="shared" si="2"/>
        <v>8.857323319999999</v>
      </c>
      <c r="P32" s="513">
        <f t="shared" si="3"/>
        <v>31.000631619999993</v>
      </c>
    </row>
    <row r="33" spans="1:16">
      <c r="A33" s="509">
        <v>31</v>
      </c>
      <c r="B33" s="339" t="s">
        <v>788</v>
      </c>
      <c r="C33" s="327" t="s">
        <v>247</v>
      </c>
      <c r="D33" s="400">
        <v>1003110874123</v>
      </c>
      <c r="E33" s="401">
        <v>5790736</v>
      </c>
      <c r="F33" s="294">
        <v>517.65</v>
      </c>
      <c r="G33" s="294">
        <f t="shared" si="5"/>
        <v>38.202570000000001</v>
      </c>
      <c r="H33" s="294">
        <v>136.74</v>
      </c>
      <c r="I33" s="293">
        <f t="shared" si="6"/>
        <v>342.70742999999999</v>
      </c>
      <c r="J33" s="329" t="s">
        <v>13</v>
      </c>
      <c r="K33" s="294" t="s">
        <v>40</v>
      </c>
      <c r="L33" s="293">
        <f t="shared" si="4"/>
        <v>51.406114499999994</v>
      </c>
      <c r="M33" s="293">
        <f t="shared" si="0"/>
        <v>13.708297200000001</v>
      </c>
      <c r="N33" s="296">
        <f t="shared" si="1"/>
        <v>6.8541486000000003</v>
      </c>
      <c r="O33" s="296">
        <f t="shared" si="2"/>
        <v>6.8541486000000003</v>
      </c>
      <c r="P33" s="294">
        <f t="shared" si="3"/>
        <v>23.989520099999993</v>
      </c>
    </row>
    <row r="34" spans="1:16">
      <c r="A34" s="509">
        <v>32</v>
      </c>
      <c r="B34" s="510" t="s">
        <v>1071</v>
      </c>
      <c r="C34" s="519" t="s">
        <v>593</v>
      </c>
      <c r="D34" s="254">
        <v>36244003</v>
      </c>
      <c r="E34" s="280">
        <v>5786900</v>
      </c>
      <c r="F34" s="518">
        <v>959.22</v>
      </c>
      <c r="G34" s="513">
        <f t="shared" si="5"/>
        <v>70.790436</v>
      </c>
      <c r="H34" s="518">
        <v>95.88</v>
      </c>
      <c r="I34" s="515">
        <f t="shared" si="6"/>
        <v>792.54956400000003</v>
      </c>
      <c r="J34" s="527" t="s">
        <v>38</v>
      </c>
      <c r="K34" s="518" t="s">
        <v>14</v>
      </c>
      <c r="L34" s="515">
        <f t="shared" si="4"/>
        <v>118.8824346</v>
      </c>
      <c r="M34" s="515">
        <f t="shared" si="0"/>
        <v>31.701982560000001</v>
      </c>
      <c r="N34" s="516">
        <f t="shared" si="1"/>
        <v>15.850991280000001</v>
      </c>
      <c r="O34" s="516">
        <f t="shared" si="2"/>
        <v>15.850991280000001</v>
      </c>
      <c r="P34" s="513">
        <f t="shared" si="3"/>
        <v>55.478469479999987</v>
      </c>
    </row>
    <row r="35" spans="1:16">
      <c r="A35" s="509">
        <v>33</v>
      </c>
      <c r="B35" s="510" t="s">
        <v>1072</v>
      </c>
      <c r="C35" s="519" t="s">
        <v>1073</v>
      </c>
      <c r="D35" s="437">
        <v>1003110902165</v>
      </c>
      <c r="E35" s="280">
        <v>5791890</v>
      </c>
      <c r="F35" s="518">
        <v>625.08000000000004</v>
      </c>
      <c r="G35" s="513">
        <f t="shared" si="5"/>
        <v>46.130904000000008</v>
      </c>
      <c r="H35" s="518">
        <v>208.36</v>
      </c>
      <c r="I35" s="515">
        <f t="shared" si="6"/>
        <v>370.58909600000004</v>
      </c>
      <c r="J35" s="527" t="s">
        <v>13</v>
      </c>
      <c r="K35" s="518" t="s">
        <v>266</v>
      </c>
      <c r="L35" s="515">
        <f t="shared" si="4"/>
        <v>55.588364400000003</v>
      </c>
      <c r="M35" s="515">
        <f t="shared" si="0"/>
        <v>14.823563840000002</v>
      </c>
      <c r="N35" s="516">
        <f t="shared" si="1"/>
        <v>7.411781920000001</v>
      </c>
      <c r="O35" s="516">
        <f t="shared" si="2"/>
        <v>7.411781920000001</v>
      </c>
      <c r="P35" s="513">
        <f t="shared" si="3"/>
        <v>25.941236719999992</v>
      </c>
    </row>
    <row r="36" spans="1:16">
      <c r="A36" s="509">
        <v>34</v>
      </c>
      <c r="B36" s="510" t="s">
        <v>1074</v>
      </c>
      <c r="C36" s="519" t="s">
        <v>173</v>
      </c>
      <c r="D36" s="254">
        <v>1003110796110</v>
      </c>
      <c r="E36" s="280" t="s">
        <v>1075</v>
      </c>
      <c r="F36" s="518">
        <v>679.29</v>
      </c>
      <c r="G36" s="513">
        <f t="shared" si="5"/>
        <v>50.131602000000001</v>
      </c>
      <c r="H36" s="518">
        <v>78.38</v>
      </c>
      <c r="I36" s="515">
        <f t="shared" si="6"/>
        <v>550.77839799999992</v>
      </c>
      <c r="J36" s="527" t="s">
        <v>13</v>
      </c>
      <c r="K36" s="518" t="s">
        <v>17</v>
      </c>
      <c r="L36" s="515">
        <f t="shared" si="4"/>
        <v>82.616759699999989</v>
      </c>
      <c r="M36" s="515">
        <f t="shared" si="0"/>
        <v>22.031135919999997</v>
      </c>
      <c r="N36" s="516">
        <f t="shared" si="1"/>
        <v>11.015567959999998</v>
      </c>
      <c r="O36" s="516">
        <f t="shared" si="2"/>
        <v>11.015567959999998</v>
      </c>
      <c r="P36" s="513">
        <f t="shared" si="3"/>
        <v>38.554487859999995</v>
      </c>
    </row>
    <row r="37" spans="1:16">
      <c r="A37" s="509">
        <v>35</v>
      </c>
      <c r="B37" s="510" t="s">
        <v>1076</v>
      </c>
      <c r="C37" s="519" t="s">
        <v>475</v>
      </c>
      <c r="D37" s="254">
        <v>1003110879632</v>
      </c>
      <c r="E37" s="280">
        <v>5795226</v>
      </c>
      <c r="F37" s="518">
        <v>584.44000000000005</v>
      </c>
      <c r="G37" s="513">
        <f t="shared" si="5"/>
        <v>43.131672000000009</v>
      </c>
      <c r="H37" s="518">
        <v>154.38</v>
      </c>
      <c r="I37" s="515">
        <f t="shared" si="6"/>
        <v>386.92832800000008</v>
      </c>
      <c r="J37" s="527" t="s">
        <v>13</v>
      </c>
      <c r="K37" s="518" t="s">
        <v>26</v>
      </c>
      <c r="L37" s="515">
        <f t="shared" si="4"/>
        <v>58.039249200000008</v>
      </c>
      <c r="M37" s="515">
        <f t="shared" si="0"/>
        <v>15.477133120000003</v>
      </c>
      <c r="N37" s="516">
        <f t="shared" si="1"/>
        <v>7.7385665600000015</v>
      </c>
      <c r="O37" s="516">
        <f t="shared" si="2"/>
        <v>7.7385665600000015</v>
      </c>
      <c r="P37" s="513">
        <f t="shared" si="3"/>
        <v>27.084982959999998</v>
      </c>
    </row>
    <row r="38" spans="1:16">
      <c r="A38" s="509">
        <v>36</v>
      </c>
      <c r="B38" s="510" t="s">
        <v>1077</v>
      </c>
      <c r="C38" s="519" t="s">
        <v>475</v>
      </c>
      <c r="D38" s="254">
        <v>1003110880881</v>
      </c>
      <c r="E38" s="280">
        <v>5795995</v>
      </c>
      <c r="F38" s="518">
        <v>546.16</v>
      </c>
      <c r="G38" s="513">
        <f t="shared" si="5"/>
        <v>40.306607999999997</v>
      </c>
      <c r="H38" s="518">
        <v>58.69</v>
      </c>
      <c r="I38" s="515">
        <f t="shared" si="6"/>
        <v>447.16339199999999</v>
      </c>
      <c r="J38" s="527" t="s">
        <v>13</v>
      </c>
      <c r="K38" s="518" t="s">
        <v>17</v>
      </c>
      <c r="L38" s="515">
        <f t="shared" si="4"/>
        <v>67.07450879999999</v>
      </c>
      <c r="M38" s="515">
        <f t="shared" si="0"/>
        <v>17.886535680000001</v>
      </c>
      <c r="N38" s="516">
        <f t="shared" si="1"/>
        <v>8.9432678400000007</v>
      </c>
      <c r="O38" s="516">
        <f t="shared" si="2"/>
        <v>8.9432678400000007</v>
      </c>
      <c r="P38" s="513">
        <f t="shared" si="3"/>
        <v>31.30143743999999</v>
      </c>
    </row>
    <row r="39" spans="1:16">
      <c r="A39" s="509">
        <v>37</v>
      </c>
      <c r="B39" s="510" t="s">
        <v>1078</v>
      </c>
      <c r="C39" s="519" t="s">
        <v>1038</v>
      </c>
      <c r="D39" s="254">
        <v>1003110885712</v>
      </c>
      <c r="E39" s="280">
        <v>5795648</v>
      </c>
      <c r="F39" s="518">
        <v>566.03</v>
      </c>
      <c r="G39" s="513">
        <f t="shared" si="5"/>
        <v>41.773014000000003</v>
      </c>
      <c r="H39" s="518">
        <v>60.82</v>
      </c>
      <c r="I39" s="515">
        <f t="shared" si="6"/>
        <v>463.43698599999999</v>
      </c>
      <c r="J39" s="527" t="s">
        <v>38</v>
      </c>
      <c r="K39" s="518" t="s">
        <v>17</v>
      </c>
      <c r="L39" s="515">
        <f t="shared" si="4"/>
        <v>69.515547900000001</v>
      </c>
      <c r="M39" s="515">
        <f t="shared" si="0"/>
        <v>18.537479439999998</v>
      </c>
      <c r="N39" s="516">
        <f t="shared" si="1"/>
        <v>9.2687397199999992</v>
      </c>
      <c r="O39" s="516">
        <f t="shared" si="2"/>
        <v>9.2687397199999992</v>
      </c>
      <c r="P39" s="513">
        <f t="shared" si="3"/>
        <v>32.440589020000004</v>
      </c>
    </row>
    <row r="40" spans="1:16">
      <c r="A40" s="509">
        <v>38</v>
      </c>
      <c r="B40" s="510" t="s">
        <v>1079</v>
      </c>
      <c r="C40" s="519" t="s">
        <v>54</v>
      </c>
      <c r="D40" s="254">
        <v>1003110881695</v>
      </c>
      <c r="E40" s="280">
        <v>5795338</v>
      </c>
      <c r="F40" s="518">
        <v>532.16</v>
      </c>
      <c r="G40" s="513">
        <f t="shared" si="5"/>
        <v>39.273408000000003</v>
      </c>
      <c r="H40" s="518">
        <v>65.040000000000006</v>
      </c>
      <c r="I40" s="515">
        <f t="shared" si="6"/>
        <v>427.84659199999993</v>
      </c>
      <c r="J40" s="527" t="s">
        <v>13</v>
      </c>
      <c r="K40" s="518" t="s">
        <v>26</v>
      </c>
      <c r="L40" s="515">
        <f t="shared" si="4"/>
        <v>64.17698879999999</v>
      </c>
      <c r="M40" s="515">
        <f t="shared" si="0"/>
        <v>17.113863679999998</v>
      </c>
      <c r="N40" s="516">
        <f t="shared" si="1"/>
        <v>8.556931839999999</v>
      </c>
      <c r="O40" s="516">
        <f t="shared" si="2"/>
        <v>8.556931839999999</v>
      </c>
      <c r="P40" s="513">
        <f t="shared" si="3"/>
        <v>29.949261440000001</v>
      </c>
    </row>
    <row r="41" spans="1:16">
      <c r="A41" s="509">
        <v>39</v>
      </c>
      <c r="B41" s="510" t="s">
        <v>1080</v>
      </c>
      <c r="C41" s="519" t="s">
        <v>173</v>
      </c>
      <c r="D41" s="254">
        <v>1003110881250</v>
      </c>
      <c r="E41" s="280">
        <v>5796166</v>
      </c>
      <c r="F41" s="518">
        <v>702.28</v>
      </c>
      <c r="G41" s="513">
        <f t="shared" si="5"/>
        <v>51.828264000000004</v>
      </c>
      <c r="H41" s="518">
        <v>75.459999999999994</v>
      </c>
      <c r="I41" s="515">
        <f t="shared" si="6"/>
        <v>574.99173599999995</v>
      </c>
      <c r="J41" s="527" t="s">
        <v>13</v>
      </c>
      <c r="K41" s="518" t="s">
        <v>14</v>
      </c>
      <c r="L41" s="515">
        <f t="shared" si="4"/>
        <v>86.248760399999995</v>
      </c>
      <c r="M41" s="515">
        <f t="shared" si="0"/>
        <v>22.999669439999998</v>
      </c>
      <c r="N41" s="516">
        <f t="shared" si="1"/>
        <v>11.499834719999999</v>
      </c>
      <c r="O41" s="516">
        <f t="shared" si="2"/>
        <v>11.499834719999999</v>
      </c>
      <c r="P41" s="513">
        <f t="shared" si="3"/>
        <v>40.249421519999999</v>
      </c>
    </row>
    <row r="42" spans="1:16">
      <c r="A42" s="509">
        <v>40</v>
      </c>
      <c r="B42" s="510" t="s">
        <v>1081</v>
      </c>
      <c r="C42" s="519" t="s">
        <v>475</v>
      </c>
      <c r="D42" s="254">
        <v>36273441</v>
      </c>
      <c r="E42" s="280">
        <v>5799521</v>
      </c>
      <c r="F42" s="518">
        <v>467.6</v>
      </c>
      <c r="G42" s="513">
        <f t="shared" si="5"/>
        <v>34.508880000000005</v>
      </c>
      <c r="H42" s="518">
        <v>38.93</v>
      </c>
      <c r="I42" s="515">
        <f t="shared" si="6"/>
        <v>394.16112000000004</v>
      </c>
      <c r="J42" s="527" t="s">
        <v>38</v>
      </c>
      <c r="K42" s="518" t="s">
        <v>14</v>
      </c>
      <c r="L42" s="515">
        <f t="shared" si="4"/>
        <v>59.124168000000004</v>
      </c>
      <c r="M42" s="515">
        <f t="shared" si="0"/>
        <v>15.766444800000002</v>
      </c>
      <c r="N42" s="516">
        <f t="shared" si="1"/>
        <v>7.8832224000000011</v>
      </c>
      <c r="O42" s="516">
        <f t="shared" si="2"/>
        <v>7.8832224000000011</v>
      </c>
      <c r="P42" s="513">
        <f t="shared" si="3"/>
        <v>27.5912784</v>
      </c>
    </row>
    <row r="43" spans="1:16">
      <c r="A43" s="509">
        <v>41</v>
      </c>
      <c r="B43" s="510" t="s">
        <v>1082</v>
      </c>
      <c r="C43" s="519" t="s">
        <v>234</v>
      </c>
      <c r="D43" s="254">
        <v>36256384</v>
      </c>
      <c r="E43" s="280">
        <v>5799407</v>
      </c>
      <c r="F43" s="518">
        <v>817.74</v>
      </c>
      <c r="G43" s="513">
        <f t="shared" si="5"/>
        <v>60.349212000000001</v>
      </c>
      <c r="H43" s="518">
        <v>86.08</v>
      </c>
      <c r="I43" s="515">
        <f t="shared" si="6"/>
        <v>671.310788</v>
      </c>
      <c r="J43" s="527" t="s">
        <v>38</v>
      </c>
      <c r="K43" s="518" t="s">
        <v>49</v>
      </c>
      <c r="L43" s="515">
        <f t="shared" si="4"/>
        <v>100.6966182</v>
      </c>
      <c r="M43" s="515">
        <f t="shared" si="0"/>
        <v>26.85243152</v>
      </c>
      <c r="N43" s="516">
        <f t="shared" si="1"/>
        <v>13.42621576</v>
      </c>
      <c r="O43" s="516">
        <f t="shared" si="2"/>
        <v>13.42621576</v>
      </c>
      <c r="P43" s="513">
        <f t="shared" si="3"/>
        <v>46.991755160000011</v>
      </c>
    </row>
    <row r="44" spans="1:16">
      <c r="A44" s="509">
        <v>42</v>
      </c>
      <c r="B44" s="510" t="s">
        <v>1083</v>
      </c>
      <c r="C44" s="519" t="s">
        <v>475</v>
      </c>
      <c r="D44" s="254">
        <v>36256384</v>
      </c>
      <c r="E44" s="280">
        <v>5799277</v>
      </c>
      <c r="F44" s="518">
        <v>518.84</v>
      </c>
      <c r="G44" s="513">
        <f t="shared" si="5"/>
        <v>38.290392000000004</v>
      </c>
      <c r="H44" s="518">
        <v>0</v>
      </c>
      <c r="I44" s="515">
        <f t="shared" si="6"/>
        <v>480.54960800000003</v>
      </c>
      <c r="J44" s="527" t="s">
        <v>13</v>
      </c>
      <c r="K44" s="518" t="s">
        <v>238</v>
      </c>
      <c r="L44" s="515">
        <f t="shared" si="4"/>
        <v>72.082441200000005</v>
      </c>
      <c r="M44" s="515">
        <f t="shared" si="0"/>
        <v>19.221984320000001</v>
      </c>
      <c r="N44" s="516">
        <f t="shared" si="1"/>
        <v>9.6109921600000003</v>
      </c>
      <c r="O44" s="516">
        <f t="shared" si="2"/>
        <v>9.6109921600000003</v>
      </c>
      <c r="P44" s="513">
        <f t="shared" si="3"/>
        <v>33.638472559999997</v>
      </c>
    </row>
    <row r="45" spans="1:16">
      <c r="A45" s="509">
        <v>43</v>
      </c>
      <c r="B45" s="510" t="s">
        <v>354</v>
      </c>
      <c r="C45" s="519" t="s">
        <v>475</v>
      </c>
      <c r="D45" s="254">
        <v>51772025423</v>
      </c>
      <c r="E45" s="280">
        <v>5792569</v>
      </c>
      <c r="F45" s="518">
        <v>542.25</v>
      </c>
      <c r="G45" s="513">
        <f t="shared" si="5"/>
        <v>40.018050000000002</v>
      </c>
      <c r="H45" s="518">
        <v>54.25</v>
      </c>
      <c r="I45" s="515">
        <f t="shared" si="6"/>
        <v>447.98194999999998</v>
      </c>
      <c r="J45" s="527" t="s">
        <v>38</v>
      </c>
      <c r="K45" s="518" t="s">
        <v>25</v>
      </c>
      <c r="L45" s="515">
        <f t="shared" si="4"/>
        <v>67.197292499999989</v>
      </c>
      <c r="M45" s="515">
        <f t="shared" si="0"/>
        <v>17.919277999999998</v>
      </c>
      <c r="N45" s="516">
        <f t="shared" si="1"/>
        <v>8.9596389999999992</v>
      </c>
      <c r="O45" s="516">
        <f t="shared" si="2"/>
        <v>8.9596389999999992</v>
      </c>
      <c r="P45" s="513">
        <f t="shared" si="3"/>
        <v>31.358736499999988</v>
      </c>
    </row>
    <row r="46" spans="1:16">
      <c r="A46" s="509">
        <v>44</v>
      </c>
      <c r="B46" s="510" t="s">
        <v>1084</v>
      </c>
      <c r="C46" s="519" t="s">
        <v>931</v>
      </c>
      <c r="D46" s="281">
        <v>1003110885572</v>
      </c>
      <c r="E46" s="280">
        <v>5798780</v>
      </c>
      <c r="F46" s="518">
        <v>804.35</v>
      </c>
      <c r="G46" s="513">
        <f t="shared" si="5"/>
        <v>59.361030000000007</v>
      </c>
      <c r="H46" s="518">
        <v>74.98</v>
      </c>
      <c r="I46" s="515">
        <f t="shared" si="6"/>
        <v>670.00896999999998</v>
      </c>
      <c r="J46" s="527" t="s">
        <v>13</v>
      </c>
      <c r="K46" s="518" t="s">
        <v>17</v>
      </c>
      <c r="L46" s="515">
        <f t="shared" si="4"/>
        <v>100.5013455</v>
      </c>
      <c r="M46" s="515">
        <f t="shared" si="0"/>
        <v>26.800358799999998</v>
      </c>
      <c r="N46" s="516">
        <f t="shared" si="1"/>
        <v>13.400179399999999</v>
      </c>
      <c r="O46" s="516">
        <f t="shared" si="2"/>
        <v>13.400179399999999</v>
      </c>
      <c r="P46" s="513">
        <f t="shared" si="3"/>
        <v>46.900627900000003</v>
      </c>
    </row>
    <row r="47" spans="1:16">
      <c r="A47" s="509">
        <v>45</v>
      </c>
      <c r="B47" s="510" t="s">
        <v>1085</v>
      </c>
      <c r="C47" s="519" t="s">
        <v>173</v>
      </c>
      <c r="D47" s="254">
        <v>1003110885093</v>
      </c>
      <c r="E47" s="280" t="s">
        <v>1086</v>
      </c>
      <c r="F47" s="518">
        <v>529.95000000000005</v>
      </c>
      <c r="G47" s="513">
        <f t="shared" si="5"/>
        <v>39.110310000000005</v>
      </c>
      <c r="H47" s="518">
        <v>56.94</v>
      </c>
      <c r="I47" s="515">
        <f t="shared" si="6"/>
        <v>433.89969000000002</v>
      </c>
      <c r="J47" s="527" t="s">
        <v>13</v>
      </c>
      <c r="K47" s="518" t="s">
        <v>14</v>
      </c>
      <c r="L47" s="515">
        <f t="shared" si="4"/>
        <v>65.084953499999997</v>
      </c>
      <c r="M47" s="515">
        <f t="shared" si="0"/>
        <v>17.355987600000002</v>
      </c>
      <c r="N47" s="516">
        <f t="shared" si="1"/>
        <v>8.6779938000000012</v>
      </c>
      <c r="O47" s="516">
        <f t="shared" si="2"/>
        <v>8.6779938000000012</v>
      </c>
      <c r="P47" s="513">
        <f t="shared" si="3"/>
        <v>30.372978299999986</v>
      </c>
    </row>
    <row r="48" spans="1:16">
      <c r="A48" s="509">
        <v>46</v>
      </c>
      <c r="B48" s="510" t="s">
        <v>1087</v>
      </c>
      <c r="C48" s="519" t="s">
        <v>52</v>
      </c>
      <c r="D48" s="254">
        <v>100311088828</v>
      </c>
      <c r="E48" s="280">
        <v>5796370</v>
      </c>
      <c r="F48" s="518">
        <v>521.34</v>
      </c>
      <c r="G48" s="513">
        <f t="shared" si="5"/>
        <v>38.474892000000004</v>
      </c>
      <c r="H48" s="518">
        <v>56.02</v>
      </c>
      <c r="I48" s="515">
        <f t="shared" si="6"/>
        <v>426.84510800000004</v>
      </c>
      <c r="J48" s="527" t="s">
        <v>13</v>
      </c>
      <c r="K48" s="518" t="s">
        <v>26</v>
      </c>
      <c r="L48" s="515">
        <f t="shared" si="4"/>
        <v>64.026766199999997</v>
      </c>
      <c r="M48" s="515">
        <f t="shared" si="0"/>
        <v>17.073804320000001</v>
      </c>
      <c r="N48" s="516">
        <f t="shared" si="1"/>
        <v>8.5369021600000004</v>
      </c>
      <c r="O48" s="516">
        <f t="shared" si="2"/>
        <v>8.5369021600000004</v>
      </c>
      <c r="P48" s="513">
        <f t="shared" si="3"/>
        <v>29.879157559999992</v>
      </c>
    </row>
    <row r="49" spans="1:17">
      <c r="A49" s="509">
        <v>47</v>
      </c>
      <c r="B49" s="510" t="s">
        <v>1088</v>
      </c>
      <c r="C49" s="519" t="s">
        <v>559</v>
      </c>
      <c r="D49" s="254">
        <v>1003110896282</v>
      </c>
      <c r="E49" s="280">
        <v>5799640</v>
      </c>
      <c r="F49" s="518">
        <v>497.97</v>
      </c>
      <c r="G49" s="513">
        <f t="shared" si="5"/>
        <v>36.750186000000006</v>
      </c>
      <c r="H49" s="518">
        <v>165.59</v>
      </c>
      <c r="I49" s="515">
        <f t="shared" si="6"/>
        <v>295.62981400000001</v>
      </c>
      <c r="J49" s="527" t="s">
        <v>38</v>
      </c>
      <c r="K49" s="518" t="s">
        <v>1089</v>
      </c>
      <c r="L49" s="515">
        <f t="shared" si="4"/>
        <v>44.344472099999997</v>
      </c>
      <c r="M49" s="515">
        <f t="shared" si="0"/>
        <v>11.825192560000001</v>
      </c>
      <c r="N49" s="516">
        <f t="shared" si="1"/>
        <v>5.9125962800000007</v>
      </c>
      <c r="O49" s="516">
        <f t="shared" si="2"/>
        <v>5.9125962800000007</v>
      </c>
      <c r="P49" s="513">
        <f t="shared" si="3"/>
        <v>20.694086979999994</v>
      </c>
    </row>
    <row r="50" spans="1:17">
      <c r="A50" s="509">
        <v>48</v>
      </c>
      <c r="B50" s="510" t="s">
        <v>1090</v>
      </c>
      <c r="C50" s="519" t="s">
        <v>247</v>
      </c>
      <c r="D50" s="254">
        <v>1003110930173</v>
      </c>
      <c r="E50" s="280">
        <v>5799996</v>
      </c>
      <c r="F50" s="518">
        <v>520.76</v>
      </c>
      <c r="G50" s="513">
        <f t="shared" si="5"/>
        <v>38.432088</v>
      </c>
      <c r="H50" s="518">
        <v>64.23</v>
      </c>
      <c r="I50" s="515">
        <f t="shared" si="6"/>
        <v>418.09791199999995</v>
      </c>
      <c r="J50" s="527" t="s">
        <v>13</v>
      </c>
      <c r="K50" s="518" t="s">
        <v>26</v>
      </c>
      <c r="L50" s="515">
        <f t="shared" si="4"/>
        <v>62.714686799999988</v>
      </c>
      <c r="M50" s="515">
        <f t="shared" si="0"/>
        <v>16.72391648</v>
      </c>
      <c r="N50" s="516">
        <f t="shared" si="1"/>
        <v>8.3619582399999999</v>
      </c>
      <c r="O50" s="516">
        <f t="shared" si="2"/>
        <v>8.3619582399999999</v>
      </c>
      <c r="P50" s="513">
        <f t="shared" si="3"/>
        <v>29.266853839999989</v>
      </c>
    </row>
    <row r="51" spans="1:17">
      <c r="A51" s="509">
        <v>49</v>
      </c>
      <c r="B51" s="510" t="s">
        <v>1091</v>
      </c>
      <c r="C51" s="519" t="s">
        <v>247</v>
      </c>
      <c r="D51" s="254">
        <v>1003110893125</v>
      </c>
      <c r="E51" s="280">
        <v>5802049</v>
      </c>
      <c r="F51" s="518">
        <v>512.20000000000005</v>
      </c>
      <c r="G51" s="513">
        <f t="shared" si="5"/>
        <v>37.800360000000005</v>
      </c>
      <c r="H51" s="518">
        <v>55.04</v>
      </c>
      <c r="I51" s="515">
        <f t="shared" si="6"/>
        <v>419.35964000000001</v>
      </c>
      <c r="J51" s="527" t="s">
        <v>13</v>
      </c>
      <c r="K51" s="518" t="s">
        <v>49</v>
      </c>
      <c r="L51" s="515">
        <f t="shared" si="4"/>
        <v>62.903945999999998</v>
      </c>
      <c r="M51" s="515">
        <f t="shared" si="0"/>
        <v>16.774385600000002</v>
      </c>
      <c r="N51" s="516">
        <f t="shared" si="1"/>
        <v>8.3871928000000011</v>
      </c>
      <c r="O51" s="516">
        <f t="shared" si="2"/>
        <v>8.3871928000000011</v>
      </c>
      <c r="P51" s="513">
        <f t="shared" si="3"/>
        <v>29.355174799999993</v>
      </c>
    </row>
    <row r="52" spans="1:17">
      <c r="A52" s="509">
        <v>50</v>
      </c>
      <c r="B52" s="339" t="s">
        <v>1092</v>
      </c>
      <c r="C52" s="327" t="s">
        <v>173</v>
      </c>
      <c r="D52" s="400">
        <v>1003110894886</v>
      </c>
      <c r="E52" s="401">
        <v>5803566</v>
      </c>
      <c r="F52" s="294">
        <v>632.91999999999996</v>
      </c>
      <c r="G52" s="294">
        <f t="shared" si="5"/>
        <v>46.709496000000001</v>
      </c>
      <c r="H52" s="294">
        <v>68.31</v>
      </c>
      <c r="I52" s="293">
        <f t="shared" si="6"/>
        <v>517.90050399999996</v>
      </c>
      <c r="J52" s="329" t="s">
        <v>13</v>
      </c>
      <c r="K52" s="294" t="s">
        <v>266</v>
      </c>
      <c r="L52" s="293">
        <f t="shared" si="4"/>
        <v>77.68507559999999</v>
      </c>
      <c r="M52" s="293">
        <f t="shared" si="0"/>
        <v>20.716020159999999</v>
      </c>
      <c r="N52" s="296">
        <f t="shared" si="1"/>
        <v>10.35801008</v>
      </c>
      <c r="O52" s="296">
        <f t="shared" si="2"/>
        <v>10.35801008</v>
      </c>
      <c r="P52" s="294">
        <f t="shared" si="3"/>
        <v>36.253035279999992</v>
      </c>
    </row>
    <row r="53" spans="1:17">
      <c r="A53" s="509">
        <v>51</v>
      </c>
      <c r="B53" s="510" t="s">
        <v>1093</v>
      </c>
      <c r="C53" s="519" t="s">
        <v>173</v>
      </c>
      <c r="D53" s="254">
        <v>1003110900354</v>
      </c>
      <c r="E53" s="280">
        <v>5793781</v>
      </c>
      <c r="F53" s="518">
        <v>614.89</v>
      </c>
      <c r="G53" s="513">
        <f t="shared" si="5"/>
        <v>45.378882000000004</v>
      </c>
      <c r="H53" s="518">
        <v>66.069999999999993</v>
      </c>
      <c r="I53" s="515">
        <f t="shared" si="6"/>
        <v>503.44111800000002</v>
      </c>
      <c r="J53" s="527" t="s">
        <v>13</v>
      </c>
      <c r="K53" s="518" t="s">
        <v>266</v>
      </c>
      <c r="L53" s="515">
        <f t="shared" si="4"/>
        <v>75.516167699999997</v>
      </c>
      <c r="M53" s="515">
        <f t="shared" si="0"/>
        <v>20.137644720000001</v>
      </c>
      <c r="N53" s="516">
        <f t="shared" si="1"/>
        <v>10.06882236</v>
      </c>
      <c r="O53" s="516">
        <f t="shared" si="2"/>
        <v>10.06882236</v>
      </c>
      <c r="P53" s="513">
        <f t="shared" si="3"/>
        <v>35.240878260000002</v>
      </c>
    </row>
    <row r="54" spans="1:17">
      <c r="A54" s="509">
        <v>52</v>
      </c>
      <c r="B54" s="510" t="s">
        <v>185</v>
      </c>
      <c r="C54" s="519" t="s">
        <v>559</v>
      </c>
      <c r="D54" s="254">
        <v>1003110900146</v>
      </c>
      <c r="E54" s="280">
        <v>5806492</v>
      </c>
      <c r="F54" s="518">
        <v>544.24</v>
      </c>
      <c r="G54" s="513">
        <f t="shared" si="5"/>
        <v>40.164912000000001</v>
      </c>
      <c r="H54" s="518">
        <v>58.48</v>
      </c>
      <c r="I54" s="515">
        <f t="shared" si="6"/>
        <v>445.59508799999998</v>
      </c>
      <c r="J54" s="527" t="s">
        <v>13</v>
      </c>
      <c r="K54" s="518" t="s">
        <v>49</v>
      </c>
      <c r="L54" s="515">
        <f t="shared" si="4"/>
        <v>66.839263199999991</v>
      </c>
      <c r="M54" s="515">
        <f t="shared" si="0"/>
        <v>17.823803519999998</v>
      </c>
      <c r="N54" s="516">
        <f t="shared" si="1"/>
        <v>8.9119017599999992</v>
      </c>
      <c r="O54" s="516">
        <f t="shared" si="2"/>
        <v>8.9119017599999992</v>
      </c>
      <c r="P54" s="513">
        <f t="shared" si="3"/>
        <v>31.191656159999994</v>
      </c>
    </row>
    <row r="55" spans="1:17">
      <c r="A55" s="509">
        <v>53</v>
      </c>
      <c r="B55" s="510" t="s">
        <v>1094</v>
      </c>
      <c r="C55" s="519" t="s">
        <v>173</v>
      </c>
      <c r="D55" s="371">
        <v>51772025423</v>
      </c>
      <c r="E55" s="280" t="s">
        <v>1095</v>
      </c>
      <c r="F55" s="518">
        <v>587.95000000000005</v>
      </c>
      <c r="G55" s="513">
        <f t="shared" si="5"/>
        <v>43.390710000000006</v>
      </c>
      <c r="H55" s="518">
        <v>72.52</v>
      </c>
      <c r="I55" s="515">
        <f t="shared" si="6"/>
        <v>472.03929000000005</v>
      </c>
      <c r="J55" s="527" t="s">
        <v>13</v>
      </c>
      <c r="K55" s="518" t="s">
        <v>17</v>
      </c>
      <c r="L55" s="515">
        <f t="shared" si="4"/>
        <v>70.80589350000001</v>
      </c>
      <c r="M55" s="515">
        <f t="shared" si="0"/>
        <v>18.881571600000001</v>
      </c>
      <c r="N55" s="516">
        <f t="shared" si="1"/>
        <v>9.4407858000000004</v>
      </c>
      <c r="O55" s="516">
        <f t="shared" si="2"/>
        <v>9.4407858000000004</v>
      </c>
      <c r="P55" s="513">
        <f t="shared" si="3"/>
        <v>33.042750300000009</v>
      </c>
    </row>
    <row r="56" spans="1:17">
      <c r="A56" s="509">
        <v>54</v>
      </c>
      <c r="B56" s="339" t="s">
        <v>1096</v>
      </c>
      <c r="C56" s="327" t="s">
        <v>247</v>
      </c>
      <c r="D56" s="400">
        <v>1003110907278</v>
      </c>
      <c r="E56" s="401">
        <v>5810210</v>
      </c>
      <c r="F56" s="294">
        <v>591.37</v>
      </c>
      <c r="G56" s="294">
        <f t="shared" si="5"/>
        <v>43.643106000000003</v>
      </c>
      <c r="H56" s="294">
        <v>63.54</v>
      </c>
      <c r="I56" s="293">
        <f t="shared" si="6"/>
        <v>484.186894</v>
      </c>
      <c r="J56" s="329" t="s">
        <v>13</v>
      </c>
      <c r="K56" s="294" t="s">
        <v>14</v>
      </c>
      <c r="L56" s="293">
        <f t="shared" si="4"/>
        <v>72.628034099999994</v>
      </c>
      <c r="M56" s="293">
        <f t="shared" si="0"/>
        <v>19.367475760000001</v>
      </c>
      <c r="N56" s="296">
        <f t="shared" si="1"/>
        <v>9.6837378800000007</v>
      </c>
      <c r="O56" s="296">
        <f t="shared" si="2"/>
        <v>9.6837378800000007</v>
      </c>
      <c r="P56" s="294">
        <f t="shared" si="3"/>
        <v>33.893082579999984</v>
      </c>
    </row>
    <row r="57" spans="1:17">
      <c r="A57" s="509">
        <v>55</v>
      </c>
      <c r="B57" s="510" t="s">
        <v>1020</v>
      </c>
      <c r="C57" s="519" t="s">
        <v>54</v>
      </c>
      <c r="D57" s="254">
        <v>2746829</v>
      </c>
      <c r="E57" s="280">
        <v>5807943</v>
      </c>
      <c r="F57" s="518">
        <v>644.55999999999995</v>
      </c>
      <c r="G57" s="513">
        <f t="shared" si="5"/>
        <v>47.568528000000001</v>
      </c>
      <c r="H57" s="518">
        <v>53.68</v>
      </c>
      <c r="I57" s="515">
        <f t="shared" si="6"/>
        <v>543.31147199999998</v>
      </c>
      <c r="J57" s="527" t="s">
        <v>38</v>
      </c>
      <c r="K57" s="518" t="s">
        <v>17</v>
      </c>
      <c r="L57" s="515">
        <f t="shared" si="4"/>
        <v>81.496720799999991</v>
      </c>
      <c r="M57" s="515">
        <f t="shared" si="0"/>
        <v>21.732458879999999</v>
      </c>
      <c r="N57" s="516">
        <f t="shared" si="1"/>
        <v>10.86622944</v>
      </c>
      <c r="O57" s="516">
        <f t="shared" si="2"/>
        <v>10.86622944</v>
      </c>
      <c r="P57" s="513">
        <f t="shared" si="3"/>
        <v>38.03180304</v>
      </c>
    </row>
    <row r="58" spans="1:17">
      <c r="A58" s="509">
        <v>56</v>
      </c>
      <c r="B58" s="510" t="s">
        <v>1097</v>
      </c>
      <c r="C58" s="519" t="s">
        <v>173</v>
      </c>
      <c r="D58" s="254">
        <v>1003110907853</v>
      </c>
      <c r="E58" s="280">
        <v>5811356</v>
      </c>
      <c r="F58" s="518">
        <v>568.09</v>
      </c>
      <c r="G58" s="513">
        <f t="shared" si="5"/>
        <v>41.925042000000005</v>
      </c>
      <c r="H58" s="518">
        <v>61.04</v>
      </c>
      <c r="I58" s="515">
        <f t="shared" si="6"/>
        <v>465.12495800000005</v>
      </c>
      <c r="J58" s="527" t="s">
        <v>13</v>
      </c>
      <c r="K58" s="518" t="s">
        <v>238</v>
      </c>
      <c r="L58" s="515">
        <f t="shared" si="4"/>
        <v>69.768743700000002</v>
      </c>
      <c r="M58" s="515">
        <f t="shared" si="0"/>
        <v>18.604998320000004</v>
      </c>
      <c r="N58" s="516">
        <f t="shared" si="1"/>
        <v>9.3024991600000018</v>
      </c>
      <c r="O58" s="516">
        <f t="shared" si="2"/>
        <v>9.3024991600000018</v>
      </c>
      <c r="P58" s="513">
        <f t="shared" si="3"/>
        <v>32.558747059999988</v>
      </c>
    </row>
    <row r="59" spans="1:17">
      <c r="A59" s="509">
        <v>57</v>
      </c>
      <c r="B59" s="510" t="s">
        <v>1098</v>
      </c>
      <c r="C59" s="519" t="s">
        <v>12</v>
      </c>
      <c r="D59" s="283">
        <v>1003110905239</v>
      </c>
      <c r="E59" s="280">
        <v>5808973</v>
      </c>
      <c r="F59" s="518">
        <v>655.02</v>
      </c>
      <c r="G59" s="513">
        <f t="shared" si="5"/>
        <v>48.340476000000002</v>
      </c>
      <c r="H59" s="518">
        <v>70.38</v>
      </c>
      <c r="I59" s="515">
        <f t="shared" si="6"/>
        <v>536.29952400000002</v>
      </c>
      <c r="J59" s="527" t="s">
        <v>13</v>
      </c>
      <c r="K59" s="518" t="s">
        <v>26</v>
      </c>
      <c r="L59" s="515">
        <f t="shared" si="4"/>
        <v>80.444928599999997</v>
      </c>
      <c r="M59" s="515">
        <f t="shared" si="0"/>
        <v>21.45198096</v>
      </c>
      <c r="N59" s="516">
        <f t="shared" si="1"/>
        <v>10.72599048</v>
      </c>
      <c r="O59" s="516">
        <f t="shared" si="2"/>
        <v>10.72599048</v>
      </c>
      <c r="P59" s="513">
        <f t="shared" si="3"/>
        <v>37.540966679999997</v>
      </c>
    </row>
    <row r="60" spans="1:17">
      <c r="A60" s="509">
        <v>58</v>
      </c>
      <c r="B60" s="587" t="s">
        <v>1099</v>
      </c>
      <c r="C60" s="588" t="s">
        <v>12</v>
      </c>
      <c r="D60" s="586" t="s">
        <v>1157</v>
      </c>
      <c r="E60" s="589">
        <v>5808865</v>
      </c>
      <c r="F60" s="590">
        <v>577.11</v>
      </c>
      <c r="G60" s="591">
        <f t="shared" si="5"/>
        <v>42.590718000000003</v>
      </c>
      <c r="H60" s="590">
        <v>0</v>
      </c>
      <c r="I60" s="592">
        <f t="shared" si="6"/>
        <v>534.51928199999998</v>
      </c>
      <c r="J60" s="593" t="s">
        <v>13</v>
      </c>
      <c r="K60" s="590" t="s">
        <v>40</v>
      </c>
      <c r="L60" s="592">
        <f t="shared" si="4"/>
        <v>80.177892299999996</v>
      </c>
      <c r="M60" s="592">
        <f t="shared" si="0"/>
        <v>21.380771280000001</v>
      </c>
      <c r="N60" s="594">
        <f t="shared" si="1"/>
        <v>10.690385640000001</v>
      </c>
      <c r="O60" s="594">
        <f t="shared" si="2"/>
        <v>10.690385640000001</v>
      </c>
      <c r="P60" s="591">
        <f t="shared" si="3"/>
        <v>37.416349739999987</v>
      </c>
      <c r="Q60" s="595"/>
    </row>
    <row r="61" spans="1:17">
      <c r="A61" s="509">
        <v>59</v>
      </c>
      <c r="B61" s="510" t="s">
        <v>1100</v>
      </c>
      <c r="C61" s="519" t="s">
        <v>475</v>
      </c>
      <c r="D61" s="254">
        <v>51772025423</v>
      </c>
      <c r="E61" s="280">
        <v>5807847</v>
      </c>
      <c r="F61" s="518">
        <v>515.4</v>
      </c>
      <c r="G61" s="513">
        <f t="shared" si="5"/>
        <v>38.036520000000003</v>
      </c>
      <c r="H61" s="518">
        <v>51.54</v>
      </c>
      <c r="I61" s="515">
        <f t="shared" si="6"/>
        <v>425.82347999999996</v>
      </c>
      <c r="J61" s="527" t="s">
        <v>38</v>
      </c>
      <c r="K61" s="518" t="s">
        <v>207</v>
      </c>
      <c r="L61" s="515">
        <f t="shared" si="4"/>
        <v>63.873521999999994</v>
      </c>
      <c r="M61" s="515">
        <f t="shared" si="0"/>
        <v>17.032939199999998</v>
      </c>
      <c r="N61" s="516">
        <f t="shared" si="1"/>
        <v>8.5164695999999989</v>
      </c>
      <c r="O61" s="516">
        <f t="shared" si="2"/>
        <v>8.5164695999999989</v>
      </c>
      <c r="P61" s="513">
        <f t="shared" si="3"/>
        <v>29.807643599999992</v>
      </c>
    </row>
    <row r="62" spans="1:17">
      <c r="A62" s="509">
        <v>60</v>
      </c>
      <c r="B62" s="510" t="s">
        <v>1101</v>
      </c>
      <c r="C62" s="519" t="s">
        <v>35</v>
      </c>
      <c r="D62" s="254">
        <v>36272637</v>
      </c>
      <c r="E62" s="280">
        <v>5809027</v>
      </c>
      <c r="F62" s="518">
        <v>1662.48</v>
      </c>
      <c r="G62" s="513">
        <f t="shared" si="5"/>
        <v>122.69102400000001</v>
      </c>
      <c r="H62" s="518">
        <v>138.54</v>
      </c>
      <c r="I62" s="515">
        <f t="shared" si="6"/>
        <v>1401.2489760000001</v>
      </c>
      <c r="J62" s="527" t="s">
        <v>38</v>
      </c>
      <c r="K62" s="518" t="s">
        <v>266</v>
      </c>
      <c r="L62" s="515">
        <f t="shared" si="4"/>
        <v>210.1873464</v>
      </c>
      <c r="M62" s="515">
        <f t="shared" si="0"/>
        <v>56.049959040000005</v>
      </c>
      <c r="N62" s="516">
        <f t="shared" si="1"/>
        <v>28.024979520000002</v>
      </c>
      <c r="O62" s="516">
        <f t="shared" si="2"/>
        <v>28.024979520000002</v>
      </c>
      <c r="P62" s="513">
        <f t="shared" si="3"/>
        <v>98.087428319999987</v>
      </c>
    </row>
    <row r="63" spans="1:17">
      <c r="A63" s="509">
        <v>61</v>
      </c>
      <c r="B63" s="510" t="s">
        <v>1102</v>
      </c>
      <c r="C63" s="519" t="s">
        <v>247</v>
      </c>
      <c r="D63" s="254">
        <v>1003110914505</v>
      </c>
      <c r="E63" s="280" t="s">
        <v>1103</v>
      </c>
      <c r="F63" s="518">
        <v>592.77</v>
      </c>
      <c r="G63" s="513">
        <f t="shared" si="5"/>
        <v>43.746426</v>
      </c>
      <c r="H63" s="518">
        <v>296.39</v>
      </c>
      <c r="I63" s="515">
        <f t="shared" si="6"/>
        <v>252.63357399999995</v>
      </c>
      <c r="J63" s="527" t="s">
        <v>13</v>
      </c>
      <c r="K63" s="518" t="s">
        <v>17</v>
      </c>
      <c r="L63" s="515">
        <f t="shared" si="4"/>
        <v>37.895036099999992</v>
      </c>
      <c r="M63" s="515">
        <f t="shared" si="0"/>
        <v>10.105342959999998</v>
      </c>
      <c r="N63" s="516">
        <f t="shared" si="1"/>
        <v>5.052671479999999</v>
      </c>
      <c r="O63" s="516">
        <f t="shared" si="2"/>
        <v>5.052671479999999</v>
      </c>
      <c r="P63" s="513">
        <f t="shared" si="3"/>
        <v>17.684350179999996</v>
      </c>
    </row>
    <row r="64" spans="1:17">
      <c r="A64" s="509">
        <v>62</v>
      </c>
      <c r="B64" s="510" t="s">
        <v>1104</v>
      </c>
      <c r="C64" s="519" t="s">
        <v>173</v>
      </c>
      <c r="D64" s="254">
        <v>2027355758</v>
      </c>
      <c r="E64" s="280">
        <v>5814590</v>
      </c>
      <c r="F64" s="518">
        <v>1243.27</v>
      </c>
      <c r="G64" s="513">
        <f t="shared" si="5"/>
        <v>91.753326000000001</v>
      </c>
      <c r="H64" s="518">
        <v>161.88999999999999</v>
      </c>
      <c r="I64" s="515">
        <f t="shared" si="6"/>
        <v>989.62667399999998</v>
      </c>
      <c r="J64" s="527" t="s">
        <v>13</v>
      </c>
      <c r="K64" s="518" t="s">
        <v>51</v>
      </c>
      <c r="L64" s="515">
        <f t="shared" si="4"/>
        <v>148.44400109999998</v>
      </c>
      <c r="M64" s="515">
        <f t="shared" si="0"/>
        <v>39.585066959999999</v>
      </c>
      <c r="N64" s="516">
        <f t="shared" si="1"/>
        <v>19.792533479999999</v>
      </c>
      <c r="O64" s="516">
        <f t="shared" si="2"/>
        <v>19.792533479999999</v>
      </c>
      <c r="P64" s="513">
        <f t="shared" si="3"/>
        <v>69.273867179999968</v>
      </c>
    </row>
    <row r="65" spans="1:16">
      <c r="A65" s="509">
        <v>63</v>
      </c>
      <c r="B65" s="510" t="s">
        <v>1105</v>
      </c>
      <c r="C65" s="519" t="s">
        <v>931</v>
      </c>
      <c r="D65" s="254">
        <v>1003110920484</v>
      </c>
      <c r="E65" s="280">
        <v>5810358</v>
      </c>
      <c r="F65" s="518">
        <v>770.25</v>
      </c>
      <c r="G65" s="513">
        <f t="shared" si="5"/>
        <v>56.844450000000002</v>
      </c>
      <c r="H65" s="518">
        <v>0</v>
      </c>
      <c r="I65" s="515">
        <f t="shared" si="6"/>
        <v>713.40554999999995</v>
      </c>
      <c r="J65" s="527" t="s">
        <v>38</v>
      </c>
      <c r="K65" s="518" t="s">
        <v>332</v>
      </c>
      <c r="L65" s="515">
        <f t="shared" si="4"/>
        <v>107.01083249999999</v>
      </c>
      <c r="M65" s="515">
        <f t="shared" si="0"/>
        <v>28.536221999999999</v>
      </c>
      <c r="N65" s="516">
        <f t="shared" si="1"/>
        <v>14.268110999999999</v>
      </c>
      <c r="O65" s="516">
        <f t="shared" si="2"/>
        <v>14.268110999999999</v>
      </c>
      <c r="P65" s="513">
        <f t="shared" si="3"/>
        <v>49.938388499999995</v>
      </c>
    </row>
    <row r="66" spans="1:16">
      <c r="A66" s="509">
        <v>64</v>
      </c>
      <c r="B66" s="510" t="s">
        <v>1106</v>
      </c>
      <c r="C66" s="519" t="s">
        <v>559</v>
      </c>
      <c r="D66" s="254">
        <v>1003110913597</v>
      </c>
      <c r="E66" s="280">
        <v>5814289</v>
      </c>
      <c r="F66" s="518">
        <v>508.14</v>
      </c>
      <c r="G66" s="513">
        <f t="shared" si="5"/>
        <v>37.500731999999999</v>
      </c>
      <c r="H66" s="518">
        <v>169.38</v>
      </c>
      <c r="I66" s="515">
        <f t="shared" si="6"/>
        <v>301.25926800000002</v>
      </c>
      <c r="J66" s="527" t="s">
        <v>13</v>
      </c>
      <c r="K66" s="518" t="s">
        <v>238</v>
      </c>
      <c r="L66" s="515">
        <f t="shared" si="4"/>
        <v>45.188890200000003</v>
      </c>
      <c r="M66" s="515">
        <f t="shared" si="0"/>
        <v>12.050370720000002</v>
      </c>
      <c r="N66" s="516">
        <f t="shared" si="1"/>
        <v>6.0251853600000009</v>
      </c>
      <c r="O66" s="516">
        <f t="shared" si="2"/>
        <v>6.0251853600000009</v>
      </c>
      <c r="P66" s="513">
        <f t="shared" si="3"/>
        <v>21.088148759999996</v>
      </c>
    </row>
    <row r="67" spans="1:16">
      <c r="A67" s="509">
        <v>65</v>
      </c>
      <c r="B67" s="510" t="s">
        <v>175</v>
      </c>
      <c r="C67" s="519" t="s">
        <v>173</v>
      </c>
      <c r="D67" s="254">
        <v>1003110910491</v>
      </c>
      <c r="E67" s="280">
        <v>5810876</v>
      </c>
      <c r="F67" s="518">
        <v>599.76</v>
      </c>
      <c r="G67" s="513">
        <f t="shared" si="5"/>
        <v>44.262288000000005</v>
      </c>
      <c r="H67" s="518">
        <v>73.97</v>
      </c>
      <c r="I67" s="515">
        <f t="shared" si="6"/>
        <v>481.52771199999995</v>
      </c>
      <c r="J67" s="527" t="s">
        <v>13</v>
      </c>
      <c r="K67" s="518" t="s">
        <v>330</v>
      </c>
      <c r="L67" s="515">
        <f t="shared" si="4"/>
        <v>72.229156799999984</v>
      </c>
      <c r="M67" s="515">
        <f t="shared" ref="M67:M114" si="7">I67*4%</f>
        <v>19.261108479999997</v>
      </c>
      <c r="N67" s="516">
        <f t="shared" ref="N67:N114" si="8">I67*2%</f>
        <v>9.6305542399999986</v>
      </c>
      <c r="O67" s="516">
        <f t="shared" ref="O67:O114" si="9">I67*2%</f>
        <v>9.6305542399999986</v>
      </c>
      <c r="P67" s="513">
        <f t="shared" ref="P67:P114" si="10">L67-M67-N67-O67</f>
        <v>33.70693983999999</v>
      </c>
    </row>
    <row r="68" spans="1:16">
      <c r="A68" s="509">
        <v>66</v>
      </c>
      <c r="B68" s="510" t="s">
        <v>1107</v>
      </c>
      <c r="C68" s="519" t="s">
        <v>234</v>
      </c>
      <c r="D68" s="254">
        <v>1003110910533</v>
      </c>
      <c r="E68" s="280">
        <v>5810169</v>
      </c>
      <c r="F68" s="518">
        <v>654</v>
      </c>
      <c r="G68" s="513">
        <f t="shared" si="5"/>
        <v>48.2652</v>
      </c>
      <c r="H68" s="518">
        <v>70.27</v>
      </c>
      <c r="I68" s="515">
        <f t="shared" si="6"/>
        <v>535.46479999999997</v>
      </c>
      <c r="J68" s="527" t="s">
        <v>13</v>
      </c>
      <c r="K68" s="518" t="s">
        <v>330</v>
      </c>
      <c r="L68" s="515">
        <f t="shared" ref="L68:L114" si="11">I68*15%</f>
        <v>80.31971999999999</v>
      </c>
      <c r="M68" s="515">
        <f t="shared" si="7"/>
        <v>21.418592</v>
      </c>
      <c r="N68" s="539">
        <f t="shared" si="8"/>
        <v>10.709296</v>
      </c>
      <c r="O68" s="539">
        <f t="shared" si="9"/>
        <v>10.709296</v>
      </c>
      <c r="P68" s="540">
        <f t="shared" si="10"/>
        <v>37.482535999999982</v>
      </c>
    </row>
    <row r="69" spans="1:16">
      <c r="A69" s="509">
        <v>67</v>
      </c>
      <c r="B69" s="510" t="s">
        <v>1108</v>
      </c>
      <c r="C69" s="519" t="s">
        <v>19</v>
      </c>
      <c r="D69" s="254">
        <v>1003110909913</v>
      </c>
      <c r="E69" s="280" t="s">
        <v>1109</v>
      </c>
      <c r="F69" s="518">
        <v>467.14</v>
      </c>
      <c r="G69" s="540">
        <f t="shared" ref="G69:G114" si="12">F69*7.38%</f>
        <v>34.474932000000003</v>
      </c>
      <c r="H69" s="518">
        <v>0</v>
      </c>
      <c r="I69" s="541">
        <f t="shared" ref="I69:I114" si="13">F69-G69-H69</f>
        <v>432.66506799999996</v>
      </c>
      <c r="J69" s="527" t="s">
        <v>13</v>
      </c>
      <c r="K69" s="518" t="s">
        <v>17</v>
      </c>
      <c r="L69" s="515">
        <f t="shared" si="11"/>
        <v>64.899760199999989</v>
      </c>
      <c r="M69" s="515">
        <f t="shared" si="7"/>
        <v>17.306602719999997</v>
      </c>
      <c r="N69" s="539">
        <f t="shared" si="8"/>
        <v>8.6533013599999986</v>
      </c>
      <c r="O69" s="539">
        <f t="shared" si="9"/>
        <v>8.6533013599999986</v>
      </c>
      <c r="P69" s="540">
        <f t="shared" si="10"/>
        <v>30.286554759999987</v>
      </c>
    </row>
    <row r="70" spans="1:16">
      <c r="A70" s="509">
        <v>68</v>
      </c>
      <c r="B70" s="510" t="s">
        <v>848</v>
      </c>
      <c r="C70" s="519" t="s">
        <v>99</v>
      </c>
      <c r="D70" s="254">
        <v>2027380468</v>
      </c>
      <c r="E70" s="280" t="s">
        <v>1110</v>
      </c>
      <c r="F70" s="518">
        <v>520.86</v>
      </c>
      <c r="G70" s="513">
        <f t="shared" si="12"/>
        <v>38.439468000000005</v>
      </c>
      <c r="H70" s="518">
        <v>0</v>
      </c>
      <c r="I70" s="515">
        <f t="shared" si="13"/>
        <v>482.42053199999998</v>
      </c>
      <c r="J70" s="527" t="s">
        <v>13</v>
      </c>
      <c r="K70" s="518" t="s">
        <v>266</v>
      </c>
      <c r="L70" s="515">
        <f t="shared" si="11"/>
        <v>72.363079799999994</v>
      </c>
      <c r="M70" s="515">
        <f t="shared" si="7"/>
        <v>19.29682128</v>
      </c>
      <c r="N70" s="516">
        <f t="shared" si="8"/>
        <v>9.6484106399999998</v>
      </c>
      <c r="O70" s="516">
        <f t="shared" si="9"/>
        <v>9.6484106399999998</v>
      </c>
      <c r="P70" s="513">
        <f t="shared" si="10"/>
        <v>33.769437239999988</v>
      </c>
    </row>
    <row r="71" spans="1:16">
      <c r="A71" s="509">
        <v>69</v>
      </c>
      <c r="B71" s="510" t="s">
        <v>1111</v>
      </c>
      <c r="C71" s="519" t="s">
        <v>475</v>
      </c>
      <c r="D71" s="254">
        <v>36287632</v>
      </c>
      <c r="E71" s="280">
        <v>5815149</v>
      </c>
      <c r="F71" s="518">
        <v>498.07</v>
      </c>
      <c r="G71" s="513">
        <f t="shared" si="12"/>
        <v>36.757566000000004</v>
      </c>
      <c r="H71" s="518">
        <v>0</v>
      </c>
      <c r="I71" s="515">
        <f t="shared" si="13"/>
        <v>461.312434</v>
      </c>
      <c r="J71" s="527" t="s">
        <v>13</v>
      </c>
      <c r="K71" s="518" t="s">
        <v>14</v>
      </c>
      <c r="L71" s="515">
        <f t="shared" si="11"/>
        <v>69.196865099999997</v>
      </c>
      <c r="M71" s="515">
        <f t="shared" si="7"/>
        <v>18.452497359999999</v>
      </c>
      <c r="N71" s="516">
        <f t="shared" si="8"/>
        <v>9.2262486799999994</v>
      </c>
      <c r="O71" s="516">
        <f t="shared" si="9"/>
        <v>9.2262486799999994</v>
      </c>
      <c r="P71" s="513">
        <f t="shared" si="10"/>
        <v>32.291870380000006</v>
      </c>
    </row>
    <row r="72" spans="1:16">
      <c r="A72" s="509">
        <v>70</v>
      </c>
      <c r="B72" s="510" t="s">
        <v>1112</v>
      </c>
      <c r="C72" s="519" t="s">
        <v>135</v>
      </c>
      <c r="D72" s="254">
        <v>2311778804</v>
      </c>
      <c r="E72" s="280" t="s">
        <v>1113</v>
      </c>
      <c r="F72" s="518">
        <v>523.12</v>
      </c>
      <c r="G72" s="513">
        <f t="shared" si="12"/>
        <v>38.606256000000002</v>
      </c>
      <c r="H72" s="518">
        <v>65.39</v>
      </c>
      <c r="I72" s="515">
        <f t="shared" si="13"/>
        <v>419.12374399999999</v>
      </c>
      <c r="J72" s="527" t="s">
        <v>38</v>
      </c>
      <c r="K72" s="518" t="s">
        <v>17</v>
      </c>
      <c r="L72" s="515">
        <f t="shared" si="11"/>
        <v>62.868561599999992</v>
      </c>
      <c r="M72" s="515">
        <f t="shared" si="7"/>
        <v>16.76494976</v>
      </c>
      <c r="N72" s="516">
        <f t="shared" si="8"/>
        <v>8.3824748800000002</v>
      </c>
      <c r="O72" s="516">
        <f t="shared" si="9"/>
        <v>8.3824748800000002</v>
      </c>
      <c r="P72" s="513">
        <f t="shared" si="10"/>
        <v>29.338662079999995</v>
      </c>
    </row>
    <row r="73" spans="1:16">
      <c r="A73" s="509">
        <v>71</v>
      </c>
      <c r="B73" s="339" t="s">
        <v>1114</v>
      </c>
      <c r="C73" s="327" t="s">
        <v>31</v>
      </c>
      <c r="D73" s="400">
        <v>1003110918825</v>
      </c>
      <c r="E73" s="401">
        <v>5816840</v>
      </c>
      <c r="F73" s="294">
        <v>1114.5899999999999</v>
      </c>
      <c r="G73" s="294">
        <f t="shared" si="12"/>
        <v>82.256742000000003</v>
      </c>
      <c r="H73" s="294">
        <v>119.77</v>
      </c>
      <c r="I73" s="293">
        <f t="shared" si="13"/>
        <v>912.56325799999991</v>
      </c>
      <c r="J73" s="329" t="s">
        <v>13</v>
      </c>
      <c r="K73" s="294" t="s">
        <v>26</v>
      </c>
      <c r="L73" s="293">
        <f t="shared" si="11"/>
        <v>136.88448869999999</v>
      </c>
      <c r="M73" s="293">
        <f t="shared" si="7"/>
        <v>36.502530319999998</v>
      </c>
      <c r="N73" s="296">
        <f t="shared" si="8"/>
        <v>18.251265159999999</v>
      </c>
      <c r="O73" s="296">
        <f t="shared" si="9"/>
        <v>18.251265159999999</v>
      </c>
      <c r="P73" s="294">
        <f t="shared" si="10"/>
        <v>63.879428059999981</v>
      </c>
    </row>
    <row r="74" spans="1:16">
      <c r="A74" s="509">
        <v>72</v>
      </c>
      <c r="B74" s="510" t="s">
        <v>1115</v>
      </c>
      <c r="C74" s="519" t="s">
        <v>12</v>
      </c>
      <c r="D74" s="481">
        <v>1003110917079</v>
      </c>
      <c r="E74" s="280">
        <v>5815874</v>
      </c>
      <c r="F74" s="518">
        <v>545.21</v>
      </c>
      <c r="G74" s="513">
        <f t="shared" si="12"/>
        <v>40.236498000000005</v>
      </c>
      <c r="H74" s="518">
        <v>67.25</v>
      </c>
      <c r="I74" s="515">
        <f t="shared" si="13"/>
        <v>437.72350200000005</v>
      </c>
      <c r="J74" s="527" t="s">
        <v>13</v>
      </c>
      <c r="K74" s="518" t="s">
        <v>26</v>
      </c>
      <c r="L74" s="515">
        <f t="shared" si="11"/>
        <v>65.658525300000008</v>
      </c>
      <c r="M74" s="515">
        <f t="shared" si="7"/>
        <v>17.508940080000002</v>
      </c>
      <c r="N74" s="516">
        <f t="shared" si="8"/>
        <v>8.7544700400000011</v>
      </c>
      <c r="O74" s="516">
        <f t="shared" si="9"/>
        <v>8.7544700400000011</v>
      </c>
      <c r="P74" s="513">
        <f t="shared" si="10"/>
        <v>30.640645140000004</v>
      </c>
    </row>
    <row r="75" spans="1:16">
      <c r="A75" s="509">
        <v>73</v>
      </c>
      <c r="B75" s="339" t="s">
        <v>1116</v>
      </c>
      <c r="C75" s="327" t="s">
        <v>475</v>
      </c>
      <c r="D75" s="400">
        <v>1003110431745</v>
      </c>
      <c r="E75" s="401">
        <v>5792531</v>
      </c>
      <c r="F75" s="294">
        <v>812.64</v>
      </c>
      <c r="G75" s="294">
        <f t="shared" si="12"/>
        <v>59.972832000000004</v>
      </c>
      <c r="H75" s="294">
        <v>67.72</v>
      </c>
      <c r="I75" s="293">
        <f t="shared" si="13"/>
        <v>684.94716799999992</v>
      </c>
      <c r="J75" s="329" t="s">
        <v>38</v>
      </c>
      <c r="K75" s="294" t="s">
        <v>25</v>
      </c>
      <c r="L75" s="293">
        <f t="shared" si="11"/>
        <v>102.74207519999999</v>
      </c>
      <c r="M75" s="293">
        <f t="shared" si="7"/>
        <v>27.397886719999999</v>
      </c>
      <c r="N75" s="296">
        <f t="shared" si="8"/>
        <v>13.698943359999999</v>
      </c>
      <c r="O75" s="296">
        <f t="shared" si="9"/>
        <v>13.698943359999999</v>
      </c>
      <c r="P75" s="294">
        <f t="shared" si="10"/>
        <v>47.946301759999983</v>
      </c>
    </row>
    <row r="76" spans="1:16">
      <c r="A76" s="509">
        <v>74</v>
      </c>
      <c r="B76" s="510" t="s">
        <v>1117</v>
      </c>
      <c r="C76" s="519" t="s">
        <v>12</v>
      </c>
      <c r="D76" s="482">
        <v>1003110926632</v>
      </c>
      <c r="E76" s="280">
        <v>5819723</v>
      </c>
      <c r="F76" s="518">
        <v>572.66</v>
      </c>
      <c r="G76" s="513">
        <f t="shared" si="12"/>
        <v>42.262307999999997</v>
      </c>
      <c r="H76" s="518">
        <v>61.53</v>
      </c>
      <c r="I76" s="515">
        <f t="shared" si="13"/>
        <v>468.86769200000003</v>
      </c>
      <c r="J76" s="527" t="s">
        <v>13</v>
      </c>
      <c r="K76" s="518" t="s">
        <v>14</v>
      </c>
      <c r="L76" s="515">
        <f t="shared" si="11"/>
        <v>70.330153800000005</v>
      </c>
      <c r="M76" s="515">
        <f t="shared" si="7"/>
        <v>18.754707680000003</v>
      </c>
      <c r="N76" s="516">
        <f t="shared" si="8"/>
        <v>9.3773538400000014</v>
      </c>
      <c r="O76" s="516">
        <f t="shared" si="9"/>
        <v>9.3773538400000014</v>
      </c>
      <c r="P76" s="513">
        <f t="shared" si="10"/>
        <v>32.82073844</v>
      </c>
    </row>
    <row r="77" spans="1:16">
      <c r="A77" s="509">
        <v>75</v>
      </c>
      <c r="B77" s="510" t="s">
        <v>1118</v>
      </c>
      <c r="C77" s="519" t="s">
        <v>475</v>
      </c>
      <c r="D77" s="254">
        <v>100311092598</v>
      </c>
      <c r="E77" s="280">
        <v>5819122</v>
      </c>
      <c r="F77" s="518">
        <v>565.12</v>
      </c>
      <c r="G77" s="513">
        <f t="shared" si="12"/>
        <v>41.705856000000004</v>
      </c>
      <c r="H77" s="518">
        <v>69.7</v>
      </c>
      <c r="I77" s="515">
        <f t="shared" si="13"/>
        <v>453.71414399999998</v>
      </c>
      <c r="J77" s="527" t="s">
        <v>13</v>
      </c>
      <c r="K77" s="518" t="s">
        <v>26</v>
      </c>
      <c r="L77" s="515">
        <f t="shared" si="11"/>
        <v>68.057121599999988</v>
      </c>
      <c r="M77" s="515">
        <f t="shared" si="7"/>
        <v>18.14856576</v>
      </c>
      <c r="N77" s="516">
        <f t="shared" si="8"/>
        <v>9.0742828800000002</v>
      </c>
      <c r="O77" s="516">
        <f t="shared" si="9"/>
        <v>9.0742828800000002</v>
      </c>
      <c r="P77" s="513">
        <f t="shared" si="10"/>
        <v>31.759990079999994</v>
      </c>
    </row>
    <row r="78" spans="1:16">
      <c r="A78" s="509">
        <v>76</v>
      </c>
      <c r="B78" s="510" t="s">
        <v>1119</v>
      </c>
      <c r="C78" s="519" t="s">
        <v>12</v>
      </c>
      <c r="D78" s="254">
        <v>1003110925733</v>
      </c>
      <c r="E78" s="280">
        <v>5821086</v>
      </c>
      <c r="F78" s="518">
        <v>601.30999999999995</v>
      </c>
      <c r="G78" s="513">
        <f t="shared" si="12"/>
        <v>44.376677999999998</v>
      </c>
      <c r="H78" s="518">
        <v>64.61</v>
      </c>
      <c r="I78" s="515">
        <f t="shared" si="13"/>
        <v>492.32332199999996</v>
      </c>
      <c r="J78" s="527" t="s">
        <v>13</v>
      </c>
      <c r="K78" s="518" t="s">
        <v>182</v>
      </c>
      <c r="L78" s="515">
        <f t="shared" si="11"/>
        <v>73.848498299999989</v>
      </c>
      <c r="M78" s="515">
        <f t="shared" si="7"/>
        <v>19.692932879999997</v>
      </c>
      <c r="N78" s="516">
        <f t="shared" si="8"/>
        <v>9.8464664399999986</v>
      </c>
      <c r="O78" s="516">
        <f t="shared" si="9"/>
        <v>9.8464664399999986</v>
      </c>
      <c r="P78" s="513">
        <f t="shared" si="10"/>
        <v>34.462632539999987</v>
      </c>
    </row>
    <row r="79" spans="1:16">
      <c r="A79" s="509">
        <v>77</v>
      </c>
      <c r="B79" s="510" t="s">
        <v>1120</v>
      </c>
      <c r="C79" s="519" t="s">
        <v>475</v>
      </c>
      <c r="D79" s="254">
        <v>1003110934279</v>
      </c>
      <c r="E79" s="280">
        <v>5815923</v>
      </c>
      <c r="F79" s="518">
        <v>518.71</v>
      </c>
      <c r="G79" s="513">
        <f t="shared" si="12"/>
        <v>38.280798000000004</v>
      </c>
      <c r="H79" s="518">
        <v>55.74</v>
      </c>
      <c r="I79" s="515">
        <f t="shared" si="13"/>
        <v>424.68920200000002</v>
      </c>
      <c r="J79" s="527" t="s">
        <v>38</v>
      </c>
      <c r="K79" s="518" t="s">
        <v>51</v>
      </c>
      <c r="L79" s="515">
        <f t="shared" si="11"/>
        <v>63.703380299999999</v>
      </c>
      <c r="M79" s="515">
        <f t="shared" si="7"/>
        <v>16.987568080000003</v>
      </c>
      <c r="N79" s="516">
        <f t="shared" si="8"/>
        <v>8.4937840400000013</v>
      </c>
      <c r="O79" s="516">
        <f t="shared" si="9"/>
        <v>8.4937840400000013</v>
      </c>
      <c r="P79" s="513">
        <f t="shared" si="10"/>
        <v>29.728244139999994</v>
      </c>
    </row>
    <row r="80" spans="1:16">
      <c r="A80" s="509">
        <v>78</v>
      </c>
      <c r="B80" s="510" t="s">
        <v>1121</v>
      </c>
      <c r="C80" s="519" t="s">
        <v>931</v>
      </c>
      <c r="D80" s="254">
        <v>2722482</v>
      </c>
      <c r="E80" s="280">
        <v>5819906</v>
      </c>
      <c r="F80" s="518">
        <v>520.91999999999996</v>
      </c>
      <c r="G80" s="513">
        <f t="shared" si="12"/>
        <v>38.443896000000002</v>
      </c>
      <c r="H80" s="518">
        <v>45.7</v>
      </c>
      <c r="I80" s="515">
        <f t="shared" si="13"/>
        <v>436.77610399999998</v>
      </c>
      <c r="J80" s="527" t="s">
        <v>38</v>
      </c>
      <c r="K80" s="518" t="s">
        <v>258</v>
      </c>
      <c r="L80" s="515">
        <f t="shared" si="11"/>
        <v>65.516415599999988</v>
      </c>
      <c r="M80" s="515">
        <f t="shared" si="7"/>
        <v>17.471044159999998</v>
      </c>
      <c r="N80" s="516">
        <f t="shared" si="8"/>
        <v>8.7355220799999991</v>
      </c>
      <c r="O80" s="516">
        <f t="shared" si="9"/>
        <v>8.7355220799999991</v>
      </c>
      <c r="P80" s="513">
        <f t="shared" si="10"/>
        <v>30.574327279999988</v>
      </c>
    </row>
    <row r="81" spans="1:16">
      <c r="A81" s="509">
        <v>79</v>
      </c>
      <c r="B81" s="510" t="s">
        <v>1122</v>
      </c>
      <c r="C81" s="519" t="s">
        <v>475</v>
      </c>
      <c r="D81" s="254">
        <v>1003110924794</v>
      </c>
      <c r="E81" s="280">
        <v>5762236</v>
      </c>
      <c r="F81" s="518">
        <v>504.92</v>
      </c>
      <c r="G81" s="513">
        <f t="shared" si="12"/>
        <v>37.263096000000004</v>
      </c>
      <c r="H81" s="518">
        <v>54.26</v>
      </c>
      <c r="I81" s="515">
        <f t="shared" si="13"/>
        <v>413.39690400000001</v>
      </c>
      <c r="J81" s="527" t="s">
        <v>13</v>
      </c>
      <c r="K81" s="518" t="s">
        <v>1089</v>
      </c>
      <c r="L81" s="515">
        <f t="shared" si="11"/>
        <v>62.0095356</v>
      </c>
      <c r="M81" s="515">
        <f t="shared" si="7"/>
        <v>16.535876160000001</v>
      </c>
      <c r="N81" s="516">
        <f t="shared" si="8"/>
        <v>8.2679380800000004</v>
      </c>
      <c r="O81" s="516">
        <f t="shared" si="9"/>
        <v>8.2679380800000004</v>
      </c>
      <c r="P81" s="513">
        <f t="shared" si="10"/>
        <v>28.937783279999998</v>
      </c>
    </row>
    <row r="82" spans="1:16">
      <c r="A82" s="509">
        <v>80</v>
      </c>
      <c r="B82" s="510" t="s">
        <v>1123</v>
      </c>
      <c r="C82" s="519" t="s">
        <v>475</v>
      </c>
      <c r="D82" s="254">
        <v>2725066</v>
      </c>
      <c r="E82" s="280">
        <v>5819457</v>
      </c>
      <c r="F82" s="518">
        <v>473.66</v>
      </c>
      <c r="G82" s="513">
        <f t="shared" si="12"/>
        <v>34.956108000000008</v>
      </c>
      <c r="H82" s="518">
        <v>49.86</v>
      </c>
      <c r="I82" s="515">
        <f t="shared" si="13"/>
        <v>388.84389199999998</v>
      </c>
      <c r="J82" s="527" t="s">
        <v>38</v>
      </c>
      <c r="K82" s="518" t="s">
        <v>17</v>
      </c>
      <c r="L82" s="515">
        <f t="shared" si="11"/>
        <v>58.326583799999995</v>
      </c>
      <c r="M82" s="515">
        <f t="shared" si="7"/>
        <v>15.55375568</v>
      </c>
      <c r="N82" s="516">
        <f t="shared" si="8"/>
        <v>7.77687784</v>
      </c>
      <c r="O82" s="516">
        <f t="shared" si="9"/>
        <v>7.77687784</v>
      </c>
      <c r="P82" s="513">
        <f t="shared" si="10"/>
        <v>27.219072439999994</v>
      </c>
    </row>
    <row r="83" spans="1:16">
      <c r="A83" s="509">
        <v>81</v>
      </c>
      <c r="B83" s="510" t="s">
        <v>1124</v>
      </c>
      <c r="C83" s="519" t="s">
        <v>234</v>
      </c>
      <c r="D83" s="254">
        <v>1003110939787</v>
      </c>
      <c r="E83" s="280">
        <v>5810610</v>
      </c>
      <c r="F83" s="518">
        <v>533.28</v>
      </c>
      <c r="G83" s="513">
        <f t="shared" si="12"/>
        <v>39.356064000000003</v>
      </c>
      <c r="H83" s="518">
        <v>0</v>
      </c>
      <c r="I83" s="515">
        <f t="shared" si="13"/>
        <v>493.92393599999997</v>
      </c>
      <c r="J83" s="527" t="s">
        <v>13</v>
      </c>
      <c r="K83" s="518" t="s">
        <v>216</v>
      </c>
      <c r="L83" s="515">
        <f t="shared" si="11"/>
        <v>74.088590399999987</v>
      </c>
      <c r="M83" s="515">
        <f t="shared" si="7"/>
        <v>19.756957440000001</v>
      </c>
      <c r="N83" s="516">
        <f t="shared" si="8"/>
        <v>9.8784787200000004</v>
      </c>
      <c r="O83" s="516">
        <f t="shared" si="9"/>
        <v>9.8784787200000004</v>
      </c>
      <c r="P83" s="513">
        <f t="shared" si="10"/>
        <v>34.574675519999985</v>
      </c>
    </row>
    <row r="84" spans="1:16">
      <c r="A84" s="509">
        <v>82</v>
      </c>
      <c r="B84" s="510" t="s">
        <v>1125</v>
      </c>
      <c r="C84" s="519" t="s">
        <v>173</v>
      </c>
      <c r="D84" s="254">
        <v>36384873</v>
      </c>
      <c r="E84" s="280">
        <v>5814167</v>
      </c>
      <c r="F84" s="518">
        <v>744.94</v>
      </c>
      <c r="G84" s="513">
        <f t="shared" si="12"/>
        <v>54.976572000000004</v>
      </c>
      <c r="H84" s="518">
        <v>63.77</v>
      </c>
      <c r="I84" s="515">
        <f t="shared" si="13"/>
        <v>626.19342800000004</v>
      </c>
      <c r="J84" s="527" t="s">
        <v>38</v>
      </c>
      <c r="K84" s="518" t="s">
        <v>17</v>
      </c>
      <c r="L84" s="515">
        <f t="shared" si="11"/>
        <v>93.929014199999997</v>
      </c>
      <c r="M84" s="515">
        <f t="shared" si="7"/>
        <v>25.047737120000001</v>
      </c>
      <c r="N84" s="516">
        <f t="shared" si="8"/>
        <v>12.52386856</v>
      </c>
      <c r="O84" s="516">
        <f t="shared" si="9"/>
        <v>12.52386856</v>
      </c>
      <c r="P84" s="513">
        <f t="shared" si="10"/>
        <v>43.833539959999996</v>
      </c>
    </row>
    <row r="85" spans="1:16">
      <c r="A85" s="509">
        <v>83</v>
      </c>
      <c r="B85" s="510" t="s">
        <v>1126</v>
      </c>
      <c r="C85" s="519" t="s">
        <v>173</v>
      </c>
      <c r="D85" s="254">
        <v>1003110928535</v>
      </c>
      <c r="E85" s="280">
        <v>5821663</v>
      </c>
      <c r="F85" s="518">
        <v>510.29</v>
      </c>
      <c r="G85" s="513">
        <f t="shared" si="12"/>
        <v>37.659402000000007</v>
      </c>
      <c r="H85" s="518">
        <v>94.67</v>
      </c>
      <c r="I85" s="515">
        <f t="shared" si="13"/>
        <v>377.960598</v>
      </c>
      <c r="J85" s="527" t="s">
        <v>13</v>
      </c>
      <c r="K85" s="518" t="s">
        <v>26</v>
      </c>
      <c r="L85" s="515">
        <f t="shared" si="11"/>
        <v>56.694089699999999</v>
      </c>
      <c r="M85" s="515">
        <f t="shared" si="7"/>
        <v>15.11842392</v>
      </c>
      <c r="N85" s="516">
        <f t="shared" si="8"/>
        <v>7.5592119599999998</v>
      </c>
      <c r="O85" s="516">
        <f t="shared" si="9"/>
        <v>7.5592119599999998</v>
      </c>
      <c r="P85" s="513">
        <f t="shared" si="10"/>
        <v>26.457241860000003</v>
      </c>
    </row>
    <row r="86" spans="1:16">
      <c r="A86" s="509">
        <v>84</v>
      </c>
      <c r="B86" s="510" t="s">
        <v>1127</v>
      </c>
      <c r="C86" s="519" t="s">
        <v>931</v>
      </c>
      <c r="D86" s="254">
        <v>1003110927898</v>
      </c>
      <c r="E86" s="280">
        <v>5818044</v>
      </c>
      <c r="F86" s="518">
        <v>707.62</v>
      </c>
      <c r="G86" s="513">
        <f t="shared" si="12"/>
        <v>52.222356000000005</v>
      </c>
      <c r="H86" s="518">
        <v>235.88</v>
      </c>
      <c r="I86" s="515">
        <f t="shared" si="13"/>
        <v>419.51764400000002</v>
      </c>
      <c r="J86" s="527" t="s">
        <v>13</v>
      </c>
      <c r="K86" s="518" t="s">
        <v>266</v>
      </c>
      <c r="L86" s="515">
        <f t="shared" si="11"/>
        <v>62.927646600000003</v>
      </c>
      <c r="M86" s="515">
        <f t="shared" si="7"/>
        <v>16.78070576</v>
      </c>
      <c r="N86" s="516">
        <f t="shared" si="8"/>
        <v>8.39035288</v>
      </c>
      <c r="O86" s="516">
        <f t="shared" si="9"/>
        <v>8.39035288</v>
      </c>
      <c r="P86" s="513">
        <f t="shared" si="10"/>
        <v>29.366235079999996</v>
      </c>
    </row>
    <row r="87" spans="1:16">
      <c r="A87" s="509">
        <v>85</v>
      </c>
      <c r="B87" s="510" t="s">
        <v>602</v>
      </c>
      <c r="C87" s="519" t="s">
        <v>475</v>
      </c>
      <c r="D87" s="254">
        <v>2274233</v>
      </c>
      <c r="E87" s="280">
        <v>5826635</v>
      </c>
      <c r="F87" s="518">
        <v>436.71</v>
      </c>
      <c r="G87" s="513">
        <f t="shared" si="12"/>
        <v>32.229198000000004</v>
      </c>
      <c r="H87" s="518">
        <v>45.97</v>
      </c>
      <c r="I87" s="515">
        <f t="shared" si="13"/>
        <v>358.51080200000001</v>
      </c>
      <c r="J87" s="527" t="s">
        <v>38</v>
      </c>
      <c r="K87" s="518" t="s">
        <v>14</v>
      </c>
      <c r="L87" s="515">
        <f t="shared" si="11"/>
        <v>53.776620299999998</v>
      </c>
      <c r="M87" s="515">
        <f t="shared" si="7"/>
        <v>14.340432080000001</v>
      </c>
      <c r="N87" s="516">
        <f t="shared" si="8"/>
        <v>7.1702160400000006</v>
      </c>
      <c r="O87" s="516">
        <f t="shared" si="9"/>
        <v>7.1702160400000006</v>
      </c>
      <c r="P87" s="513">
        <f t="shared" si="10"/>
        <v>25.095756139999999</v>
      </c>
    </row>
    <row r="88" spans="1:16">
      <c r="A88" s="509">
        <v>86</v>
      </c>
      <c r="B88" s="510" t="s">
        <v>1128</v>
      </c>
      <c r="C88" s="519" t="s">
        <v>475</v>
      </c>
      <c r="D88" s="254">
        <v>1003110929615</v>
      </c>
      <c r="E88" s="280">
        <v>5825150</v>
      </c>
      <c r="F88" s="518">
        <v>582.05999999999995</v>
      </c>
      <c r="G88" s="513">
        <f t="shared" si="12"/>
        <v>42.956027999999996</v>
      </c>
      <c r="H88" s="518">
        <v>62.54</v>
      </c>
      <c r="I88" s="515">
        <f t="shared" si="13"/>
        <v>476.56397199999998</v>
      </c>
      <c r="J88" s="527" t="s">
        <v>13</v>
      </c>
      <c r="K88" s="518" t="s">
        <v>332</v>
      </c>
      <c r="L88" s="515">
        <f t="shared" si="11"/>
        <v>71.484595799999994</v>
      </c>
      <c r="M88" s="515">
        <f t="shared" si="7"/>
        <v>19.062558880000001</v>
      </c>
      <c r="N88" s="516">
        <f t="shared" si="8"/>
        <v>9.5312794400000005</v>
      </c>
      <c r="O88" s="516">
        <f t="shared" si="9"/>
        <v>9.5312794400000005</v>
      </c>
      <c r="P88" s="513">
        <f t="shared" si="10"/>
        <v>33.359478039999999</v>
      </c>
    </row>
    <row r="89" spans="1:16">
      <c r="A89" s="509">
        <v>87</v>
      </c>
      <c r="B89" s="510" t="s">
        <v>1129</v>
      </c>
      <c r="C89" s="519" t="s">
        <v>234</v>
      </c>
      <c r="D89" s="254">
        <v>1003110934406</v>
      </c>
      <c r="E89" s="280">
        <v>5819634</v>
      </c>
      <c r="F89" s="518">
        <v>604.6</v>
      </c>
      <c r="G89" s="513">
        <f t="shared" si="12"/>
        <v>44.619480000000003</v>
      </c>
      <c r="H89" s="518">
        <v>0</v>
      </c>
      <c r="I89" s="515">
        <f t="shared" si="13"/>
        <v>559.98052000000007</v>
      </c>
      <c r="J89" s="527" t="s">
        <v>13</v>
      </c>
      <c r="K89" s="518" t="s">
        <v>1130</v>
      </c>
      <c r="L89" s="515">
        <f t="shared" si="11"/>
        <v>83.997078000000002</v>
      </c>
      <c r="M89" s="515">
        <f t="shared" si="7"/>
        <v>22.399220800000002</v>
      </c>
      <c r="N89" s="516">
        <f t="shared" si="8"/>
        <v>11.199610400000001</v>
      </c>
      <c r="O89" s="516">
        <f t="shared" si="9"/>
        <v>11.199610400000001</v>
      </c>
      <c r="P89" s="513">
        <f t="shared" si="10"/>
        <v>39.198636399999998</v>
      </c>
    </row>
    <row r="90" spans="1:16">
      <c r="A90" s="509">
        <v>88</v>
      </c>
      <c r="B90" s="510" t="s">
        <v>1131</v>
      </c>
      <c r="C90" s="519" t="s">
        <v>475</v>
      </c>
      <c r="D90" s="254">
        <v>100311093606060</v>
      </c>
      <c r="E90" s="280">
        <v>5824781</v>
      </c>
      <c r="F90" s="518">
        <v>579.29999999999995</v>
      </c>
      <c r="G90" s="513">
        <f t="shared" si="12"/>
        <v>42.752339999999997</v>
      </c>
      <c r="H90" s="518">
        <v>62.25</v>
      </c>
      <c r="I90" s="515">
        <f t="shared" si="13"/>
        <v>474.29765999999995</v>
      </c>
      <c r="J90" s="527" t="s">
        <v>13</v>
      </c>
      <c r="K90" s="518" t="s">
        <v>216</v>
      </c>
      <c r="L90" s="515">
        <f t="shared" si="11"/>
        <v>71.144648999999987</v>
      </c>
      <c r="M90" s="515">
        <f t="shared" si="7"/>
        <v>18.971906399999998</v>
      </c>
      <c r="N90" s="516">
        <f t="shared" si="8"/>
        <v>9.4859531999999991</v>
      </c>
      <c r="O90" s="516">
        <f t="shared" si="9"/>
        <v>9.4859531999999991</v>
      </c>
      <c r="P90" s="513">
        <f t="shared" si="10"/>
        <v>33.200836199999998</v>
      </c>
    </row>
    <row r="91" spans="1:16">
      <c r="A91" s="509">
        <v>89</v>
      </c>
      <c r="B91" s="510" t="s">
        <v>1132</v>
      </c>
      <c r="C91" s="519" t="s">
        <v>173</v>
      </c>
      <c r="D91" s="254">
        <v>1003110935659</v>
      </c>
      <c r="E91" s="280">
        <v>5828871</v>
      </c>
      <c r="F91" s="518">
        <v>592.45000000000005</v>
      </c>
      <c r="G91" s="513">
        <f t="shared" si="12"/>
        <v>43.722810000000003</v>
      </c>
      <c r="H91" s="518">
        <v>63.66</v>
      </c>
      <c r="I91" s="515">
        <f t="shared" si="13"/>
        <v>485.0671900000001</v>
      </c>
      <c r="J91" s="527" t="s">
        <v>13</v>
      </c>
      <c r="K91" s="518" t="s">
        <v>51</v>
      </c>
      <c r="L91" s="515">
        <f t="shared" si="11"/>
        <v>72.760078500000006</v>
      </c>
      <c r="M91" s="515">
        <f t="shared" si="7"/>
        <v>19.402687600000004</v>
      </c>
      <c r="N91" s="516">
        <f t="shared" si="8"/>
        <v>9.7013438000000018</v>
      </c>
      <c r="O91" s="516">
        <f t="shared" si="9"/>
        <v>9.7013438000000018</v>
      </c>
      <c r="P91" s="513">
        <f t="shared" si="10"/>
        <v>33.954703299999991</v>
      </c>
    </row>
    <row r="92" spans="1:16">
      <c r="A92" s="509">
        <v>90</v>
      </c>
      <c r="B92" s="339" t="s">
        <v>1133</v>
      </c>
      <c r="C92" s="327" t="s">
        <v>931</v>
      </c>
      <c r="D92" s="400">
        <v>1003110935525</v>
      </c>
      <c r="E92" s="401">
        <v>5829332</v>
      </c>
      <c r="F92" s="294">
        <v>777.64</v>
      </c>
      <c r="G92" s="294">
        <f t="shared" si="12"/>
        <v>57.389832000000006</v>
      </c>
      <c r="H92" s="294">
        <v>95.91</v>
      </c>
      <c r="I92" s="293">
        <f t="shared" si="13"/>
        <v>624.34016800000006</v>
      </c>
      <c r="J92" s="329" t="s">
        <v>13</v>
      </c>
      <c r="K92" s="294" t="s">
        <v>164</v>
      </c>
      <c r="L92" s="293">
        <f t="shared" si="11"/>
        <v>93.651025200000007</v>
      </c>
      <c r="M92" s="293">
        <f t="shared" si="7"/>
        <v>24.973606720000003</v>
      </c>
      <c r="N92" s="296">
        <f t="shared" si="8"/>
        <v>12.486803360000001</v>
      </c>
      <c r="O92" s="296">
        <f t="shared" si="9"/>
        <v>12.486803360000001</v>
      </c>
      <c r="P92" s="294">
        <f t="shared" si="10"/>
        <v>43.703811759999994</v>
      </c>
    </row>
    <row r="93" spans="1:16">
      <c r="A93" s="509">
        <v>91</v>
      </c>
      <c r="B93" s="510" t="s">
        <v>1134</v>
      </c>
      <c r="C93" s="519" t="s">
        <v>931</v>
      </c>
      <c r="D93" s="254">
        <v>2277434</v>
      </c>
      <c r="E93" s="280">
        <v>5821434</v>
      </c>
      <c r="F93" s="518">
        <v>851.99</v>
      </c>
      <c r="G93" s="513">
        <f t="shared" si="12"/>
        <v>62.876862000000003</v>
      </c>
      <c r="H93" s="518">
        <v>85.88</v>
      </c>
      <c r="I93" s="515">
        <f t="shared" si="13"/>
        <v>703.23313800000005</v>
      </c>
      <c r="J93" s="527" t="s">
        <v>38</v>
      </c>
      <c r="K93" s="518" t="s">
        <v>36</v>
      </c>
      <c r="L93" s="515">
        <f t="shared" si="11"/>
        <v>105.48497070000001</v>
      </c>
      <c r="M93" s="515">
        <f t="shared" si="7"/>
        <v>28.129325520000002</v>
      </c>
      <c r="N93" s="516">
        <f t="shared" si="8"/>
        <v>14.064662760000001</v>
      </c>
      <c r="O93" s="516">
        <f t="shared" si="9"/>
        <v>14.064662760000001</v>
      </c>
      <c r="P93" s="513">
        <f t="shared" si="10"/>
        <v>49.226319660000001</v>
      </c>
    </row>
    <row r="94" spans="1:16">
      <c r="A94" s="509">
        <v>92</v>
      </c>
      <c r="B94" s="339" t="s">
        <v>1135</v>
      </c>
      <c r="C94" s="327" t="s">
        <v>475</v>
      </c>
      <c r="D94" s="400">
        <v>1003110944692</v>
      </c>
      <c r="E94" s="401">
        <v>5833754</v>
      </c>
      <c r="F94" s="294">
        <v>539.54</v>
      </c>
      <c r="G94" s="294">
        <f t="shared" si="12"/>
        <v>39.818052000000002</v>
      </c>
      <c r="H94" s="294">
        <v>57.98</v>
      </c>
      <c r="I94" s="293">
        <f t="shared" si="13"/>
        <v>441.74194799999992</v>
      </c>
      <c r="J94" s="329" t="s">
        <v>13</v>
      </c>
      <c r="K94" s="294" t="s">
        <v>14</v>
      </c>
      <c r="L94" s="293">
        <f t="shared" si="11"/>
        <v>66.261292199999986</v>
      </c>
      <c r="M94" s="293">
        <f t="shared" si="7"/>
        <v>17.669677919999998</v>
      </c>
      <c r="N94" s="296">
        <f t="shared" si="8"/>
        <v>8.834838959999999</v>
      </c>
      <c r="O94" s="296">
        <f t="shared" si="9"/>
        <v>8.834838959999999</v>
      </c>
      <c r="P94" s="294">
        <f t="shared" si="10"/>
        <v>30.921936359999989</v>
      </c>
    </row>
    <row r="95" spans="1:16">
      <c r="A95" s="509">
        <v>93</v>
      </c>
      <c r="B95" s="532" t="s">
        <v>1136</v>
      </c>
      <c r="C95" s="519" t="s">
        <v>1137</v>
      </c>
      <c r="D95" s="254">
        <v>51772025423</v>
      </c>
      <c r="E95" s="280">
        <v>5796444</v>
      </c>
      <c r="F95" s="518">
        <v>899.44</v>
      </c>
      <c r="G95" s="513">
        <f t="shared" si="12"/>
        <v>66.378672000000009</v>
      </c>
      <c r="H95" s="518">
        <v>89.94</v>
      </c>
      <c r="I95" s="515">
        <f t="shared" si="13"/>
        <v>743.12132799999995</v>
      </c>
      <c r="J95" s="527" t="s">
        <v>38</v>
      </c>
      <c r="K95" s="518" t="s">
        <v>17</v>
      </c>
      <c r="L95" s="515">
        <f t="shared" si="11"/>
        <v>111.46819919999999</v>
      </c>
      <c r="M95" s="515">
        <f t="shared" si="7"/>
        <v>29.724853119999999</v>
      </c>
      <c r="N95" s="516">
        <f t="shared" si="8"/>
        <v>14.862426559999999</v>
      </c>
      <c r="O95" s="516">
        <f t="shared" si="9"/>
        <v>14.862426559999999</v>
      </c>
      <c r="P95" s="513">
        <f t="shared" si="10"/>
        <v>52.018492959999975</v>
      </c>
    </row>
    <row r="96" spans="1:16">
      <c r="A96" s="509">
        <v>94</v>
      </c>
      <c r="B96" s="510" t="s">
        <v>1138</v>
      </c>
      <c r="C96" s="519" t="s">
        <v>12</v>
      </c>
      <c r="D96" s="254">
        <v>1003110943821</v>
      </c>
      <c r="E96" s="280">
        <v>5834220</v>
      </c>
      <c r="F96" s="518">
        <v>736.09</v>
      </c>
      <c r="G96" s="513">
        <f t="shared" si="12"/>
        <v>54.323442000000007</v>
      </c>
      <c r="H96" s="518">
        <v>79.099999999999994</v>
      </c>
      <c r="I96" s="515">
        <f t="shared" si="13"/>
        <v>602.66655800000001</v>
      </c>
      <c r="J96" s="527" t="s">
        <v>13</v>
      </c>
      <c r="K96" s="518" t="s">
        <v>49</v>
      </c>
      <c r="L96" s="515">
        <f t="shared" si="11"/>
        <v>90.399983699999993</v>
      </c>
      <c r="M96" s="515">
        <f t="shared" si="7"/>
        <v>24.106662320000002</v>
      </c>
      <c r="N96" s="516">
        <f t="shared" si="8"/>
        <v>12.053331160000001</v>
      </c>
      <c r="O96" s="516">
        <f t="shared" si="9"/>
        <v>12.053331160000001</v>
      </c>
      <c r="P96" s="513">
        <f t="shared" si="10"/>
        <v>42.186659059999997</v>
      </c>
    </row>
    <row r="97" spans="1:16">
      <c r="A97" s="509">
        <v>95</v>
      </c>
      <c r="B97" s="510" t="s">
        <v>1139</v>
      </c>
      <c r="C97" s="519" t="s">
        <v>475</v>
      </c>
      <c r="D97" s="254">
        <v>51772025423</v>
      </c>
      <c r="E97" s="280">
        <v>5823416</v>
      </c>
      <c r="F97" s="518">
        <v>580.55999999999995</v>
      </c>
      <c r="G97" s="513">
        <f t="shared" si="12"/>
        <v>42.845328000000002</v>
      </c>
      <c r="H97" s="518">
        <v>145.13999999999999</v>
      </c>
      <c r="I97" s="515">
        <f t="shared" si="13"/>
        <v>392.57467199999996</v>
      </c>
      <c r="J97" s="527" t="s">
        <v>13</v>
      </c>
      <c r="K97" s="518" t="s">
        <v>26</v>
      </c>
      <c r="L97" s="515">
        <f t="shared" si="11"/>
        <v>58.88620079999999</v>
      </c>
      <c r="M97" s="515">
        <f t="shared" si="7"/>
        <v>15.702986879999999</v>
      </c>
      <c r="N97" s="516">
        <f t="shared" si="8"/>
        <v>7.8514934399999996</v>
      </c>
      <c r="O97" s="516">
        <f t="shared" si="9"/>
        <v>7.8514934399999996</v>
      </c>
      <c r="P97" s="513">
        <f t="shared" si="10"/>
        <v>27.480227039999995</v>
      </c>
    </row>
    <row r="98" spans="1:16">
      <c r="A98" s="509">
        <v>96</v>
      </c>
      <c r="B98" s="339" t="s">
        <v>1140</v>
      </c>
      <c r="C98" s="327" t="s">
        <v>29</v>
      </c>
      <c r="D98" s="400">
        <v>1003110958509</v>
      </c>
      <c r="E98" s="401">
        <v>5831741</v>
      </c>
      <c r="F98" s="294">
        <v>694.02</v>
      </c>
      <c r="G98" s="294">
        <f t="shared" si="12"/>
        <v>51.218676000000002</v>
      </c>
      <c r="H98" s="294">
        <v>74.569999999999993</v>
      </c>
      <c r="I98" s="293">
        <f t="shared" si="13"/>
        <v>568.23132400000009</v>
      </c>
      <c r="J98" s="329" t="s">
        <v>13</v>
      </c>
      <c r="K98" s="294" t="s">
        <v>26</v>
      </c>
      <c r="L98" s="293">
        <f t="shared" si="11"/>
        <v>85.234698600000016</v>
      </c>
      <c r="M98" s="293">
        <f t="shared" si="7"/>
        <v>22.729252960000004</v>
      </c>
      <c r="N98" s="296">
        <f t="shared" si="8"/>
        <v>11.364626480000002</v>
      </c>
      <c r="O98" s="296">
        <f t="shared" si="9"/>
        <v>11.364626480000002</v>
      </c>
      <c r="P98" s="294">
        <f t="shared" si="10"/>
        <v>39.776192680000008</v>
      </c>
    </row>
    <row r="99" spans="1:16">
      <c r="A99" s="509">
        <v>97</v>
      </c>
      <c r="B99" s="510" t="s">
        <v>1141</v>
      </c>
      <c r="C99" s="519" t="s">
        <v>475</v>
      </c>
      <c r="D99" s="254">
        <v>1003110944768</v>
      </c>
      <c r="E99" s="280">
        <v>5810641</v>
      </c>
      <c r="F99" s="518">
        <v>590.16999999999996</v>
      </c>
      <c r="G99" s="513">
        <f t="shared" si="12"/>
        <v>43.554546000000002</v>
      </c>
      <c r="H99" s="518">
        <v>0</v>
      </c>
      <c r="I99" s="515">
        <f t="shared" si="13"/>
        <v>546.615454</v>
      </c>
      <c r="J99" s="527" t="s">
        <v>13</v>
      </c>
      <c r="K99" s="518" t="s">
        <v>216</v>
      </c>
      <c r="L99" s="515">
        <f t="shared" si="11"/>
        <v>81.992318099999991</v>
      </c>
      <c r="M99" s="515">
        <f t="shared" si="7"/>
        <v>21.864618159999999</v>
      </c>
      <c r="N99" s="516">
        <f t="shared" si="8"/>
        <v>10.93230908</v>
      </c>
      <c r="O99" s="516">
        <f t="shared" si="9"/>
        <v>10.93230908</v>
      </c>
      <c r="P99" s="513">
        <f t="shared" si="10"/>
        <v>38.263081779999993</v>
      </c>
    </row>
    <row r="100" spans="1:16">
      <c r="A100" s="509">
        <v>98</v>
      </c>
      <c r="B100" s="510" t="s">
        <v>1142</v>
      </c>
      <c r="C100" s="519" t="s">
        <v>234</v>
      </c>
      <c r="D100" s="254">
        <v>1003110941247</v>
      </c>
      <c r="E100" s="280">
        <v>5830112</v>
      </c>
      <c r="F100" s="518">
        <v>577.04999999999995</v>
      </c>
      <c r="G100" s="513">
        <f t="shared" si="12"/>
        <v>42.586289999999998</v>
      </c>
      <c r="H100" s="518">
        <v>152.43</v>
      </c>
      <c r="I100" s="515">
        <f t="shared" si="13"/>
        <v>382.03370999999999</v>
      </c>
      <c r="J100" s="527" t="s">
        <v>13</v>
      </c>
      <c r="K100" s="518" t="s">
        <v>26</v>
      </c>
      <c r="L100" s="515">
        <f t="shared" si="11"/>
        <v>57.305056499999999</v>
      </c>
      <c r="M100" s="515">
        <f t="shared" si="7"/>
        <v>15.281348399999999</v>
      </c>
      <c r="N100" s="516">
        <f t="shared" si="8"/>
        <v>7.6406741999999994</v>
      </c>
      <c r="O100" s="516">
        <f t="shared" si="9"/>
        <v>7.6406741999999994</v>
      </c>
      <c r="P100" s="513">
        <f t="shared" si="10"/>
        <v>26.742359700000002</v>
      </c>
    </row>
    <row r="101" spans="1:16">
      <c r="A101" s="509">
        <v>99</v>
      </c>
      <c r="B101" s="510" t="s">
        <v>1143</v>
      </c>
      <c r="C101" s="519" t="s">
        <v>247</v>
      </c>
      <c r="D101" s="254">
        <v>1003110947735</v>
      </c>
      <c r="E101" s="280">
        <v>5810286</v>
      </c>
      <c r="F101" s="518">
        <v>538.1</v>
      </c>
      <c r="G101" s="513">
        <f t="shared" si="12"/>
        <v>39.711780000000005</v>
      </c>
      <c r="H101" s="518">
        <v>57.82</v>
      </c>
      <c r="I101" s="515">
        <f t="shared" si="13"/>
        <v>440.56822000000005</v>
      </c>
      <c r="J101" s="527" t="s">
        <v>13</v>
      </c>
      <c r="K101" s="518" t="s">
        <v>14</v>
      </c>
      <c r="L101" s="515">
        <f t="shared" si="11"/>
        <v>66.085233000000002</v>
      </c>
      <c r="M101" s="515">
        <f t="shared" si="7"/>
        <v>17.622728800000001</v>
      </c>
      <c r="N101" s="516">
        <f t="shared" si="8"/>
        <v>8.8113644000000004</v>
      </c>
      <c r="O101" s="516">
        <f t="shared" si="9"/>
        <v>8.8113644000000004</v>
      </c>
      <c r="P101" s="513">
        <f t="shared" si="10"/>
        <v>30.839775399999994</v>
      </c>
    </row>
    <row r="102" spans="1:16">
      <c r="A102" s="509">
        <v>100</v>
      </c>
      <c r="B102" s="510" t="s">
        <v>599</v>
      </c>
      <c r="C102" s="519" t="s">
        <v>475</v>
      </c>
      <c r="D102" s="254">
        <v>1003110949793</v>
      </c>
      <c r="E102" s="280">
        <v>5838023</v>
      </c>
      <c r="F102" s="518">
        <v>436.71</v>
      </c>
      <c r="G102" s="513">
        <f t="shared" si="12"/>
        <v>32.229198000000004</v>
      </c>
      <c r="H102" s="518">
        <v>56.87</v>
      </c>
      <c r="I102" s="515">
        <f t="shared" si="13"/>
        <v>347.61080199999998</v>
      </c>
      <c r="J102" s="527" t="s">
        <v>38</v>
      </c>
      <c r="K102" s="518" t="s">
        <v>14</v>
      </c>
      <c r="L102" s="515">
        <f t="shared" si="11"/>
        <v>52.141620299999992</v>
      </c>
      <c r="M102" s="515">
        <f t="shared" si="7"/>
        <v>13.904432079999999</v>
      </c>
      <c r="N102" s="516">
        <f t="shared" si="8"/>
        <v>6.9522160399999997</v>
      </c>
      <c r="O102" s="516">
        <f t="shared" si="9"/>
        <v>6.9522160399999997</v>
      </c>
      <c r="P102" s="513">
        <f t="shared" si="10"/>
        <v>24.332756139999994</v>
      </c>
    </row>
    <row r="103" spans="1:16">
      <c r="A103" s="509">
        <v>101</v>
      </c>
      <c r="B103" s="510" t="s">
        <v>1144</v>
      </c>
      <c r="C103" s="519" t="s">
        <v>559</v>
      </c>
      <c r="D103" s="254">
        <v>100311094793</v>
      </c>
      <c r="E103" s="280">
        <v>5835465</v>
      </c>
      <c r="F103" s="518">
        <v>522.95000000000005</v>
      </c>
      <c r="G103" s="513">
        <f t="shared" si="12"/>
        <v>38.593710000000009</v>
      </c>
      <c r="H103" s="518">
        <v>0</v>
      </c>
      <c r="I103" s="515">
        <f t="shared" si="13"/>
        <v>484.35629000000006</v>
      </c>
      <c r="J103" s="527" t="s">
        <v>13</v>
      </c>
      <c r="K103" s="518" t="s">
        <v>14</v>
      </c>
      <c r="L103" s="515">
        <f t="shared" si="11"/>
        <v>72.653443500000009</v>
      </c>
      <c r="M103" s="515">
        <f t="shared" si="7"/>
        <v>19.374251600000004</v>
      </c>
      <c r="N103" s="516">
        <f t="shared" si="8"/>
        <v>9.6871258000000022</v>
      </c>
      <c r="O103" s="516">
        <f t="shared" si="9"/>
        <v>9.6871258000000022</v>
      </c>
      <c r="P103" s="513">
        <f t="shared" si="10"/>
        <v>33.904940299999993</v>
      </c>
    </row>
    <row r="104" spans="1:16">
      <c r="A104" s="509">
        <v>102</v>
      </c>
      <c r="B104" s="510" t="s">
        <v>1145</v>
      </c>
      <c r="C104" s="519" t="s">
        <v>12</v>
      </c>
      <c r="D104" s="254">
        <v>1003110997882</v>
      </c>
      <c r="E104" s="280">
        <v>5836988</v>
      </c>
      <c r="F104" s="518">
        <v>573.01</v>
      </c>
      <c r="G104" s="513">
        <f t="shared" si="12"/>
        <v>42.288138000000004</v>
      </c>
      <c r="H104" s="518">
        <v>61.57</v>
      </c>
      <c r="I104" s="515">
        <f t="shared" si="13"/>
        <v>469.15186199999999</v>
      </c>
      <c r="J104" s="527" t="s">
        <v>13</v>
      </c>
      <c r="K104" s="518" t="s">
        <v>49</v>
      </c>
      <c r="L104" s="515">
        <f t="shared" si="11"/>
        <v>70.372779299999991</v>
      </c>
      <c r="M104" s="515">
        <f t="shared" si="7"/>
        <v>18.76607448</v>
      </c>
      <c r="N104" s="516">
        <f t="shared" si="8"/>
        <v>9.3830372400000002</v>
      </c>
      <c r="O104" s="516">
        <f t="shared" si="9"/>
        <v>9.3830372400000002</v>
      </c>
      <c r="P104" s="513">
        <f t="shared" si="10"/>
        <v>32.84063033999999</v>
      </c>
    </row>
    <row r="105" spans="1:16">
      <c r="A105" s="509">
        <v>103</v>
      </c>
      <c r="B105" s="510" t="s">
        <v>1146</v>
      </c>
      <c r="C105" s="519" t="s">
        <v>12</v>
      </c>
      <c r="D105" s="254">
        <v>1003110947258</v>
      </c>
      <c r="E105" s="280" t="s">
        <v>1147</v>
      </c>
      <c r="F105" s="518">
        <v>528.05999999999995</v>
      </c>
      <c r="G105" s="513">
        <f t="shared" si="12"/>
        <v>38.970827999999997</v>
      </c>
      <c r="H105" s="518">
        <v>56.74</v>
      </c>
      <c r="I105" s="515">
        <f t="shared" si="13"/>
        <v>432.34917199999995</v>
      </c>
      <c r="J105" s="527" t="s">
        <v>13</v>
      </c>
      <c r="K105" s="518" t="s">
        <v>216</v>
      </c>
      <c r="L105" s="515">
        <f t="shared" si="11"/>
        <v>64.85237579999999</v>
      </c>
      <c r="M105" s="515">
        <f t="shared" si="7"/>
        <v>17.293966879999999</v>
      </c>
      <c r="N105" s="516">
        <f t="shared" si="8"/>
        <v>8.6469834399999996</v>
      </c>
      <c r="O105" s="516">
        <f t="shared" si="9"/>
        <v>8.6469834399999996</v>
      </c>
      <c r="P105" s="513">
        <f t="shared" si="10"/>
        <v>30.264442039999992</v>
      </c>
    </row>
    <row r="106" spans="1:16">
      <c r="A106" s="509">
        <v>104</v>
      </c>
      <c r="B106" s="510" t="s">
        <v>1148</v>
      </c>
      <c r="C106" s="519" t="s">
        <v>234</v>
      </c>
      <c r="D106" s="254">
        <v>1003110946711</v>
      </c>
      <c r="E106" s="280">
        <v>5835181</v>
      </c>
      <c r="F106" s="518">
        <v>625.99</v>
      </c>
      <c r="G106" s="513">
        <f t="shared" si="12"/>
        <v>46.198062</v>
      </c>
      <c r="H106" s="518">
        <v>208.67</v>
      </c>
      <c r="I106" s="515">
        <f t="shared" si="13"/>
        <v>371.121938</v>
      </c>
      <c r="J106" s="527" t="s">
        <v>13</v>
      </c>
      <c r="K106" s="518" t="s">
        <v>258</v>
      </c>
      <c r="L106" s="515">
        <f t="shared" si="11"/>
        <v>55.6682907</v>
      </c>
      <c r="M106" s="515">
        <f t="shared" si="7"/>
        <v>14.844877520000001</v>
      </c>
      <c r="N106" s="516">
        <f t="shared" si="8"/>
        <v>7.4224387600000004</v>
      </c>
      <c r="O106" s="516">
        <f t="shared" si="9"/>
        <v>7.4224387600000004</v>
      </c>
      <c r="P106" s="513">
        <f t="shared" si="10"/>
        <v>25.978535660000006</v>
      </c>
    </row>
    <row r="107" spans="1:16">
      <c r="A107" s="509">
        <v>105</v>
      </c>
      <c r="B107" s="510" t="s">
        <v>1149</v>
      </c>
      <c r="C107" s="519" t="s">
        <v>931</v>
      </c>
      <c r="D107" s="254">
        <v>1003110964425</v>
      </c>
      <c r="E107" s="280">
        <v>5834703</v>
      </c>
      <c r="F107" s="518">
        <v>644.96</v>
      </c>
      <c r="G107" s="513">
        <f t="shared" si="12"/>
        <v>47.598048000000006</v>
      </c>
      <c r="H107" s="518">
        <v>63.15</v>
      </c>
      <c r="I107" s="515">
        <f t="shared" si="13"/>
        <v>534.211952</v>
      </c>
      <c r="J107" s="527" t="s">
        <v>13</v>
      </c>
      <c r="K107" s="518" t="s">
        <v>26</v>
      </c>
      <c r="L107" s="515">
        <f t="shared" si="11"/>
        <v>80.131792799999999</v>
      </c>
      <c r="M107" s="515">
        <f t="shared" si="7"/>
        <v>21.368478079999999</v>
      </c>
      <c r="N107" s="516">
        <f t="shared" si="8"/>
        <v>10.68423904</v>
      </c>
      <c r="O107" s="516">
        <f t="shared" si="9"/>
        <v>10.68423904</v>
      </c>
      <c r="P107" s="513">
        <f t="shared" si="10"/>
        <v>37.394836639999994</v>
      </c>
    </row>
    <row r="108" spans="1:16">
      <c r="A108" s="509">
        <v>106</v>
      </c>
      <c r="B108" s="510" t="s">
        <v>1150</v>
      </c>
      <c r="C108" s="519" t="s">
        <v>1038</v>
      </c>
      <c r="D108" s="254">
        <v>1003110961389</v>
      </c>
      <c r="E108" s="280">
        <v>5841666</v>
      </c>
      <c r="F108" s="518">
        <v>573.28</v>
      </c>
      <c r="G108" s="513">
        <f t="shared" si="12"/>
        <v>42.308064000000002</v>
      </c>
      <c r="H108" s="518">
        <v>61.6</v>
      </c>
      <c r="I108" s="515">
        <f t="shared" si="13"/>
        <v>469.37193599999989</v>
      </c>
      <c r="J108" s="527" t="s">
        <v>13</v>
      </c>
      <c r="K108" s="518" t="s">
        <v>17</v>
      </c>
      <c r="L108" s="515">
        <f t="shared" si="11"/>
        <v>70.405790399999987</v>
      </c>
      <c r="M108" s="515">
        <f t="shared" si="7"/>
        <v>18.774877439999997</v>
      </c>
      <c r="N108" s="516">
        <f t="shared" si="8"/>
        <v>9.3874387199999987</v>
      </c>
      <c r="O108" s="516">
        <f t="shared" si="9"/>
        <v>9.3874387199999987</v>
      </c>
      <c r="P108" s="513">
        <f t="shared" si="10"/>
        <v>32.856035519999992</v>
      </c>
    </row>
    <row r="109" spans="1:16">
      <c r="A109" s="509">
        <v>107</v>
      </c>
      <c r="B109" s="510" t="s">
        <v>1151</v>
      </c>
      <c r="C109" s="519" t="s">
        <v>475</v>
      </c>
      <c r="D109" s="254">
        <v>1003110958197</v>
      </c>
      <c r="E109" s="280">
        <v>5791956</v>
      </c>
      <c r="F109" s="518">
        <v>547.07000000000005</v>
      </c>
      <c r="G109" s="513">
        <f t="shared" si="12"/>
        <v>40.373766000000003</v>
      </c>
      <c r="H109" s="518">
        <v>58.78</v>
      </c>
      <c r="I109" s="515">
        <f t="shared" si="13"/>
        <v>447.91623400000003</v>
      </c>
      <c r="J109" s="527" t="s">
        <v>38</v>
      </c>
      <c r="K109" s="518" t="s">
        <v>1089</v>
      </c>
      <c r="L109" s="515">
        <f t="shared" si="11"/>
        <v>67.187435100000002</v>
      </c>
      <c r="M109" s="515">
        <f t="shared" si="7"/>
        <v>17.916649360000001</v>
      </c>
      <c r="N109" s="516">
        <f t="shared" si="8"/>
        <v>8.9583246800000005</v>
      </c>
      <c r="O109" s="516">
        <f t="shared" si="9"/>
        <v>8.9583246800000005</v>
      </c>
      <c r="P109" s="513">
        <f t="shared" si="10"/>
        <v>31.354136380000003</v>
      </c>
    </row>
    <row r="110" spans="1:16">
      <c r="A110" s="509">
        <v>108</v>
      </c>
      <c r="B110" s="510" t="s">
        <v>1152</v>
      </c>
      <c r="C110" s="519" t="s">
        <v>173</v>
      </c>
      <c r="D110" s="254">
        <v>1003110954111</v>
      </c>
      <c r="E110" s="280">
        <v>5840435</v>
      </c>
      <c r="F110" s="518">
        <v>583.12</v>
      </c>
      <c r="G110" s="513">
        <f t="shared" si="12"/>
        <v>43.034256000000006</v>
      </c>
      <c r="H110" s="518">
        <v>62.66</v>
      </c>
      <c r="I110" s="515">
        <f t="shared" si="13"/>
        <v>477.42574400000001</v>
      </c>
      <c r="J110" s="527" t="s">
        <v>13</v>
      </c>
      <c r="K110" s="518" t="s">
        <v>330</v>
      </c>
      <c r="L110" s="515">
        <f t="shared" si="11"/>
        <v>71.613861599999993</v>
      </c>
      <c r="M110" s="515">
        <f t="shared" si="7"/>
        <v>19.097029760000002</v>
      </c>
      <c r="N110" s="516">
        <f t="shared" si="8"/>
        <v>9.5485148800000008</v>
      </c>
      <c r="O110" s="516">
        <f t="shared" si="9"/>
        <v>9.5485148800000008</v>
      </c>
      <c r="P110" s="513">
        <f t="shared" si="10"/>
        <v>33.419802079999997</v>
      </c>
    </row>
    <row r="111" spans="1:16">
      <c r="A111" s="509">
        <v>109</v>
      </c>
      <c r="B111" s="510" t="s">
        <v>1153</v>
      </c>
      <c r="C111" s="519" t="s">
        <v>31</v>
      </c>
      <c r="D111" s="254">
        <v>51772025423</v>
      </c>
      <c r="E111" s="280">
        <v>5828978</v>
      </c>
      <c r="F111" s="518">
        <v>4877.12</v>
      </c>
      <c r="G111" s="513">
        <f t="shared" si="12"/>
        <v>359.93145600000003</v>
      </c>
      <c r="H111" s="518">
        <v>487.71</v>
      </c>
      <c r="I111" s="515">
        <f t="shared" si="13"/>
        <v>4029.4785439999996</v>
      </c>
      <c r="J111" s="527" t="s">
        <v>38</v>
      </c>
      <c r="K111" s="518" t="s">
        <v>266</v>
      </c>
      <c r="L111" s="515">
        <f t="shared" si="11"/>
        <v>604.42178159999992</v>
      </c>
      <c r="M111" s="515">
        <f t="shared" si="7"/>
        <v>161.17914175999999</v>
      </c>
      <c r="N111" s="516">
        <f t="shared" si="8"/>
        <v>80.589570879999997</v>
      </c>
      <c r="O111" s="516">
        <f t="shared" si="9"/>
        <v>80.589570879999997</v>
      </c>
      <c r="P111" s="513">
        <f t="shared" si="10"/>
        <v>282.06349807999993</v>
      </c>
    </row>
    <row r="112" spans="1:16">
      <c r="A112" s="509">
        <v>110</v>
      </c>
      <c r="B112" s="339" t="s">
        <v>1154</v>
      </c>
      <c r="C112" s="327" t="s">
        <v>475</v>
      </c>
      <c r="D112" s="400">
        <v>51772025423</v>
      </c>
      <c r="E112" s="401">
        <v>5843140</v>
      </c>
      <c r="F112" s="294">
        <v>567.11</v>
      </c>
      <c r="G112" s="294">
        <f t="shared" si="12"/>
        <v>41.852718000000003</v>
      </c>
      <c r="H112" s="294">
        <v>56.71</v>
      </c>
      <c r="I112" s="293">
        <f t="shared" si="13"/>
        <v>468.54728200000005</v>
      </c>
      <c r="J112" s="329" t="s">
        <v>38</v>
      </c>
      <c r="K112" s="294" t="s">
        <v>25</v>
      </c>
      <c r="L112" s="293">
        <f t="shared" si="11"/>
        <v>70.282092300000002</v>
      </c>
      <c r="M112" s="293">
        <f t="shared" si="7"/>
        <v>18.741891280000001</v>
      </c>
      <c r="N112" s="296">
        <f t="shared" si="8"/>
        <v>9.3709456400000004</v>
      </c>
      <c r="O112" s="296">
        <f t="shared" si="9"/>
        <v>9.3709456400000004</v>
      </c>
      <c r="P112" s="294">
        <f t="shared" si="10"/>
        <v>32.798309739999993</v>
      </c>
    </row>
    <row r="113" spans="1:16">
      <c r="A113" s="509">
        <v>111</v>
      </c>
      <c r="B113" s="510" t="s">
        <v>1155</v>
      </c>
      <c r="C113" s="519" t="s">
        <v>475</v>
      </c>
      <c r="D113" s="254"/>
      <c r="E113" s="280" t="s">
        <v>1156</v>
      </c>
      <c r="F113" s="518">
        <v>382.89</v>
      </c>
      <c r="G113" s="513">
        <f t="shared" si="12"/>
        <v>28.257282</v>
      </c>
      <c r="H113" s="518">
        <v>127.63</v>
      </c>
      <c r="I113" s="515">
        <f t="shared" si="13"/>
        <v>227.00271800000002</v>
      </c>
      <c r="J113" s="527" t="s">
        <v>13</v>
      </c>
      <c r="K113" s="518" t="s">
        <v>26</v>
      </c>
      <c r="L113" s="515">
        <f t="shared" si="11"/>
        <v>34.050407700000001</v>
      </c>
      <c r="M113" s="515">
        <f t="shared" si="7"/>
        <v>9.0801087200000001</v>
      </c>
      <c r="N113" s="516">
        <f t="shared" si="8"/>
        <v>4.5400543600000001</v>
      </c>
      <c r="O113" s="516">
        <f t="shared" si="9"/>
        <v>4.5400543600000001</v>
      </c>
      <c r="P113" s="513">
        <f t="shared" si="10"/>
        <v>15.890190260000004</v>
      </c>
    </row>
    <row r="114" spans="1:16">
      <c r="A114" s="509"/>
      <c r="B114" s="510"/>
      <c r="C114" s="519"/>
      <c r="D114" s="254"/>
      <c r="E114" s="280"/>
      <c r="F114" s="518"/>
      <c r="G114" s="513">
        <f t="shared" si="12"/>
        <v>0</v>
      </c>
      <c r="H114" s="518"/>
      <c r="I114" s="515">
        <f t="shared" si="13"/>
        <v>0</v>
      </c>
      <c r="J114" s="527"/>
      <c r="K114" s="518"/>
      <c r="L114" s="513">
        <f t="shared" si="11"/>
        <v>0</v>
      </c>
      <c r="M114" s="515">
        <f t="shared" si="7"/>
        <v>0</v>
      </c>
      <c r="N114" s="516">
        <f t="shared" si="8"/>
        <v>0</v>
      </c>
      <c r="O114" s="516">
        <f t="shared" si="9"/>
        <v>0</v>
      </c>
      <c r="P114" s="513">
        <f t="shared" si="10"/>
        <v>0</v>
      </c>
    </row>
    <row r="115" spans="1:16">
      <c r="A115" s="3"/>
      <c r="B115" s="542"/>
      <c r="C115" s="542"/>
      <c r="D115" s="543"/>
      <c r="E115" s="542"/>
      <c r="F115" s="544"/>
      <c r="G115" s="544"/>
      <c r="H115" s="544"/>
      <c r="I115" s="544"/>
      <c r="J115" s="542"/>
      <c r="K115" s="545"/>
      <c r="L115" s="545"/>
      <c r="M115" s="545"/>
      <c r="N115" s="7"/>
      <c r="O115" s="7"/>
      <c r="P115" s="8"/>
    </row>
    <row r="116" spans="1:16" ht="15.6">
      <c r="A116" s="3"/>
      <c r="B116" s="4"/>
      <c r="C116" s="4"/>
      <c r="D116" s="13"/>
      <c r="E116" s="5" t="s">
        <v>11</v>
      </c>
      <c r="F116" s="6">
        <f>SUM(F3:F114)</f>
        <v>76154.640999999974</v>
      </c>
      <c r="G116" s="6">
        <f>SUM(G3:G114)</f>
        <v>5620.212505800002</v>
      </c>
      <c r="H116" s="6">
        <f>SUM(H3:H114)</f>
        <v>8928.89</v>
      </c>
      <c r="I116" s="6">
        <f>SUM(I3:I114)</f>
        <v>61605.538494200002</v>
      </c>
      <c r="J116" s="4"/>
      <c r="K116" s="9"/>
      <c r="L116" s="6">
        <f>SUM(L3:L114)</f>
        <v>9240.8307741300032</v>
      </c>
      <c r="M116" s="6">
        <f>SUM(M3:M114)</f>
        <v>2464.2215397680002</v>
      </c>
      <c r="N116" s="6">
        <f>SUM(N3:N114)</f>
        <v>1232.1107698840001</v>
      </c>
      <c r="O116" s="6">
        <f>SUM(O3:O114)</f>
        <v>1232.1107698840001</v>
      </c>
      <c r="P116" s="6">
        <f>SUM(P3:P114)</f>
        <v>4312.3876945940001</v>
      </c>
    </row>
  </sheetData>
  <autoFilter ref="B2:P114" xr:uid="{E5A281D6-BCA3-4DB8-AB03-07A998272111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49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969E-3033-413F-BD31-EA041B4320FA}">
  <dimension ref="A1:Q144"/>
  <sheetViews>
    <sheetView topLeftCell="A81" zoomScaleNormal="100" workbookViewId="0">
      <selection activeCell="C103" sqref="C103:P103"/>
    </sheetView>
  </sheetViews>
  <sheetFormatPr defaultRowHeight="14.4"/>
  <cols>
    <col min="2" max="2" width="35.77734375" customWidth="1"/>
    <col min="3" max="3" width="18.5546875" customWidth="1"/>
    <col min="4" max="4" width="16.33203125" customWidth="1"/>
    <col min="5" max="5" width="17.33203125" customWidth="1"/>
    <col min="6" max="6" width="14" customWidth="1"/>
    <col min="7" max="7" width="11.6640625" customWidth="1"/>
    <col min="8" max="8" width="14.5546875" customWidth="1"/>
    <col min="9" max="9" width="14.77734375" customWidth="1"/>
    <col min="10" max="10" width="18.6640625" customWidth="1"/>
    <col min="11" max="11" width="20.33203125" customWidth="1"/>
    <col min="12" max="12" width="16.6640625" customWidth="1"/>
    <col min="13" max="13" width="19.44140625" customWidth="1"/>
    <col min="14" max="14" width="19.33203125" customWidth="1"/>
    <col min="15" max="15" width="20" customWidth="1"/>
    <col min="16" max="16" width="19.5546875" customWidth="1"/>
  </cols>
  <sheetData>
    <row r="1" spans="1:17" ht="23.4">
      <c r="B1" s="742" t="s">
        <v>1158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19.2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550">
        <v>1</v>
      </c>
      <c r="B3" s="551" t="s">
        <v>1159</v>
      </c>
      <c r="C3" s="552" t="s">
        <v>1160</v>
      </c>
      <c r="D3" s="229">
        <v>1003110963869</v>
      </c>
      <c r="E3" s="230">
        <v>5848085</v>
      </c>
      <c r="F3" s="553">
        <v>590.96</v>
      </c>
      <c r="G3" s="554">
        <f>F3*7.38%</f>
        <v>43.612848000000007</v>
      </c>
      <c r="H3" s="555">
        <v>63.5</v>
      </c>
      <c r="I3" s="554">
        <f>F3-G3-H3</f>
        <v>483.84715200000005</v>
      </c>
      <c r="J3" s="550" t="s">
        <v>13</v>
      </c>
      <c r="K3" s="555" t="s">
        <v>238</v>
      </c>
      <c r="L3" s="556">
        <f>I3*15%</f>
        <v>72.57707280000001</v>
      </c>
      <c r="M3" s="556">
        <f t="shared" ref="M3:M66" si="0">I3*4%</f>
        <v>19.353886080000002</v>
      </c>
      <c r="N3" s="557">
        <f t="shared" ref="N3:N66" si="1">I3*2%</f>
        <v>9.6769430400000012</v>
      </c>
      <c r="O3" s="557">
        <f t="shared" ref="O3:O66" si="2">I3*2%</f>
        <v>9.6769430400000012</v>
      </c>
      <c r="P3" s="554">
        <f t="shared" ref="P3:P66" si="3">L3-M3-N3-O3</f>
        <v>33.869300640000006</v>
      </c>
    </row>
    <row r="4" spans="1:17">
      <c r="A4" s="550">
        <v>2</v>
      </c>
      <c r="B4" s="339" t="s">
        <v>1161</v>
      </c>
      <c r="C4" s="500" t="s">
        <v>234</v>
      </c>
      <c r="D4" s="647">
        <v>1003110963596</v>
      </c>
      <c r="E4" s="646">
        <v>5846652</v>
      </c>
      <c r="F4" s="342">
        <v>570.49</v>
      </c>
      <c r="G4" s="294">
        <f>F4*7.38%</f>
        <v>42.102162</v>
      </c>
      <c r="H4" s="294">
        <v>70.36</v>
      </c>
      <c r="I4" s="294">
        <f>F4-G4-H4</f>
        <v>458.02783799999997</v>
      </c>
      <c r="J4" s="327" t="s">
        <v>13</v>
      </c>
      <c r="K4" s="294" t="s">
        <v>49</v>
      </c>
      <c r="L4" s="293">
        <f t="shared" ref="L4:L67" si="4">I4*15%</f>
        <v>68.704175699999993</v>
      </c>
      <c r="M4" s="293">
        <f t="shared" si="0"/>
        <v>18.321113520000001</v>
      </c>
      <c r="N4" s="296">
        <f t="shared" si="1"/>
        <v>9.1605567600000004</v>
      </c>
      <c r="O4" s="296">
        <f t="shared" si="2"/>
        <v>9.1605567600000004</v>
      </c>
      <c r="P4" s="294">
        <f t="shared" si="3"/>
        <v>32.061948659999999</v>
      </c>
    </row>
    <row r="5" spans="1:17">
      <c r="A5" s="550">
        <v>3</v>
      </c>
      <c r="B5" s="561" t="s">
        <v>1162</v>
      </c>
      <c r="C5" s="550" t="s">
        <v>559</v>
      </c>
      <c r="D5" s="242">
        <v>1003110961099</v>
      </c>
      <c r="E5" s="243">
        <v>5835410</v>
      </c>
      <c r="F5" s="562">
        <v>518.76</v>
      </c>
      <c r="G5" s="554">
        <f t="shared" ref="G5:G68" si="5">F5*7.38%</f>
        <v>38.284488000000003</v>
      </c>
      <c r="H5" s="563">
        <v>0</v>
      </c>
      <c r="I5" s="554">
        <f t="shared" ref="I5:I68" si="6">F5-G5-H5</f>
        <v>480.47551199999998</v>
      </c>
      <c r="J5" s="550" t="s">
        <v>13</v>
      </c>
      <c r="K5" s="555" t="s">
        <v>14</v>
      </c>
      <c r="L5" s="556">
        <f t="shared" si="4"/>
        <v>72.071326799999994</v>
      </c>
      <c r="M5" s="556">
        <f t="shared" si="0"/>
        <v>19.219020480000001</v>
      </c>
      <c r="N5" s="557">
        <f t="shared" si="1"/>
        <v>9.6095102400000005</v>
      </c>
      <c r="O5" s="557">
        <f t="shared" si="2"/>
        <v>9.6095102400000005</v>
      </c>
      <c r="P5" s="554">
        <f t="shared" si="3"/>
        <v>33.633285839999999</v>
      </c>
    </row>
    <row r="6" spans="1:17">
      <c r="A6" s="550">
        <v>4</v>
      </c>
      <c r="B6" s="339" t="s">
        <v>1163</v>
      </c>
      <c r="C6" s="327" t="s">
        <v>12</v>
      </c>
      <c r="D6" s="506">
        <v>1003110961887</v>
      </c>
      <c r="E6" s="507">
        <v>5847125</v>
      </c>
      <c r="F6" s="342">
        <v>697.2</v>
      </c>
      <c r="G6" s="294">
        <f t="shared" si="5"/>
        <v>51.453360000000004</v>
      </c>
      <c r="H6" s="294">
        <v>232.4</v>
      </c>
      <c r="I6" s="294">
        <f t="shared" si="6"/>
        <v>413.34664000000009</v>
      </c>
      <c r="J6" s="327" t="s">
        <v>13</v>
      </c>
      <c r="K6" s="294" t="s">
        <v>17</v>
      </c>
      <c r="L6" s="293">
        <f t="shared" si="4"/>
        <v>62.001996000000013</v>
      </c>
      <c r="M6" s="293">
        <f t="shared" si="0"/>
        <v>16.533865600000006</v>
      </c>
      <c r="N6" s="296">
        <f t="shared" si="1"/>
        <v>8.2669328000000029</v>
      </c>
      <c r="O6" s="296">
        <f t="shared" si="2"/>
        <v>8.2669328000000029</v>
      </c>
      <c r="P6" s="294">
        <f t="shared" si="3"/>
        <v>28.934264799999998</v>
      </c>
    </row>
    <row r="7" spans="1:17">
      <c r="A7" s="550">
        <v>5</v>
      </c>
      <c r="B7" s="561" t="s">
        <v>1164</v>
      </c>
      <c r="C7" s="550" t="s">
        <v>173</v>
      </c>
      <c r="D7" s="246">
        <v>1003110962126</v>
      </c>
      <c r="E7" s="191">
        <v>5847235</v>
      </c>
      <c r="F7" s="555">
        <v>928.44</v>
      </c>
      <c r="G7" s="564">
        <f t="shared" si="5"/>
        <v>68.518872000000002</v>
      </c>
      <c r="H7" s="555">
        <v>99.76</v>
      </c>
      <c r="I7" s="564">
        <f t="shared" si="6"/>
        <v>760.16112800000008</v>
      </c>
      <c r="J7" s="550" t="s">
        <v>13</v>
      </c>
      <c r="K7" s="555" t="s">
        <v>17</v>
      </c>
      <c r="L7" s="556">
        <f t="shared" si="4"/>
        <v>114.0241692</v>
      </c>
      <c r="M7" s="556">
        <f t="shared" si="0"/>
        <v>30.406445120000004</v>
      </c>
      <c r="N7" s="557">
        <f t="shared" si="1"/>
        <v>15.203222560000002</v>
      </c>
      <c r="O7" s="557">
        <f t="shared" si="2"/>
        <v>15.203222560000002</v>
      </c>
      <c r="P7" s="554">
        <f t="shared" si="3"/>
        <v>53.211278960000001</v>
      </c>
    </row>
    <row r="8" spans="1:17">
      <c r="A8" s="550">
        <v>6</v>
      </c>
      <c r="B8" s="551" t="s">
        <v>1165</v>
      </c>
      <c r="C8" s="560" t="s">
        <v>1160</v>
      </c>
      <c r="D8" s="249">
        <v>23863957</v>
      </c>
      <c r="E8" s="250">
        <v>5847993</v>
      </c>
      <c r="F8" s="559">
        <v>436.74</v>
      </c>
      <c r="G8" s="564">
        <f t="shared" si="5"/>
        <v>32.231412000000006</v>
      </c>
      <c r="H8" s="559">
        <v>45.97</v>
      </c>
      <c r="I8" s="564">
        <f>F8-G8-H8</f>
        <v>358.538588</v>
      </c>
      <c r="J8" s="560" t="s">
        <v>16</v>
      </c>
      <c r="K8" s="559" t="s">
        <v>14</v>
      </c>
      <c r="L8" s="556">
        <f t="shared" si="4"/>
        <v>53.780788199999996</v>
      </c>
      <c r="M8" s="556">
        <f t="shared" si="0"/>
        <v>14.34154352</v>
      </c>
      <c r="N8" s="557">
        <f t="shared" si="1"/>
        <v>7.1707717600000001</v>
      </c>
      <c r="O8" s="557">
        <f t="shared" si="2"/>
        <v>7.1707717600000001</v>
      </c>
      <c r="P8" s="554">
        <f t="shared" si="3"/>
        <v>25.097701159999993</v>
      </c>
    </row>
    <row r="9" spans="1:17">
      <c r="A9" s="550">
        <v>7</v>
      </c>
      <c r="B9" s="645" t="s">
        <v>1166</v>
      </c>
      <c r="C9" s="295" t="s">
        <v>1167</v>
      </c>
      <c r="D9" s="403">
        <v>1003111099747</v>
      </c>
      <c r="E9" s="507">
        <v>5851651</v>
      </c>
      <c r="F9" s="683">
        <v>640.65</v>
      </c>
      <c r="G9" s="294">
        <f t="shared" si="5"/>
        <v>47.279969999999999</v>
      </c>
      <c r="H9" s="293">
        <v>68.84</v>
      </c>
      <c r="I9" s="294">
        <f>F9-G9-H9</f>
        <v>524.5300299999999</v>
      </c>
      <c r="J9" s="295" t="s">
        <v>13</v>
      </c>
      <c r="K9" s="293" t="s">
        <v>266</v>
      </c>
      <c r="L9" s="293">
        <f t="shared" si="4"/>
        <v>78.679504499999979</v>
      </c>
      <c r="M9" s="293">
        <f t="shared" si="0"/>
        <v>20.981201199999997</v>
      </c>
      <c r="N9" s="296">
        <f>I9*2%</f>
        <v>10.490600599999999</v>
      </c>
      <c r="O9" s="296">
        <f t="shared" si="2"/>
        <v>10.490600599999999</v>
      </c>
      <c r="P9" s="294">
        <f t="shared" si="3"/>
        <v>36.717102099999977</v>
      </c>
    </row>
    <row r="10" spans="1:17">
      <c r="A10" s="550">
        <v>8</v>
      </c>
      <c r="B10" s="565" t="s">
        <v>1168</v>
      </c>
      <c r="C10" s="560" t="s">
        <v>1160</v>
      </c>
      <c r="D10" s="254">
        <v>1003110965912</v>
      </c>
      <c r="E10" s="255">
        <v>5850072</v>
      </c>
      <c r="F10" s="566">
        <v>610.04999999999995</v>
      </c>
      <c r="G10" s="564">
        <f t="shared" si="5"/>
        <v>45.02169</v>
      </c>
      <c r="H10" s="559">
        <v>65.55</v>
      </c>
      <c r="I10" s="564">
        <f t="shared" si="6"/>
        <v>499.47830999999991</v>
      </c>
      <c r="J10" s="567" t="s">
        <v>13</v>
      </c>
      <c r="K10" s="559" t="s">
        <v>519</v>
      </c>
      <c r="L10" s="556">
        <f t="shared" si="4"/>
        <v>74.921746499999983</v>
      </c>
      <c r="M10" s="556">
        <f t="shared" si="0"/>
        <v>19.979132399999997</v>
      </c>
      <c r="N10" s="557">
        <f t="shared" si="1"/>
        <v>9.9895661999999987</v>
      </c>
      <c r="O10" s="557">
        <f t="shared" si="2"/>
        <v>9.9895661999999987</v>
      </c>
      <c r="P10" s="554">
        <f t="shared" si="3"/>
        <v>34.963481699999988</v>
      </c>
    </row>
    <row r="11" spans="1:17">
      <c r="A11" s="550">
        <v>9</v>
      </c>
      <c r="B11" s="565" t="s">
        <v>1169</v>
      </c>
      <c r="C11" s="550" t="s">
        <v>559</v>
      </c>
      <c r="D11" s="251">
        <v>1003110967972</v>
      </c>
      <c r="E11" s="191">
        <v>5851056</v>
      </c>
      <c r="F11" s="568">
        <v>491.1</v>
      </c>
      <c r="G11" s="564">
        <f t="shared" si="5"/>
        <v>36.243180000000002</v>
      </c>
      <c r="H11" s="555">
        <v>0</v>
      </c>
      <c r="I11" s="569">
        <f t="shared" si="6"/>
        <v>454.85682000000003</v>
      </c>
      <c r="J11" s="570" t="s">
        <v>13</v>
      </c>
      <c r="K11" s="555" t="s">
        <v>14</v>
      </c>
      <c r="L11" s="556">
        <f t="shared" si="4"/>
        <v>68.228522999999996</v>
      </c>
      <c r="M11" s="556">
        <f t="shared" si="0"/>
        <v>18.1942728</v>
      </c>
      <c r="N11" s="557">
        <f t="shared" si="1"/>
        <v>9.0971364000000001</v>
      </c>
      <c r="O11" s="571">
        <f t="shared" si="2"/>
        <v>9.0971364000000001</v>
      </c>
      <c r="P11" s="556">
        <f t="shared" si="3"/>
        <v>31.839977399999992</v>
      </c>
    </row>
    <row r="12" spans="1:17">
      <c r="A12" s="550">
        <v>10</v>
      </c>
      <c r="B12" s="572" t="s">
        <v>1081</v>
      </c>
      <c r="C12" s="160" t="s">
        <v>1170</v>
      </c>
      <c r="D12" s="254">
        <v>2762891</v>
      </c>
      <c r="E12" s="262">
        <v>5799585</v>
      </c>
      <c r="F12" s="573">
        <v>459.7</v>
      </c>
      <c r="G12" s="564">
        <f t="shared" si="5"/>
        <v>33.92586</v>
      </c>
      <c r="H12" s="559">
        <v>45.97</v>
      </c>
      <c r="I12" s="564">
        <f t="shared" si="6"/>
        <v>379.80413999999996</v>
      </c>
      <c r="J12" s="570" t="s">
        <v>16</v>
      </c>
      <c r="K12" s="559" t="s">
        <v>14</v>
      </c>
      <c r="L12" s="556">
        <f t="shared" si="4"/>
        <v>56.970620999999994</v>
      </c>
      <c r="M12" s="556">
        <f t="shared" si="0"/>
        <v>15.192165599999999</v>
      </c>
      <c r="N12" s="557">
        <f t="shared" si="1"/>
        <v>7.5960827999999996</v>
      </c>
      <c r="O12" s="557">
        <f t="shared" si="2"/>
        <v>7.5960827999999996</v>
      </c>
      <c r="P12" s="554">
        <f t="shared" si="3"/>
        <v>26.586289800000003</v>
      </c>
    </row>
    <row r="13" spans="1:17">
      <c r="A13" s="550">
        <v>11</v>
      </c>
      <c r="B13" s="565" t="s">
        <v>1171</v>
      </c>
      <c r="C13" s="550" t="s">
        <v>173</v>
      </c>
      <c r="D13" s="251">
        <v>1003110864140</v>
      </c>
      <c r="E13" s="191" t="s">
        <v>1172</v>
      </c>
      <c r="F13" s="573">
        <v>485.79</v>
      </c>
      <c r="G13" s="569">
        <f t="shared" si="5"/>
        <v>35.851302000000004</v>
      </c>
      <c r="H13" s="555">
        <v>52.2</v>
      </c>
      <c r="I13" s="569">
        <f t="shared" si="6"/>
        <v>397.73869800000006</v>
      </c>
      <c r="J13" s="570" t="s">
        <v>13</v>
      </c>
      <c r="K13" s="555" t="s">
        <v>40</v>
      </c>
      <c r="L13" s="556">
        <f t="shared" si="4"/>
        <v>59.660804700000007</v>
      </c>
      <c r="M13" s="556">
        <f t="shared" si="0"/>
        <v>15.909547920000003</v>
      </c>
      <c r="N13" s="557">
        <f t="shared" si="1"/>
        <v>7.9547739600000016</v>
      </c>
      <c r="O13" s="571">
        <f t="shared" si="2"/>
        <v>7.9547739600000016</v>
      </c>
      <c r="P13" s="556">
        <f t="shared" si="3"/>
        <v>27.841708860000001</v>
      </c>
    </row>
    <row r="14" spans="1:17">
      <c r="A14" s="550">
        <v>12</v>
      </c>
      <c r="B14" s="159" t="s">
        <v>1173</v>
      </c>
      <c r="C14" s="560" t="s">
        <v>1160</v>
      </c>
      <c r="D14" s="264">
        <v>1003110976001</v>
      </c>
      <c r="E14" s="262" t="s">
        <v>1174</v>
      </c>
      <c r="F14" s="573">
        <v>485.05</v>
      </c>
      <c r="G14" s="564">
        <f t="shared" si="5"/>
        <v>35.796690000000005</v>
      </c>
      <c r="H14" s="559">
        <v>52.12</v>
      </c>
      <c r="I14" s="564">
        <f t="shared" si="6"/>
        <v>397.13330999999999</v>
      </c>
      <c r="J14" s="567" t="s">
        <v>13</v>
      </c>
      <c r="K14" s="559" t="s">
        <v>17</v>
      </c>
      <c r="L14" s="556">
        <f t="shared" si="4"/>
        <v>59.569996499999995</v>
      </c>
      <c r="M14" s="556">
        <f t="shared" si="0"/>
        <v>15.885332399999999</v>
      </c>
      <c r="N14" s="557">
        <f t="shared" si="1"/>
        <v>7.9426661999999997</v>
      </c>
      <c r="O14" s="557">
        <f t="shared" si="2"/>
        <v>7.9426661999999997</v>
      </c>
      <c r="P14" s="554">
        <f t="shared" si="3"/>
        <v>27.799331699999996</v>
      </c>
    </row>
    <row r="15" spans="1:17">
      <c r="A15" s="550">
        <v>13</v>
      </c>
      <c r="B15" s="574" t="s">
        <v>1175</v>
      </c>
      <c r="C15" s="550" t="s">
        <v>173</v>
      </c>
      <c r="D15" s="266">
        <v>1003110985286</v>
      </c>
      <c r="E15" s="262">
        <v>5853811</v>
      </c>
      <c r="F15" s="575">
        <v>523.11</v>
      </c>
      <c r="G15" s="569">
        <f t="shared" si="5"/>
        <v>38.605518000000004</v>
      </c>
      <c r="H15" s="559">
        <v>0</v>
      </c>
      <c r="I15" s="569">
        <f t="shared" si="6"/>
        <v>484.504482</v>
      </c>
      <c r="J15" s="570" t="s">
        <v>13</v>
      </c>
      <c r="K15" s="555" t="s">
        <v>166</v>
      </c>
      <c r="L15" s="556">
        <f t="shared" si="4"/>
        <v>72.675672300000002</v>
      </c>
      <c r="M15" s="556">
        <f t="shared" si="0"/>
        <v>19.38017928</v>
      </c>
      <c r="N15" s="557">
        <f t="shared" si="1"/>
        <v>9.6900896400000001</v>
      </c>
      <c r="O15" s="571">
        <f t="shared" si="2"/>
        <v>9.6900896400000001</v>
      </c>
      <c r="P15" s="556">
        <f t="shared" si="3"/>
        <v>33.915313740000002</v>
      </c>
    </row>
    <row r="16" spans="1:17">
      <c r="A16" s="550">
        <v>14</v>
      </c>
      <c r="B16" s="572" t="s">
        <v>1176</v>
      </c>
      <c r="C16" s="558" t="s">
        <v>173</v>
      </c>
      <c r="D16" s="251">
        <v>1003110977279</v>
      </c>
      <c r="E16" s="268">
        <v>5852631</v>
      </c>
      <c r="F16" s="573">
        <v>551.99</v>
      </c>
      <c r="G16" s="564">
        <f t="shared" si="5"/>
        <v>40.736862000000002</v>
      </c>
      <c r="H16" s="559">
        <v>145.81</v>
      </c>
      <c r="I16" s="564">
        <f t="shared" si="6"/>
        <v>365.44313800000003</v>
      </c>
      <c r="J16" s="567" t="s">
        <v>13</v>
      </c>
      <c r="K16" s="559" t="s">
        <v>26</v>
      </c>
      <c r="L16" s="556">
        <f t="shared" si="4"/>
        <v>54.816470700000004</v>
      </c>
      <c r="M16" s="556">
        <f t="shared" si="0"/>
        <v>14.617725520000002</v>
      </c>
      <c r="N16" s="557">
        <f t="shared" si="1"/>
        <v>7.3088627600000011</v>
      </c>
      <c r="O16" s="557">
        <f t="shared" si="2"/>
        <v>7.3088627600000011</v>
      </c>
      <c r="P16" s="554">
        <f t="shared" si="3"/>
        <v>25.581019659999999</v>
      </c>
    </row>
    <row r="17" spans="1:16" ht="18">
      <c r="A17" s="550">
        <v>15</v>
      </c>
      <c r="B17" s="574" t="s">
        <v>1177</v>
      </c>
      <c r="C17" s="576" t="s">
        <v>1160</v>
      </c>
      <c r="D17" s="246">
        <v>1003110934282</v>
      </c>
      <c r="E17" s="270" t="s">
        <v>1178</v>
      </c>
      <c r="F17" s="555">
        <v>423.84</v>
      </c>
      <c r="G17" s="569">
        <f t="shared" si="5"/>
        <v>31.279392000000001</v>
      </c>
      <c r="H17" s="559">
        <v>151.69999999999999</v>
      </c>
      <c r="I17" s="569">
        <f t="shared" si="6"/>
        <v>240.86060800000001</v>
      </c>
      <c r="J17" s="570" t="s">
        <v>13</v>
      </c>
      <c r="K17" s="555" t="s">
        <v>17</v>
      </c>
      <c r="L17" s="556">
        <f t="shared" si="4"/>
        <v>36.129091199999998</v>
      </c>
      <c r="M17" s="556">
        <f t="shared" si="0"/>
        <v>9.6344243200000008</v>
      </c>
      <c r="N17" s="557">
        <f t="shared" si="1"/>
        <v>4.8172121600000004</v>
      </c>
      <c r="O17" s="571">
        <f t="shared" si="2"/>
        <v>4.8172121600000004</v>
      </c>
      <c r="P17" s="556">
        <f t="shared" si="3"/>
        <v>16.860242559999996</v>
      </c>
    </row>
    <row r="18" spans="1:16">
      <c r="A18" s="550">
        <v>16</v>
      </c>
      <c r="B18" s="572" t="s">
        <v>1179</v>
      </c>
      <c r="C18" s="558" t="s">
        <v>1180</v>
      </c>
      <c r="D18" s="251">
        <v>2738338</v>
      </c>
      <c r="E18" s="271">
        <v>5855288</v>
      </c>
      <c r="F18" s="559">
        <v>826.2</v>
      </c>
      <c r="G18" s="564">
        <f t="shared" si="5"/>
        <v>60.973560000000006</v>
      </c>
      <c r="H18" s="559">
        <v>87.65</v>
      </c>
      <c r="I18" s="564">
        <f t="shared" si="6"/>
        <v>677.57644000000005</v>
      </c>
      <c r="J18" s="567" t="s">
        <v>16</v>
      </c>
      <c r="K18" s="559" t="s">
        <v>17</v>
      </c>
      <c r="L18" s="556">
        <f t="shared" si="4"/>
        <v>101.636466</v>
      </c>
      <c r="M18" s="556">
        <f t="shared" si="0"/>
        <v>27.103057600000003</v>
      </c>
      <c r="N18" s="557">
        <f t="shared" si="1"/>
        <v>13.551528800000002</v>
      </c>
      <c r="O18" s="557">
        <f t="shared" si="2"/>
        <v>13.551528800000002</v>
      </c>
      <c r="P18" s="554">
        <f t="shared" si="3"/>
        <v>47.430350799999999</v>
      </c>
    </row>
    <row r="19" spans="1:16">
      <c r="A19" s="550">
        <v>17</v>
      </c>
      <c r="B19" s="574" t="s">
        <v>1181</v>
      </c>
      <c r="C19" s="576" t="s">
        <v>173</v>
      </c>
      <c r="D19" s="251">
        <v>100311098140</v>
      </c>
      <c r="E19" s="272">
        <v>5856476</v>
      </c>
      <c r="F19" s="555">
        <v>549.9</v>
      </c>
      <c r="G19" s="569">
        <f t="shared" si="5"/>
        <v>40.582619999999999</v>
      </c>
      <c r="H19" s="555">
        <v>183.3</v>
      </c>
      <c r="I19" s="569">
        <f t="shared" si="6"/>
        <v>326.01737999999995</v>
      </c>
      <c r="J19" s="570" t="s">
        <v>13</v>
      </c>
      <c r="K19" s="555" t="s">
        <v>26</v>
      </c>
      <c r="L19" s="556">
        <f t="shared" si="4"/>
        <v>48.902606999999989</v>
      </c>
      <c r="M19" s="556">
        <f t="shared" si="0"/>
        <v>13.040695199999998</v>
      </c>
      <c r="N19" s="571">
        <f t="shared" si="1"/>
        <v>6.5203475999999991</v>
      </c>
      <c r="O19" s="571">
        <f t="shared" si="2"/>
        <v>6.5203475999999991</v>
      </c>
      <c r="P19" s="556">
        <f t="shared" si="3"/>
        <v>22.821216599999985</v>
      </c>
    </row>
    <row r="20" spans="1:16">
      <c r="A20" s="550">
        <v>18</v>
      </c>
      <c r="B20" s="572" t="s">
        <v>1182</v>
      </c>
      <c r="C20" s="576" t="s">
        <v>234</v>
      </c>
      <c r="D20" s="254">
        <v>1003110981550</v>
      </c>
      <c r="E20" s="268">
        <v>5856842</v>
      </c>
      <c r="F20" s="559">
        <v>1059.82</v>
      </c>
      <c r="G20" s="564">
        <f t="shared" si="5"/>
        <v>78.214715999999996</v>
      </c>
      <c r="H20" s="559">
        <v>113.88</v>
      </c>
      <c r="I20" s="554">
        <f t="shared" si="6"/>
        <v>867.72528399999999</v>
      </c>
      <c r="J20" s="567" t="s">
        <v>13</v>
      </c>
      <c r="K20" s="559" t="s">
        <v>49</v>
      </c>
      <c r="L20" s="556">
        <f t="shared" si="4"/>
        <v>130.1587926</v>
      </c>
      <c r="M20" s="556">
        <f t="shared" si="0"/>
        <v>34.709011359999998</v>
      </c>
      <c r="N20" s="557">
        <f t="shared" si="1"/>
        <v>17.354505679999999</v>
      </c>
      <c r="O20" s="557">
        <f t="shared" si="2"/>
        <v>17.354505679999999</v>
      </c>
      <c r="P20" s="554">
        <f t="shared" si="3"/>
        <v>60.740769879999988</v>
      </c>
    </row>
    <row r="21" spans="1:16">
      <c r="A21" s="550">
        <v>19</v>
      </c>
      <c r="B21" s="56" t="s">
        <v>1183</v>
      </c>
      <c r="C21" s="550" t="s">
        <v>1184</v>
      </c>
      <c r="D21" s="251">
        <v>2739954</v>
      </c>
      <c r="E21" s="273">
        <v>5858589</v>
      </c>
      <c r="F21" s="555">
        <v>1665.13</v>
      </c>
      <c r="G21" s="556">
        <f>F21*7.38%</f>
        <v>122.88659400000002</v>
      </c>
      <c r="H21" s="555">
        <v>146.07</v>
      </c>
      <c r="I21" s="556">
        <f t="shared" si="6"/>
        <v>1396.1734060000001</v>
      </c>
      <c r="J21" s="570" t="s">
        <v>16</v>
      </c>
      <c r="K21" s="555" t="s">
        <v>25</v>
      </c>
      <c r="L21" s="556">
        <f t="shared" si="4"/>
        <v>209.42601090000002</v>
      </c>
      <c r="M21" s="556">
        <f t="shared" si="0"/>
        <v>55.846936240000005</v>
      </c>
      <c r="N21" s="571">
        <f t="shared" si="1"/>
        <v>27.923468120000003</v>
      </c>
      <c r="O21" s="571">
        <f t="shared" si="2"/>
        <v>27.923468120000003</v>
      </c>
      <c r="P21" s="556">
        <f t="shared" si="3"/>
        <v>97.732138420000013</v>
      </c>
    </row>
    <row r="22" spans="1:16">
      <c r="A22" s="550">
        <v>20</v>
      </c>
      <c r="B22" s="572" t="s">
        <v>1185</v>
      </c>
      <c r="C22" s="560" t="s">
        <v>12</v>
      </c>
      <c r="D22" s="254">
        <v>1003110980557</v>
      </c>
      <c r="E22" s="268">
        <v>5858396</v>
      </c>
      <c r="F22" s="559">
        <v>576.39</v>
      </c>
      <c r="G22" s="554">
        <f t="shared" si="5"/>
        <v>42.537582</v>
      </c>
      <c r="H22" s="559">
        <v>61.94</v>
      </c>
      <c r="I22" s="554">
        <f t="shared" si="6"/>
        <v>471.91241799999995</v>
      </c>
      <c r="J22" s="567" t="s">
        <v>13</v>
      </c>
      <c r="K22" s="559" t="s">
        <v>17</v>
      </c>
      <c r="L22" s="556">
        <f t="shared" si="4"/>
        <v>70.786862699999986</v>
      </c>
      <c r="M22" s="556">
        <f t="shared" si="0"/>
        <v>18.876496719999999</v>
      </c>
      <c r="N22" s="557">
        <f t="shared" si="1"/>
        <v>9.4382483599999993</v>
      </c>
      <c r="O22" s="557">
        <f t="shared" si="2"/>
        <v>9.4382483599999993</v>
      </c>
      <c r="P22" s="554">
        <f t="shared" si="3"/>
        <v>33.033869259999989</v>
      </c>
    </row>
    <row r="23" spans="1:16">
      <c r="A23" s="550">
        <v>21</v>
      </c>
      <c r="B23" s="574" t="s">
        <v>1186</v>
      </c>
      <c r="C23" s="550" t="s">
        <v>173</v>
      </c>
      <c r="D23" s="251">
        <v>1003110978558</v>
      </c>
      <c r="E23" s="274">
        <v>5856063</v>
      </c>
      <c r="F23" s="555">
        <v>632.16</v>
      </c>
      <c r="G23" s="556">
        <f t="shared" si="5"/>
        <v>46.653407999999999</v>
      </c>
      <c r="H23" s="555">
        <v>67.930000000000007</v>
      </c>
      <c r="I23" s="556">
        <f t="shared" si="6"/>
        <v>517.57659199999989</v>
      </c>
      <c r="J23" s="570" t="s">
        <v>13</v>
      </c>
      <c r="K23" s="555" t="s">
        <v>14</v>
      </c>
      <c r="L23" s="556">
        <f t="shared" si="4"/>
        <v>77.636488799999981</v>
      </c>
      <c r="M23" s="556">
        <f t="shared" si="0"/>
        <v>20.703063679999996</v>
      </c>
      <c r="N23" s="571">
        <f t="shared" si="1"/>
        <v>10.351531839999998</v>
      </c>
      <c r="O23" s="571">
        <f t="shared" si="2"/>
        <v>10.351531839999998</v>
      </c>
      <c r="P23" s="556">
        <f t="shared" si="3"/>
        <v>36.230361439999982</v>
      </c>
    </row>
    <row r="24" spans="1:16">
      <c r="A24" s="550">
        <v>22</v>
      </c>
      <c r="B24" s="574" t="s">
        <v>1187</v>
      </c>
      <c r="C24" s="550" t="s">
        <v>12</v>
      </c>
      <c r="D24" s="251">
        <v>1003110987781</v>
      </c>
      <c r="E24" s="274">
        <v>5858944</v>
      </c>
      <c r="F24" s="555">
        <v>557.09</v>
      </c>
      <c r="G24" s="556">
        <f t="shared" si="5"/>
        <v>41.113242000000007</v>
      </c>
      <c r="H24" s="555">
        <v>58.86</v>
      </c>
      <c r="I24" s="556">
        <f t="shared" si="6"/>
        <v>457.116758</v>
      </c>
      <c r="J24" s="570" t="s">
        <v>13</v>
      </c>
      <c r="K24" s="555" t="s">
        <v>216</v>
      </c>
      <c r="L24" s="556">
        <f t="shared" si="4"/>
        <v>68.567513699999992</v>
      </c>
      <c r="M24" s="556">
        <f t="shared" si="0"/>
        <v>18.28467032</v>
      </c>
      <c r="N24" s="571">
        <f t="shared" si="1"/>
        <v>9.14233516</v>
      </c>
      <c r="O24" s="571">
        <f t="shared" si="2"/>
        <v>9.14233516</v>
      </c>
      <c r="P24" s="556">
        <f t="shared" si="3"/>
        <v>31.998173059999985</v>
      </c>
    </row>
    <row r="25" spans="1:16">
      <c r="A25" s="550">
        <v>23</v>
      </c>
      <c r="B25" s="572" t="s">
        <v>1188</v>
      </c>
      <c r="C25" s="560" t="s">
        <v>1160</v>
      </c>
      <c r="D25" s="254">
        <v>27422238</v>
      </c>
      <c r="E25" s="268">
        <v>5861982</v>
      </c>
      <c r="F25" s="559">
        <v>436.71</v>
      </c>
      <c r="G25" s="554">
        <f t="shared" si="5"/>
        <v>32.229198000000004</v>
      </c>
      <c r="H25" s="559">
        <v>45.97</v>
      </c>
      <c r="I25" s="556">
        <f t="shared" si="6"/>
        <v>358.51080200000001</v>
      </c>
      <c r="J25" s="567" t="s">
        <v>16</v>
      </c>
      <c r="K25" s="559" t="s">
        <v>49</v>
      </c>
      <c r="L25" s="556">
        <f t="shared" si="4"/>
        <v>53.776620299999998</v>
      </c>
      <c r="M25" s="556">
        <f t="shared" si="0"/>
        <v>14.340432080000001</v>
      </c>
      <c r="N25" s="557">
        <f t="shared" si="1"/>
        <v>7.1702160400000006</v>
      </c>
      <c r="O25" s="557">
        <f t="shared" si="2"/>
        <v>7.1702160400000006</v>
      </c>
      <c r="P25" s="554">
        <f t="shared" si="3"/>
        <v>25.095756139999999</v>
      </c>
    </row>
    <row r="26" spans="1:16">
      <c r="A26" s="550">
        <v>24</v>
      </c>
      <c r="B26" s="577" t="s">
        <v>1189</v>
      </c>
      <c r="C26" s="578" t="s">
        <v>170</v>
      </c>
      <c r="D26" s="277">
        <v>1003110986564</v>
      </c>
      <c r="E26" s="278">
        <v>5860046</v>
      </c>
      <c r="F26" s="559">
        <v>568.96</v>
      </c>
      <c r="G26" s="554">
        <f t="shared" si="5"/>
        <v>41.989248000000003</v>
      </c>
      <c r="H26" s="559">
        <v>61.14</v>
      </c>
      <c r="I26" s="556">
        <f t="shared" si="6"/>
        <v>465.83075200000007</v>
      </c>
      <c r="J26" s="578" t="s">
        <v>13</v>
      </c>
      <c r="K26" s="578" t="s">
        <v>14</v>
      </c>
      <c r="L26" s="556">
        <f t="shared" si="4"/>
        <v>69.874612800000008</v>
      </c>
      <c r="M26" s="556">
        <f t="shared" si="0"/>
        <v>18.633230080000004</v>
      </c>
      <c r="N26" s="557">
        <f t="shared" si="1"/>
        <v>9.3166150400000021</v>
      </c>
      <c r="O26" s="557">
        <f t="shared" si="2"/>
        <v>9.3166150400000021</v>
      </c>
      <c r="P26" s="554">
        <f t="shared" si="3"/>
        <v>32.60815264</v>
      </c>
    </row>
    <row r="27" spans="1:16">
      <c r="A27" s="550">
        <v>25</v>
      </c>
      <c r="B27" s="551" t="s">
        <v>1190</v>
      </c>
      <c r="C27" s="560" t="s">
        <v>18</v>
      </c>
      <c r="D27" s="369">
        <v>1003110987523</v>
      </c>
      <c r="E27" s="268">
        <v>5861579</v>
      </c>
      <c r="F27" s="559">
        <v>636.36</v>
      </c>
      <c r="G27" s="554">
        <f t="shared" si="5"/>
        <v>46.963368000000003</v>
      </c>
      <c r="H27" s="559">
        <v>0</v>
      </c>
      <c r="I27" s="556">
        <f t="shared" si="6"/>
        <v>589.39663199999995</v>
      </c>
      <c r="J27" s="567" t="s">
        <v>13</v>
      </c>
      <c r="K27" s="559" t="s">
        <v>14</v>
      </c>
      <c r="L27" s="556">
        <f t="shared" si="4"/>
        <v>88.40949479999999</v>
      </c>
      <c r="M27" s="556">
        <f t="shared" si="0"/>
        <v>23.575865279999999</v>
      </c>
      <c r="N27" s="557">
        <f t="shared" si="1"/>
        <v>11.787932639999999</v>
      </c>
      <c r="O27" s="557">
        <f t="shared" si="2"/>
        <v>11.787932639999999</v>
      </c>
      <c r="P27" s="554">
        <f t="shared" si="3"/>
        <v>41.257764239999986</v>
      </c>
    </row>
    <row r="28" spans="1:16">
      <c r="A28" s="550">
        <v>26</v>
      </c>
      <c r="B28" s="551" t="s">
        <v>1191</v>
      </c>
      <c r="C28" s="560" t="s">
        <v>1160</v>
      </c>
      <c r="D28" s="254">
        <v>2741452</v>
      </c>
      <c r="E28" s="268">
        <v>5856689</v>
      </c>
      <c r="F28" s="559">
        <v>703.12</v>
      </c>
      <c r="G28" s="554">
        <f t="shared" si="5"/>
        <v>51.890256000000001</v>
      </c>
      <c r="H28" s="559">
        <v>61.68</v>
      </c>
      <c r="I28" s="556">
        <f t="shared" si="6"/>
        <v>589.54974400000003</v>
      </c>
      <c r="J28" s="567" t="s">
        <v>16</v>
      </c>
      <c r="K28" s="559" t="s">
        <v>266</v>
      </c>
      <c r="L28" s="556">
        <f t="shared" si="4"/>
        <v>88.432461599999996</v>
      </c>
      <c r="M28" s="556">
        <f t="shared" si="0"/>
        <v>23.581989760000003</v>
      </c>
      <c r="N28" s="557">
        <f t="shared" si="1"/>
        <v>11.790994880000001</v>
      </c>
      <c r="O28" s="557">
        <f t="shared" si="2"/>
        <v>11.790994880000001</v>
      </c>
      <c r="P28" s="554">
        <f t="shared" si="3"/>
        <v>41.268482079999998</v>
      </c>
    </row>
    <row r="29" spans="1:16">
      <c r="A29" s="550">
        <v>27</v>
      </c>
      <c r="B29" s="339" t="s">
        <v>1192</v>
      </c>
      <c r="C29" s="327" t="s">
        <v>931</v>
      </c>
      <c r="D29" s="400">
        <v>1003110986144</v>
      </c>
      <c r="E29" s="495">
        <v>5860399</v>
      </c>
      <c r="F29" s="294">
        <v>772.33</v>
      </c>
      <c r="G29" s="294">
        <f t="shared" si="5"/>
        <v>56.997954000000007</v>
      </c>
      <c r="H29" s="294">
        <v>82.99</v>
      </c>
      <c r="I29" s="293">
        <f t="shared" si="6"/>
        <v>632.34204599999998</v>
      </c>
      <c r="J29" s="329" t="s">
        <v>13</v>
      </c>
      <c r="K29" s="294" t="s">
        <v>49</v>
      </c>
      <c r="L29" s="293">
        <f t="shared" si="4"/>
        <v>94.851306899999997</v>
      </c>
      <c r="M29" s="293">
        <f t="shared" si="0"/>
        <v>25.293681840000001</v>
      </c>
      <c r="N29" s="296">
        <f t="shared" si="1"/>
        <v>12.646840920000001</v>
      </c>
      <c r="O29" s="296">
        <f t="shared" si="2"/>
        <v>12.646840920000001</v>
      </c>
      <c r="P29" s="294">
        <f t="shared" si="3"/>
        <v>44.263943219999987</v>
      </c>
    </row>
    <row r="30" spans="1:16">
      <c r="A30" s="550">
        <v>28</v>
      </c>
      <c r="B30" s="551" t="s">
        <v>1193</v>
      </c>
      <c r="C30" s="560" t="s">
        <v>173</v>
      </c>
      <c r="D30" s="254">
        <v>1003110984710</v>
      </c>
      <c r="E30" s="268">
        <v>5860166</v>
      </c>
      <c r="F30" s="559">
        <v>994.7</v>
      </c>
      <c r="G30" s="554">
        <f t="shared" si="5"/>
        <v>73.408860000000004</v>
      </c>
      <c r="H30" s="559">
        <v>122.68</v>
      </c>
      <c r="I30" s="556">
        <f t="shared" si="6"/>
        <v>798.61113999999998</v>
      </c>
      <c r="J30" s="567" t="s">
        <v>13</v>
      </c>
      <c r="K30" s="559" t="s">
        <v>235</v>
      </c>
      <c r="L30" s="556">
        <f t="shared" si="4"/>
        <v>119.79167099999999</v>
      </c>
      <c r="M30" s="556">
        <f t="shared" si="0"/>
        <v>31.944445599999998</v>
      </c>
      <c r="N30" s="557">
        <f t="shared" si="1"/>
        <v>15.972222799999999</v>
      </c>
      <c r="O30" s="557">
        <f t="shared" si="2"/>
        <v>15.972222799999999</v>
      </c>
      <c r="P30" s="554">
        <f t="shared" si="3"/>
        <v>55.902779800000005</v>
      </c>
    </row>
    <row r="31" spans="1:16">
      <c r="A31" s="550">
        <v>29</v>
      </c>
      <c r="B31" s="551" t="s">
        <v>1194</v>
      </c>
      <c r="C31" s="560" t="s">
        <v>1160</v>
      </c>
      <c r="D31" s="254">
        <v>1910235</v>
      </c>
      <c r="E31" s="268" t="s">
        <v>1195</v>
      </c>
      <c r="F31" s="559">
        <v>568.13</v>
      </c>
      <c r="G31" s="554">
        <f t="shared" si="5"/>
        <v>41.927994000000005</v>
      </c>
      <c r="H31" s="559">
        <v>142.03</v>
      </c>
      <c r="I31" s="556">
        <f t="shared" si="6"/>
        <v>384.17200600000001</v>
      </c>
      <c r="J31" s="567" t="s">
        <v>13</v>
      </c>
      <c r="K31" s="559" t="s">
        <v>17</v>
      </c>
      <c r="L31" s="556">
        <f t="shared" si="4"/>
        <v>57.625800900000002</v>
      </c>
      <c r="M31" s="556">
        <f t="shared" si="0"/>
        <v>15.36688024</v>
      </c>
      <c r="N31" s="557">
        <f t="shared" si="1"/>
        <v>7.6834401200000002</v>
      </c>
      <c r="O31" s="557">
        <f t="shared" si="2"/>
        <v>7.6834401200000002</v>
      </c>
      <c r="P31" s="554">
        <f t="shared" si="3"/>
        <v>26.892040420000001</v>
      </c>
    </row>
    <row r="32" spans="1:16">
      <c r="A32" s="550">
        <v>30</v>
      </c>
      <c r="B32" s="551" t="s">
        <v>1196</v>
      </c>
      <c r="C32" s="560" t="s">
        <v>12</v>
      </c>
      <c r="D32" s="254">
        <v>1003110983476</v>
      </c>
      <c r="E32" s="280">
        <v>5860495</v>
      </c>
      <c r="F32" s="559">
        <v>633.86</v>
      </c>
      <c r="G32" s="554">
        <f t="shared" si="5"/>
        <v>46.778868000000003</v>
      </c>
      <c r="H32" s="559">
        <v>68.11</v>
      </c>
      <c r="I32" s="556">
        <f t="shared" si="6"/>
        <v>518.97113200000001</v>
      </c>
      <c r="J32" s="567" t="s">
        <v>13</v>
      </c>
      <c r="K32" s="559" t="s">
        <v>17</v>
      </c>
      <c r="L32" s="556">
        <f t="shared" si="4"/>
        <v>77.845669799999996</v>
      </c>
      <c r="M32" s="556">
        <f t="shared" si="0"/>
        <v>20.758845279999999</v>
      </c>
      <c r="N32" s="557">
        <f t="shared" si="1"/>
        <v>10.37942264</v>
      </c>
      <c r="O32" s="557">
        <f t="shared" si="2"/>
        <v>10.37942264</v>
      </c>
      <c r="P32" s="554">
        <f t="shared" si="3"/>
        <v>36.327979239999991</v>
      </c>
    </row>
    <row r="33" spans="1:16">
      <c r="A33" s="550">
        <v>31</v>
      </c>
      <c r="B33" s="551" t="s">
        <v>1197</v>
      </c>
      <c r="C33" s="560" t="s">
        <v>1160</v>
      </c>
      <c r="D33" s="254">
        <v>1003110982837</v>
      </c>
      <c r="E33" s="280">
        <v>5859289</v>
      </c>
      <c r="F33" s="559">
        <v>515.66999999999996</v>
      </c>
      <c r="G33" s="554">
        <f t="shared" si="5"/>
        <v>38.056446000000001</v>
      </c>
      <c r="H33" s="559">
        <v>0</v>
      </c>
      <c r="I33" s="556">
        <f t="shared" si="6"/>
        <v>477.61355399999997</v>
      </c>
      <c r="J33" s="567" t="s">
        <v>13</v>
      </c>
      <c r="K33" s="559" t="s">
        <v>26</v>
      </c>
      <c r="L33" s="556">
        <f t="shared" si="4"/>
        <v>71.642033099999992</v>
      </c>
      <c r="M33" s="556">
        <f t="shared" si="0"/>
        <v>19.104542159999998</v>
      </c>
      <c r="N33" s="557">
        <f t="shared" si="1"/>
        <v>9.5522710799999988</v>
      </c>
      <c r="O33" s="557">
        <f t="shared" si="2"/>
        <v>9.5522710799999988</v>
      </c>
      <c r="P33" s="554">
        <f t="shared" si="3"/>
        <v>33.432948780000004</v>
      </c>
    </row>
    <row r="34" spans="1:16">
      <c r="A34" s="550">
        <v>32</v>
      </c>
      <c r="B34" s="551" t="s">
        <v>1198</v>
      </c>
      <c r="C34" s="560" t="s">
        <v>559</v>
      </c>
      <c r="D34" s="254">
        <v>10031109825511</v>
      </c>
      <c r="E34" s="280">
        <v>5857586</v>
      </c>
      <c r="F34" s="559">
        <v>537.46</v>
      </c>
      <c r="G34" s="554">
        <f t="shared" si="5"/>
        <v>39.664548000000003</v>
      </c>
      <c r="H34" s="559">
        <v>0</v>
      </c>
      <c r="I34" s="556">
        <f t="shared" si="6"/>
        <v>497.79545200000001</v>
      </c>
      <c r="J34" s="567" t="s">
        <v>13</v>
      </c>
      <c r="K34" s="559" t="s">
        <v>26</v>
      </c>
      <c r="L34" s="556">
        <f t="shared" si="4"/>
        <v>74.669317800000002</v>
      </c>
      <c r="M34" s="556">
        <f t="shared" si="0"/>
        <v>19.91181808</v>
      </c>
      <c r="N34" s="557">
        <f t="shared" si="1"/>
        <v>9.9559090399999999</v>
      </c>
      <c r="O34" s="557">
        <f t="shared" si="2"/>
        <v>9.9559090399999999</v>
      </c>
      <c r="P34" s="554">
        <f t="shared" si="3"/>
        <v>34.845681639999995</v>
      </c>
    </row>
    <row r="35" spans="1:16">
      <c r="A35" s="550">
        <v>33</v>
      </c>
      <c r="B35" s="551" t="s">
        <v>1199</v>
      </c>
      <c r="C35" s="560" t="s">
        <v>1160</v>
      </c>
      <c r="D35" s="437">
        <v>1003110989089</v>
      </c>
      <c r="E35" s="280">
        <v>5863626</v>
      </c>
      <c r="F35" s="559">
        <v>606.08000000000004</v>
      </c>
      <c r="G35" s="554">
        <f t="shared" si="5"/>
        <v>44.728704000000008</v>
      </c>
      <c r="H35" s="559">
        <v>65.13</v>
      </c>
      <c r="I35" s="556">
        <f t="shared" si="6"/>
        <v>496.22129600000005</v>
      </c>
      <c r="J35" s="567" t="s">
        <v>13</v>
      </c>
      <c r="K35" s="559" t="s">
        <v>26</v>
      </c>
      <c r="L35" s="556">
        <f t="shared" si="4"/>
        <v>74.433194400000005</v>
      </c>
      <c r="M35" s="556">
        <f t="shared" si="0"/>
        <v>19.848851840000002</v>
      </c>
      <c r="N35" s="557">
        <f t="shared" si="1"/>
        <v>9.9244259200000009</v>
      </c>
      <c r="O35" s="557">
        <f t="shared" si="2"/>
        <v>9.9244259200000009</v>
      </c>
      <c r="P35" s="554">
        <f t="shared" si="3"/>
        <v>34.735490720000001</v>
      </c>
    </row>
    <row r="36" spans="1:16">
      <c r="A36" s="550">
        <v>34</v>
      </c>
      <c r="B36" s="551" t="s">
        <v>1200</v>
      </c>
      <c r="C36" s="560" t="s">
        <v>173</v>
      </c>
      <c r="D36" s="254">
        <v>1003110989065</v>
      </c>
      <c r="E36" s="280">
        <v>5863834</v>
      </c>
      <c r="F36" s="559">
        <v>610.79</v>
      </c>
      <c r="G36" s="554">
        <f t="shared" si="5"/>
        <v>45.076301999999998</v>
      </c>
      <c r="H36" s="559">
        <v>65.63</v>
      </c>
      <c r="I36" s="556">
        <f t="shared" si="6"/>
        <v>500.08369800000003</v>
      </c>
      <c r="J36" s="567" t="s">
        <v>13</v>
      </c>
      <c r="K36" s="559" t="s">
        <v>238</v>
      </c>
      <c r="L36" s="556">
        <f t="shared" si="4"/>
        <v>75.012554699999995</v>
      </c>
      <c r="M36" s="556">
        <f t="shared" si="0"/>
        <v>20.003347920000003</v>
      </c>
      <c r="N36" s="557">
        <f t="shared" si="1"/>
        <v>10.001673960000002</v>
      </c>
      <c r="O36" s="557">
        <f t="shared" si="2"/>
        <v>10.001673960000002</v>
      </c>
      <c r="P36" s="554">
        <f t="shared" si="3"/>
        <v>35.005858859999989</v>
      </c>
    </row>
    <row r="37" spans="1:16">
      <c r="A37" s="550">
        <v>35</v>
      </c>
      <c r="B37" s="551" t="s">
        <v>1201</v>
      </c>
      <c r="C37" s="560" t="s">
        <v>1160</v>
      </c>
      <c r="D37" s="254">
        <v>1003110988711</v>
      </c>
      <c r="E37" s="280">
        <v>5863138</v>
      </c>
      <c r="F37" s="559">
        <v>504.31</v>
      </c>
      <c r="G37" s="554">
        <f t="shared" si="5"/>
        <v>37.218078000000006</v>
      </c>
      <c r="H37" s="559">
        <v>54.19</v>
      </c>
      <c r="I37" s="556">
        <f t="shared" si="6"/>
        <v>412.90192200000001</v>
      </c>
      <c r="J37" s="567" t="s">
        <v>13</v>
      </c>
      <c r="K37" s="559" t="s">
        <v>25</v>
      </c>
      <c r="L37" s="556">
        <f t="shared" si="4"/>
        <v>61.935288299999996</v>
      </c>
      <c r="M37" s="556">
        <f t="shared" si="0"/>
        <v>16.51607688</v>
      </c>
      <c r="N37" s="557">
        <f t="shared" si="1"/>
        <v>8.25803844</v>
      </c>
      <c r="O37" s="557">
        <f t="shared" si="2"/>
        <v>8.25803844</v>
      </c>
      <c r="P37" s="554">
        <f t="shared" si="3"/>
        <v>28.903134539999996</v>
      </c>
    </row>
    <row r="38" spans="1:16">
      <c r="A38" s="550">
        <v>36</v>
      </c>
      <c r="B38" s="551" t="s">
        <v>1202</v>
      </c>
      <c r="C38" s="560" t="s">
        <v>809</v>
      </c>
      <c r="D38" s="254">
        <v>1003110181702</v>
      </c>
      <c r="E38" s="280">
        <v>5867513</v>
      </c>
      <c r="F38" s="559">
        <v>1206.56</v>
      </c>
      <c r="G38" s="554">
        <f t="shared" si="5"/>
        <v>89.044128000000001</v>
      </c>
      <c r="H38" s="559">
        <v>129.65</v>
      </c>
      <c r="I38" s="556">
        <f t="shared" si="6"/>
        <v>987.86587199999997</v>
      </c>
      <c r="J38" s="567" t="s">
        <v>13</v>
      </c>
      <c r="K38" s="559" t="s">
        <v>49</v>
      </c>
      <c r="L38" s="556">
        <f t="shared" si="4"/>
        <v>148.17988079999998</v>
      </c>
      <c r="M38" s="556">
        <f t="shared" si="0"/>
        <v>39.514634880000003</v>
      </c>
      <c r="N38" s="557">
        <f t="shared" si="1"/>
        <v>19.757317440000001</v>
      </c>
      <c r="O38" s="557">
        <f t="shared" si="2"/>
        <v>19.757317440000001</v>
      </c>
      <c r="P38" s="554">
        <f t="shared" si="3"/>
        <v>69.150611039999973</v>
      </c>
    </row>
    <row r="39" spans="1:16">
      <c r="A39" s="550">
        <v>37</v>
      </c>
      <c r="B39" s="551" t="s">
        <v>1203</v>
      </c>
      <c r="C39" s="560" t="s">
        <v>1184</v>
      </c>
      <c r="D39" s="254">
        <v>100311099642</v>
      </c>
      <c r="E39" s="280">
        <v>5853857</v>
      </c>
      <c r="F39" s="559">
        <v>611.24</v>
      </c>
      <c r="G39" s="554">
        <f t="shared" si="5"/>
        <v>45.109512000000002</v>
      </c>
      <c r="H39" s="559">
        <v>75.39</v>
      </c>
      <c r="I39" s="556">
        <f t="shared" si="6"/>
        <v>490.74048800000003</v>
      </c>
      <c r="J39" s="567" t="s">
        <v>16</v>
      </c>
      <c r="K39" s="559" t="s">
        <v>23</v>
      </c>
      <c r="L39" s="556">
        <f t="shared" si="4"/>
        <v>73.611073200000007</v>
      </c>
      <c r="M39" s="556">
        <f t="shared" si="0"/>
        <v>19.629619520000002</v>
      </c>
      <c r="N39" s="557">
        <f t="shared" si="1"/>
        <v>9.814809760000001</v>
      </c>
      <c r="O39" s="557">
        <f t="shared" si="2"/>
        <v>9.814809760000001</v>
      </c>
      <c r="P39" s="554">
        <f t="shared" si="3"/>
        <v>34.351834159999996</v>
      </c>
    </row>
    <row r="40" spans="1:16">
      <c r="A40" s="550">
        <v>38</v>
      </c>
      <c r="B40" s="551" t="s">
        <v>1204</v>
      </c>
      <c r="C40" s="560"/>
      <c r="D40" s="254">
        <v>1003110993648</v>
      </c>
      <c r="E40" s="280">
        <v>5865441</v>
      </c>
      <c r="F40" s="559">
        <v>559.71</v>
      </c>
      <c r="G40" s="554">
        <f t="shared" si="5"/>
        <v>41.306598000000008</v>
      </c>
      <c r="H40" s="559">
        <v>0</v>
      </c>
      <c r="I40" s="556">
        <f t="shared" si="6"/>
        <v>518.40340200000003</v>
      </c>
      <c r="J40" s="567" t="s">
        <v>13</v>
      </c>
      <c r="K40" s="559" t="s">
        <v>14</v>
      </c>
      <c r="L40" s="556">
        <f t="shared" si="4"/>
        <v>77.760510300000007</v>
      </c>
      <c r="M40" s="556">
        <f t="shared" si="0"/>
        <v>20.736136080000001</v>
      </c>
      <c r="N40" s="557">
        <f t="shared" si="1"/>
        <v>10.368068040000001</v>
      </c>
      <c r="O40" s="557">
        <f t="shared" si="2"/>
        <v>10.368068040000001</v>
      </c>
      <c r="P40" s="554">
        <f t="shared" si="3"/>
        <v>36.288238140000004</v>
      </c>
    </row>
    <row r="41" spans="1:16">
      <c r="A41" s="550">
        <v>39</v>
      </c>
      <c r="B41" s="551" t="s">
        <v>1205</v>
      </c>
      <c r="C41" s="560" t="s">
        <v>1160</v>
      </c>
      <c r="D41" s="254">
        <v>2743390</v>
      </c>
      <c r="E41" s="280">
        <v>5867140</v>
      </c>
      <c r="F41" s="559">
        <v>552.14</v>
      </c>
      <c r="G41" s="554">
        <f t="shared" si="5"/>
        <v>40.747931999999999</v>
      </c>
      <c r="H41" s="559">
        <v>48.44</v>
      </c>
      <c r="I41" s="556">
        <f t="shared" si="6"/>
        <v>462.952068</v>
      </c>
      <c r="J41" s="567" t="s">
        <v>16</v>
      </c>
      <c r="K41" s="559" t="s">
        <v>51</v>
      </c>
      <c r="L41" s="556">
        <f t="shared" si="4"/>
        <v>69.442810199999997</v>
      </c>
      <c r="M41" s="556">
        <f t="shared" si="0"/>
        <v>18.518082719999999</v>
      </c>
      <c r="N41" s="557">
        <f t="shared" si="1"/>
        <v>9.2590413599999994</v>
      </c>
      <c r="O41" s="557">
        <f t="shared" si="2"/>
        <v>9.2590413599999994</v>
      </c>
      <c r="P41" s="554">
        <f t="shared" si="3"/>
        <v>32.406644760000006</v>
      </c>
    </row>
    <row r="42" spans="1:16">
      <c r="A42" s="550">
        <v>40</v>
      </c>
      <c r="B42" s="551" t="s">
        <v>1206</v>
      </c>
      <c r="C42" s="560" t="s">
        <v>29</v>
      </c>
      <c r="D42" s="254">
        <v>2743099</v>
      </c>
      <c r="E42" s="280" t="s">
        <v>1207</v>
      </c>
      <c r="F42" s="559">
        <v>800.12</v>
      </c>
      <c r="G42" s="554">
        <f t="shared" si="5"/>
        <v>59.048856000000001</v>
      </c>
      <c r="H42" s="559">
        <v>0</v>
      </c>
      <c r="I42" s="556">
        <f t="shared" si="6"/>
        <v>741.071144</v>
      </c>
      <c r="J42" s="567" t="s">
        <v>16</v>
      </c>
      <c r="K42" s="559" t="s">
        <v>17</v>
      </c>
      <c r="L42" s="556">
        <f t="shared" si="4"/>
        <v>111.1606716</v>
      </c>
      <c r="M42" s="556">
        <f t="shared" si="0"/>
        <v>29.64284576</v>
      </c>
      <c r="N42" s="557">
        <f t="shared" si="1"/>
        <v>14.82142288</v>
      </c>
      <c r="O42" s="557">
        <f t="shared" si="2"/>
        <v>14.82142288</v>
      </c>
      <c r="P42" s="554">
        <f t="shared" si="3"/>
        <v>51.87498008</v>
      </c>
    </row>
    <row r="43" spans="1:16">
      <c r="A43" s="550">
        <v>41</v>
      </c>
      <c r="B43" s="551" t="s">
        <v>1208</v>
      </c>
      <c r="C43" s="560" t="s">
        <v>29</v>
      </c>
      <c r="D43" s="254">
        <v>1003110989880</v>
      </c>
      <c r="E43" s="280" t="s">
        <v>1209</v>
      </c>
      <c r="F43" s="559">
        <v>647.9</v>
      </c>
      <c r="G43" s="554">
        <f t="shared" si="5"/>
        <v>47.815020000000004</v>
      </c>
      <c r="H43" s="559">
        <v>69.62</v>
      </c>
      <c r="I43" s="556">
        <f t="shared" si="6"/>
        <v>530.46497999999997</v>
      </c>
      <c r="J43" s="567" t="s">
        <v>13</v>
      </c>
      <c r="K43" s="559" t="s">
        <v>17</v>
      </c>
      <c r="L43" s="556">
        <f t="shared" si="4"/>
        <v>79.569746999999992</v>
      </c>
      <c r="M43" s="556">
        <f t="shared" si="0"/>
        <v>21.2185992</v>
      </c>
      <c r="N43" s="557">
        <f t="shared" si="1"/>
        <v>10.6092996</v>
      </c>
      <c r="O43" s="557">
        <f t="shared" si="2"/>
        <v>10.6092996</v>
      </c>
      <c r="P43" s="554">
        <f t="shared" si="3"/>
        <v>37.132548599999993</v>
      </c>
    </row>
    <row r="44" spans="1:16" ht="18">
      <c r="A44" s="550">
        <v>42</v>
      </c>
      <c r="B44" s="551" t="s">
        <v>1210</v>
      </c>
      <c r="C44" s="560" t="s">
        <v>1160</v>
      </c>
      <c r="D44" s="254">
        <v>10031108991390</v>
      </c>
      <c r="E44" s="280" t="s">
        <v>1211</v>
      </c>
      <c r="F44" s="559">
        <v>442.95</v>
      </c>
      <c r="G44" s="554">
        <f t="shared" si="5"/>
        <v>32.689709999999998</v>
      </c>
      <c r="H44" s="559">
        <v>237.81</v>
      </c>
      <c r="I44" s="556">
        <f t="shared" si="6"/>
        <v>172.45029</v>
      </c>
      <c r="J44" s="567" t="s">
        <v>13</v>
      </c>
      <c r="K44" s="559" t="s">
        <v>17</v>
      </c>
      <c r="L44" s="556">
        <f t="shared" si="4"/>
        <v>25.8675435</v>
      </c>
      <c r="M44" s="556">
        <f t="shared" si="0"/>
        <v>6.8980116000000002</v>
      </c>
      <c r="N44" s="557">
        <f t="shared" si="1"/>
        <v>3.4490058000000001</v>
      </c>
      <c r="O44" s="557">
        <f t="shared" si="2"/>
        <v>3.4490058000000001</v>
      </c>
      <c r="P44" s="554">
        <f t="shared" si="3"/>
        <v>12.0715203</v>
      </c>
    </row>
    <row r="45" spans="1:16">
      <c r="A45" s="550">
        <v>43</v>
      </c>
      <c r="B45" s="551" t="s">
        <v>1212</v>
      </c>
      <c r="C45" s="560" t="s">
        <v>1184</v>
      </c>
      <c r="D45" s="254">
        <v>2747744</v>
      </c>
      <c r="E45" s="280">
        <v>5869947</v>
      </c>
      <c r="F45" s="559">
        <v>845.16</v>
      </c>
      <c r="G45" s="554">
        <f t="shared" si="5"/>
        <v>62.372807999999999</v>
      </c>
      <c r="H45" s="559">
        <v>0</v>
      </c>
      <c r="I45" s="556">
        <f t="shared" si="6"/>
        <v>782.787192</v>
      </c>
      <c r="J45" s="567" t="s">
        <v>13</v>
      </c>
      <c r="K45" s="559" t="s">
        <v>25</v>
      </c>
      <c r="L45" s="556">
        <f t="shared" si="4"/>
        <v>117.41807879999999</v>
      </c>
      <c r="M45" s="556">
        <f t="shared" si="0"/>
        <v>31.311487680000003</v>
      </c>
      <c r="N45" s="557">
        <f t="shared" si="1"/>
        <v>15.655743840000001</v>
      </c>
      <c r="O45" s="557">
        <f t="shared" si="2"/>
        <v>15.655743840000001</v>
      </c>
      <c r="P45" s="554">
        <f t="shared" si="3"/>
        <v>54.795103439999991</v>
      </c>
    </row>
    <row r="46" spans="1:16">
      <c r="A46" s="550">
        <v>44</v>
      </c>
      <c r="B46" s="551" t="s">
        <v>1213</v>
      </c>
      <c r="C46" s="560" t="s">
        <v>1180</v>
      </c>
      <c r="D46" s="281">
        <v>1003110998076</v>
      </c>
      <c r="E46" s="280">
        <v>5868677</v>
      </c>
      <c r="F46" s="559">
        <v>685.44</v>
      </c>
      <c r="G46" s="554">
        <f t="shared" si="5"/>
        <v>50.58547200000001</v>
      </c>
      <c r="H46" s="559">
        <v>228.48</v>
      </c>
      <c r="I46" s="556">
        <f t="shared" si="6"/>
        <v>406.37452800000005</v>
      </c>
      <c r="J46" s="567" t="s">
        <v>16</v>
      </c>
      <c r="K46" s="559" t="s">
        <v>50</v>
      </c>
      <c r="L46" s="556">
        <f t="shared" si="4"/>
        <v>60.956179200000008</v>
      </c>
      <c r="M46" s="556">
        <f t="shared" si="0"/>
        <v>16.254981120000004</v>
      </c>
      <c r="N46" s="557">
        <f t="shared" si="1"/>
        <v>8.1274905600000018</v>
      </c>
      <c r="O46" s="557">
        <f t="shared" si="2"/>
        <v>8.1274905600000018</v>
      </c>
      <c r="P46" s="554">
        <f t="shared" si="3"/>
        <v>28.446216959999997</v>
      </c>
    </row>
    <row r="47" spans="1:16">
      <c r="A47" s="550">
        <v>45</v>
      </c>
      <c r="B47" s="551" t="s">
        <v>1214</v>
      </c>
      <c r="C47" s="560" t="s">
        <v>1180</v>
      </c>
      <c r="D47" s="254">
        <v>2744486</v>
      </c>
      <c r="E47" s="280">
        <v>5869225</v>
      </c>
      <c r="F47" s="559">
        <v>519.4</v>
      </c>
      <c r="G47" s="554">
        <f t="shared" si="5"/>
        <v>38.331719999999997</v>
      </c>
      <c r="H47" s="559">
        <v>45.56</v>
      </c>
      <c r="I47" s="556">
        <f t="shared" si="6"/>
        <v>435.50827999999996</v>
      </c>
      <c r="J47" s="567" t="s">
        <v>16</v>
      </c>
      <c r="K47" s="559" t="s">
        <v>17</v>
      </c>
      <c r="L47" s="556">
        <f t="shared" si="4"/>
        <v>65.326241999999993</v>
      </c>
      <c r="M47" s="556">
        <f t="shared" si="0"/>
        <v>17.4203312</v>
      </c>
      <c r="N47" s="557">
        <f t="shared" si="1"/>
        <v>8.7101655999999998</v>
      </c>
      <c r="O47" s="557">
        <f t="shared" si="2"/>
        <v>8.7101655999999998</v>
      </c>
      <c r="P47" s="554">
        <f t="shared" si="3"/>
        <v>30.485579599999991</v>
      </c>
    </row>
    <row r="48" spans="1:16">
      <c r="A48" s="550">
        <v>46</v>
      </c>
      <c r="B48" s="551" t="s">
        <v>1215</v>
      </c>
      <c r="C48" s="560" t="s">
        <v>1160</v>
      </c>
      <c r="D48" s="254">
        <v>10031110997244</v>
      </c>
      <c r="E48" s="280">
        <v>5868415</v>
      </c>
      <c r="F48" s="559">
        <v>511.06</v>
      </c>
      <c r="G48" s="554">
        <f t="shared" si="5"/>
        <v>37.716228000000001</v>
      </c>
      <c r="H48" s="559">
        <v>135</v>
      </c>
      <c r="I48" s="556">
        <f t="shared" si="6"/>
        <v>338.343772</v>
      </c>
      <c r="J48" s="567" t="s">
        <v>16</v>
      </c>
      <c r="K48" s="559" t="s">
        <v>14</v>
      </c>
      <c r="L48" s="556">
        <f t="shared" si="4"/>
        <v>50.751565800000002</v>
      </c>
      <c r="M48" s="556">
        <f t="shared" si="0"/>
        <v>13.533750879999999</v>
      </c>
      <c r="N48" s="557">
        <f t="shared" si="1"/>
        <v>6.7668754399999997</v>
      </c>
      <c r="O48" s="557">
        <f t="shared" si="2"/>
        <v>6.7668754399999997</v>
      </c>
      <c r="P48" s="554">
        <f t="shared" si="3"/>
        <v>23.684064040000003</v>
      </c>
    </row>
    <row r="49" spans="1:16">
      <c r="A49" s="550">
        <v>47</v>
      </c>
      <c r="B49" s="551" t="s">
        <v>1216</v>
      </c>
      <c r="C49" s="560" t="s">
        <v>52</v>
      </c>
      <c r="D49" s="254">
        <v>51772025423</v>
      </c>
      <c r="E49" s="280">
        <v>5867647</v>
      </c>
      <c r="F49" s="559">
        <v>788.08</v>
      </c>
      <c r="G49" s="554">
        <f t="shared" si="5"/>
        <v>58.160304000000004</v>
      </c>
      <c r="H49" s="559">
        <v>197.02</v>
      </c>
      <c r="I49" s="556">
        <f t="shared" si="6"/>
        <v>532.89969600000006</v>
      </c>
      <c r="J49" s="567" t="s">
        <v>13</v>
      </c>
      <c r="K49" s="559" t="s">
        <v>1217</v>
      </c>
      <c r="L49" s="556">
        <f t="shared" si="4"/>
        <v>79.934954400000009</v>
      </c>
      <c r="M49" s="556">
        <f t="shared" si="0"/>
        <v>21.315987840000002</v>
      </c>
      <c r="N49" s="557">
        <f t="shared" si="1"/>
        <v>10.657993920000001</v>
      </c>
      <c r="O49" s="557">
        <f t="shared" si="2"/>
        <v>10.657993920000001</v>
      </c>
      <c r="P49" s="554">
        <f t="shared" si="3"/>
        <v>37.302978719999999</v>
      </c>
    </row>
    <row r="50" spans="1:16">
      <c r="A50" s="550">
        <v>48</v>
      </c>
      <c r="B50" s="551" t="s">
        <v>1218</v>
      </c>
      <c r="C50" s="560" t="s">
        <v>1160</v>
      </c>
      <c r="D50" s="254">
        <v>1003111005544</v>
      </c>
      <c r="E50" s="280">
        <v>5873657</v>
      </c>
      <c r="F50" s="559">
        <v>567.87</v>
      </c>
      <c r="G50" s="554">
        <f t="shared" si="5"/>
        <v>41.908806000000006</v>
      </c>
      <c r="H50" s="559">
        <v>61.02</v>
      </c>
      <c r="I50" s="556">
        <f t="shared" si="6"/>
        <v>464.941194</v>
      </c>
      <c r="J50" s="567" t="s">
        <v>13</v>
      </c>
      <c r="K50" s="559" t="s">
        <v>238</v>
      </c>
      <c r="L50" s="556">
        <f t="shared" si="4"/>
        <v>69.741179099999997</v>
      </c>
      <c r="M50" s="556">
        <f t="shared" si="0"/>
        <v>18.597647760000001</v>
      </c>
      <c r="N50" s="557">
        <f t="shared" si="1"/>
        <v>9.2988238800000005</v>
      </c>
      <c r="O50" s="557">
        <f t="shared" si="2"/>
        <v>9.2988238800000005</v>
      </c>
      <c r="P50" s="554">
        <f t="shared" si="3"/>
        <v>32.545883579999995</v>
      </c>
    </row>
    <row r="51" spans="1:16">
      <c r="A51" s="550">
        <v>49</v>
      </c>
      <c r="B51" s="551" t="s">
        <v>1219</v>
      </c>
      <c r="C51" s="560" t="s">
        <v>1180</v>
      </c>
      <c r="D51" s="254">
        <v>2754708</v>
      </c>
      <c r="E51" s="280">
        <v>5872457</v>
      </c>
      <c r="F51" s="559">
        <v>617.54999999999995</v>
      </c>
      <c r="G51" s="554">
        <f t="shared" si="5"/>
        <v>45.575189999999999</v>
      </c>
      <c r="H51" s="559">
        <v>0</v>
      </c>
      <c r="I51" s="556">
        <f t="shared" si="6"/>
        <v>571.97480999999993</v>
      </c>
      <c r="J51" s="567" t="s">
        <v>13</v>
      </c>
      <c r="K51" s="559" t="s">
        <v>50</v>
      </c>
      <c r="L51" s="556">
        <f t="shared" si="4"/>
        <v>85.796221499999987</v>
      </c>
      <c r="M51" s="556">
        <f t="shared" si="0"/>
        <v>22.878992399999998</v>
      </c>
      <c r="N51" s="557">
        <f t="shared" si="1"/>
        <v>11.439496199999999</v>
      </c>
      <c r="O51" s="557">
        <f t="shared" si="2"/>
        <v>11.439496199999999</v>
      </c>
      <c r="P51" s="554">
        <f t="shared" si="3"/>
        <v>40.038236699999985</v>
      </c>
    </row>
    <row r="52" spans="1:16">
      <c r="A52" s="550">
        <v>50</v>
      </c>
      <c r="B52" s="339" t="s">
        <v>1220</v>
      </c>
      <c r="C52" s="327" t="s">
        <v>1160</v>
      </c>
      <c r="D52" s="400">
        <v>1003111004345</v>
      </c>
      <c r="E52" s="401">
        <v>5873030</v>
      </c>
      <c r="F52" s="294">
        <v>538.79</v>
      </c>
      <c r="G52" s="294">
        <f t="shared" si="5"/>
        <v>39.762701999999997</v>
      </c>
      <c r="H52" s="294">
        <v>57.89</v>
      </c>
      <c r="I52" s="293">
        <f t="shared" si="6"/>
        <v>441.13729799999999</v>
      </c>
      <c r="J52" s="329" t="s">
        <v>13</v>
      </c>
      <c r="K52" s="294" t="s">
        <v>17</v>
      </c>
      <c r="L52" s="293">
        <f t="shared" si="4"/>
        <v>66.170594699999995</v>
      </c>
      <c r="M52" s="293">
        <f t="shared" si="0"/>
        <v>17.645491920000001</v>
      </c>
      <c r="N52" s="296">
        <f t="shared" si="1"/>
        <v>8.8227459600000007</v>
      </c>
      <c r="O52" s="296">
        <f t="shared" si="2"/>
        <v>8.8227459600000007</v>
      </c>
      <c r="P52" s="294">
        <f t="shared" si="3"/>
        <v>30.87961086</v>
      </c>
    </row>
    <row r="53" spans="1:16">
      <c r="A53" s="550">
        <v>51</v>
      </c>
      <c r="B53" s="551" t="s">
        <v>1221</v>
      </c>
      <c r="C53" s="560" t="s">
        <v>1222</v>
      </c>
      <c r="D53" s="254">
        <v>8068769</v>
      </c>
      <c r="E53" s="280">
        <v>5872131</v>
      </c>
      <c r="F53" s="559">
        <v>569.34</v>
      </c>
      <c r="G53" s="554">
        <f t="shared" si="5"/>
        <v>42.017292000000005</v>
      </c>
      <c r="H53" s="559">
        <v>284.67</v>
      </c>
      <c r="I53" s="556">
        <f t="shared" si="6"/>
        <v>242.65270800000002</v>
      </c>
      <c r="J53" s="567" t="s">
        <v>16</v>
      </c>
      <c r="K53" s="559" t="s">
        <v>17</v>
      </c>
      <c r="L53" s="556">
        <f t="shared" si="4"/>
        <v>36.397906200000001</v>
      </c>
      <c r="M53" s="556">
        <f t="shared" si="0"/>
        <v>9.7061083200000002</v>
      </c>
      <c r="N53" s="557">
        <f t="shared" si="1"/>
        <v>4.8530541600000001</v>
      </c>
      <c r="O53" s="557">
        <f t="shared" si="2"/>
        <v>4.8530541600000001</v>
      </c>
      <c r="P53" s="554">
        <f t="shared" si="3"/>
        <v>16.985689560000004</v>
      </c>
    </row>
    <row r="54" spans="1:16">
      <c r="A54" s="550">
        <v>52</v>
      </c>
      <c r="B54" s="551" t="s">
        <v>1223</v>
      </c>
      <c r="C54" s="560" t="s">
        <v>12</v>
      </c>
      <c r="D54" s="254">
        <v>1003111001883</v>
      </c>
      <c r="E54" s="280">
        <v>5869386</v>
      </c>
      <c r="F54" s="559">
        <v>605.44000000000005</v>
      </c>
      <c r="G54" s="554">
        <f t="shared" si="5"/>
        <v>44.681472000000007</v>
      </c>
      <c r="H54" s="559">
        <v>61.11</v>
      </c>
      <c r="I54" s="556">
        <f t="shared" si="6"/>
        <v>499.64852800000006</v>
      </c>
      <c r="J54" s="567" t="s">
        <v>13</v>
      </c>
      <c r="K54" s="559" t="s">
        <v>50</v>
      </c>
      <c r="L54" s="556">
        <f t="shared" si="4"/>
        <v>74.947279200000011</v>
      </c>
      <c r="M54" s="556">
        <f t="shared" si="0"/>
        <v>19.985941120000003</v>
      </c>
      <c r="N54" s="557">
        <f t="shared" si="1"/>
        <v>9.9929705600000016</v>
      </c>
      <c r="O54" s="557">
        <f t="shared" si="2"/>
        <v>9.9929705600000016</v>
      </c>
      <c r="P54" s="554">
        <f t="shared" si="3"/>
        <v>34.975396959999998</v>
      </c>
    </row>
    <row r="55" spans="1:16">
      <c r="A55" s="550">
        <v>53</v>
      </c>
      <c r="B55" s="551" t="s">
        <v>1224</v>
      </c>
      <c r="C55" s="560" t="s">
        <v>29</v>
      </c>
      <c r="D55" s="371">
        <v>1003111002003</v>
      </c>
      <c r="E55" s="280">
        <v>5871538</v>
      </c>
      <c r="F55" s="559">
        <v>661.6</v>
      </c>
      <c r="G55" s="554">
        <f t="shared" si="5"/>
        <v>48.826080000000005</v>
      </c>
      <c r="H55" s="559">
        <v>174.76</v>
      </c>
      <c r="I55" s="556">
        <f t="shared" si="6"/>
        <v>438.01391999999998</v>
      </c>
      <c r="J55" s="567" t="s">
        <v>13</v>
      </c>
      <c r="K55" s="559" t="s">
        <v>216</v>
      </c>
      <c r="L55" s="556">
        <f t="shared" si="4"/>
        <v>65.702087999999989</v>
      </c>
      <c r="M55" s="556">
        <f t="shared" si="0"/>
        <v>17.520556800000001</v>
      </c>
      <c r="N55" s="557">
        <f t="shared" si="1"/>
        <v>8.7602784000000007</v>
      </c>
      <c r="O55" s="557">
        <f t="shared" si="2"/>
        <v>8.7602784000000007</v>
      </c>
      <c r="P55" s="554">
        <f t="shared" si="3"/>
        <v>30.66097439999999</v>
      </c>
    </row>
    <row r="56" spans="1:16">
      <c r="A56" s="550">
        <v>54</v>
      </c>
      <c r="B56" s="551" t="s">
        <v>578</v>
      </c>
      <c r="C56" s="560" t="s">
        <v>63</v>
      </c>
      <c r="D56" s="254">
        <v>2759092</v>
      </c>
      <c r="E56" s="280">
        <v>5872063</v>
      </c>
      <c r="F56" s="559">
        <v>880.38</v>
      </c>
      <c r="G56" s="554">
        <f t="shared" si="5"/>
        <v>64.972043999999997</v>
      </c>
      <c r="H56" s="559">
        <v>0</v>
      </c>
      <c r="I56" s="556">
        <f t="shared" si="6"/>
        <v>815.40795600000001</v>
      </c>
      <c r="J56" s="567" t="s">
        <v>13</v>
      </c>
      <c r="K56" s="559" t="s">
        <v>50</v>
      </c>
      <c r="L56" s="556">
        <f t="shared" si="4"/>
        <v>122.31119339999999</v>
      </c>
      <c r="M56" s="556">
        <f t="shared" si="0"/>
        <v>32.616318239999998</v>
      </c>
      <c r="N56" s="557">
        <f t="shared" si="1"/>
        <v>16.308159119999999</v>
      </c>
      <c r="O56" s="557">
        <f t="shared" si="2"/>
        <v>16.308159119999999</v>
      </c>
      <c r="P56" s="554">
        <f t="shared" si="3"/>
        <v>57.078556919999997</v>
      </c>
    </row>
    <row r="57" spans="1:16">
      <c r="A57" s="550">
        <v>55</v>
      </c>
      <c r="B57" s="551" t="s">
        <v>1225</v>
      </c>
      <c r="C57" s="560" t="s">
        <v>29</v>
      </c>
      <c r="D57" s="254">
        <v>1003111012238</v>
      </c>
      <c r="E57" s="280">
        <v>5877137</v>
      </c>
      <c r="F57" s="559">
        <v>718.28</v>
      </c>
      <c r="G57" s="554">
        <f t="shared" si="5"/>
        <v>53.009064000000002</v>
      </c>
      <c r="H57" s="559">
        <v>189.74</v>
      </c>
      <c r="I57" s="556">
        <f t="shared" si="6"/>
        <v>475.530936</v>
      </c>
      <c r="J57" s="567" t="s">
        <v>13</v>
      </c>
      <c r="K57" s="559" t="s">
        <v>23</v>
      </c>
      <c r="L57" s="556">
        <f t="shared" si="4"/>
        <v>71.329640400000002</v>
      </c>
      <c r="M57" s="556">
        <f t="shared" si="0"/>
        <v>19.02123744</v>
      </c>
      <c r="N57" s="557">
        <f t="shared" si="1"/>
        <v>9.5106187200000001</v>
      </c>
      <c r="O57" s="557">
        <f t="shared" si="2"/>
        <v>9.5106187200000001</v>
      </c>
      <c r="P57" s="554">
        <f t="shared" si="3"/>
        <v>33.287165520000002</v>
      </c>
    </row>
    <row r="58" spans="1:16">
      <c r="A58" s="550">
        <v>56</v>
      </c>
      <c r="B58" s="339" t="s">
        <v>1226</v>
      </c>
      <c r="C58" s="327" t="s">
        <v>1160</v>
      </c>
      <c r="D58" s="400">
        <v>1003111010573</v>
      </c>
      <c r="E58" s="401">
        <v>5875278</v>
      </c>
      <c r="F58" s="294">
        <v>515.23</v>
      </c>
      <c r="G58" s="294">
        <f t="shared" si="5"/>
        <v>38.023974000000003</v>
      </c>
      <c r="H58" s="294">
        <v>55.36</v>
      </c>
      <c r="I58" s="293">
        <f t="shared" si="6"/>
        <v>421.84602599999999</v>
      </c>
      <c r="J58" s="329" t="s">
        <v>13</v>
      </c>
      <c r="K58" s="294" t="s">
        <v>14</v>
      </c>
      <c r="L58" s="293">
        <f t="shared" si="4"/>
        <v>63.276903899999994</v>
      </c>
      <c r="M58" s="293">
        <f t="shared" si="0"/>
        <v>16.873841039999999</v>
      </c>
      <c r="N58" s="296">
        <f t="shared" si="1"/>
        <v>8.4369205199999993</v>
      </c>
      <c r="O58" s="296">
        <f t="shared" si="2"/>
        <v>8.4369205199999993</v>
      </c>
      <c r="P58" s="294">
        <f t="shared" si="3"/>
        <v>29.529221819999989</v>
      </c>
    </row>
    <row r="59" spans="1:16">
      <c r="A59" s="550">
        <v>57</v>
      </c>
      <c r="B59" s="551" t="s">
        <v>1227</v>
      </c>
      <c r="C59" s="560" t="s">
        <v>12</v>
      </c>
      <c r="D59" s="283">
        <v>1003111007895</v>
      </c>
      <c r="E59" s="280">
        <v>5874818</v>
      </c>
      <c r="F59" s="559">
        <v>630.05999999999995</v>
      </c>
      <c r="G59" s="554">
        <f t="shared" si="5"/>
        <v>46.498427999999997</v>
      </c>
      <c r="H59" s="559">
        <v>77.709999999999994</v>
      </c>
      <c r="I59" s="556">
        <f t="shared" si="6"/>
        <v>505.85157199999998</v>
      </c>
      <c r="J59" s="567" t="s">
        <v>13</v>
      </c>
      <c r="K59" s="559" t="s">
        <v>235</v>
      </c>
      <c r="L59" s="556">
        <f t="shared" si="4"/>
        <v>75.877735799999996</v>
      </c>
      <c r="M59" s="556">
        <f t="shared" si="0"/>
        <v>20.23406288</v>
      </c>
      <c r="N59" s="557">
        <f t="shared" si="1"/>
        <v>10.11703144</v>
      </c>
      <c r="O59" s="557">
        <f t="shared" si="2"/>
        <v>10.11703144</v>
      </c>
      <c r="P59" s="554">
        <f t="shared" si="3"/>
        <v>35.409610040000004</v>
      </c>
    </row>
    <row r="60" spans="1:16">
      <c r="A60" s="550">
        <v>58</v>
      </c>
      <c r="B60" s="551" t="s">
        <v>1228</v>
      </c>
      <c r="C60" s="560" t="s">
        <v>1160</v>
      </c>
      <c r="D60" s="284">
        <v>1003111017806</v>
      </c>
      <c r="E60" s="280">
        <v>5879890</v>
      </c>
      <c r="F60" s="559">
        <v>544.65</v>
      </c>
      <c r="G60" s="554">
        <f t="shared" si="5"/>
        <v>40.195169999999997</v>
      </c>
      <c r="H60" s="559">
        <v>67.180000000000007</v>
      </c>
      <c r="I60" s="556">
        <f t="shared" si="6"/>
        <v>437.27482999999995</v>
      </c>
      <c r="J60" s="567" t="s">
        <v>13</v>
      </c>
      <c r="K60" s="559" t="s">
        <v>14</v>
      </c>
      <c r="L60" s="556">
        <f t="shared" si="4"/>
        <v>65.591224499999996</v>
      </c>
      <c r="M60" s="556">
        <f t="shared" si="0"/>
        <v>17.490993199999998</v>
      </c>
      <c r="N60" s="557">
        <f t="shared" si="1"/>
        <v>8.7454965999999992</v>
      </c>
      <c r="O60" s="557">
        <f t="shared" si="2"/>
        <v>8.7454965999999992</v>
      </c>
      <c r="P60" s="554">
        <f t="shared" si="3"/>
        <v>30.609238099999995</v>
      </c>
    </row>
    <row r="61" spans="1:16">
      <c r="A61" s="550">
        <v>59</v>
      </c>
      <c r="B61" s="339" t="s">
        <v>1229</v>
      </c>
      <c r="C61" s="327" t="s">
        <v>234</v>
      </c>
      <c r="D61" s="400">
        <v>1003111017702</v>
      </c>
      <c r="E61" s="401">
        <v>5879544</v>
      </c>
      <c r="F61" s="294">
        <v>617.54</v>
      </c>
      <c r="G61" s="294">
        <f t="shared" si="5"/>
        <v>45.574452000000001</v>
      </c>
      <c r="H61" s="294">
        <v>76.17</v>
      </c>
      <c r="I61" s="293">
        <f t="shared" si="6"/>
        <v>495.795548</v>
      </c>
      <c r="J61" s="329" t="s">
        <v>13</v>
      </c>
      <c r="K61" s="294" t="s">
        <v>14</v>
      </c>
      <c r="L61" s="293">
        <f t="shared" si="4"/>
        <v>74.369332200000002</v>
      </c>
      <c r="M61" s="293">
        <f t="shared" si="0"/>
        <v>19.831821919999999</v>
      </c>
      <c r="N61" s="296">
        <f t="shared" si="1"/>
        <v>9.9159109599999997</v>
      </c>
      <c r="O61" s="296">
        <f t="shared" si="2"/>
        <v>9.9159109599999997</v>
      </c>
      <c r="P61" s="294">
        <f t="shared" si="3"/>
        <v>34.705688360000011</v>
      </c>
    </row>
    <row r="62" spans="1:16">
      <c r="A62" s="550">
        <v>60</v>
      </c>
      <c r="B62" s="551" t="s">
        <v>1230</v>
      </c>
      <c r="C62" s="560" t="s">
        <v>29</v>
      </c>
      <c r="D62" s="254">
        <v>2750630</v>
      </c>
      <c r="E62" s="280">
        <v>5876660</v>
      </c>
      <c r="F62" s="559">
        <v>564.95000000000005</v>
      </c>
      <c r="G62" s="554">
        <f t="shared" si="5"/>
        <v>41.693310000000004</v>
      </c>
      <c r="H62" s="559">
        <v>49.56</v>
      </c>
      <c r="I62" s="556">
        <f t="shared" si="6"/>
        <v>473.69669000000005</v>
      </c>
      <c r="J62" s="567" t="s">
        <v>16</v>
      </c>
      <c r="K62" s="559" t="s">
        <v>17</v>
      </c>
      <c r="L62" s="556">
        <f t="shared" si="4"/>
        <v>71.05450350000001</v>
      </c>
      <c r="M62" s="556">
        <f t="shared" si="0"/>
        <v>18.947867600000002</v>
      </c>
      <c r="N62" s="557">
        <f t="shared" si="1"/>
        <v>9.4739338000000011</v>
      </c>
      <c r="O62" s="557">
        <f t="shared" si="2"/>
        <v>9.4739338000000011</v>
      </c>
      <c r="P62" s="554">
        <f t="shared" si="3"/>
        <v>33.158768300000006</v>
      </c>
    </row>
    <row r="63" spans="1:16">
      <c r="A63" s="550">
        <v>61</v>
      </c>
      <c r="B63" s="551" t="s">
        <v>1231</v>
      </c>
      <c r="C63" s="560" t="s">
        <v>29</v>
      </c>
      <c r="D63" s="254">
        <v>1003111027063</v>
      </c>
      <c r="E63" s="280">
        <v>5874928</v>
      </c>
      <c r="F63" s="559">
        <v>718.92</v>
      </c>
      <c r="G63" s="554">
        <f t="shared" si="5"/>
        <v>53.056296000000003</v>
      </c>
      <c r="H63" s="559">
        <v>88.67</v>
      </c>
      <c r="I63" s="556">
        <f t="shared" si="6"/>
        <v>577.19370400000003</v>
      </c>
      <c r="J63" s="567" t="s">
        <v>13</v>
      </c>
      <c r="K63" s="559" t="s">
        <v>1232</v>
      </c>
      <c r="L63" s="556">
        <f t="shared" si="4"/>
        <v>86.579055600000004</v>
      </c>
      <c r="M63" s="556">
        <f t="shared" si="0"/>
        <v>23.08774816</v>
      </c>
      <c r="N63" s="557">
        <f t="shared" si="1"/>
        <v>11.54387408</v>
      </c>
      <c r="O63" s="557">
        <f t="shared" si="2"/>
        <v>11.54387408</v>
      </c>
      <c r="P63" s="554">
        <f t="shared" si="3"/>
        <v>40.403559279999996</v>
      </c>
    </row>
    <row r="64" spans="1:16">
      <c r="A64" s="550">
        <v>62</v>
      </c>
      <c r="B64" s="551" t="s">
        <v>1233</v>
      </c>
      <c r="C64" s="560" t="s">
        <v>368</v>
      </c>
      <c r="D64" s="254">
        <v>2754732</v>
      </c>
      <c r="E64" s="280">
        <v>5875556</v>
      </c>
      <c r="F64" s="559">
        <v>1017</v>
      </c>
      <c r="G64" s="554">
        <f t="shared" si="5"/>
        <v>75.054600000000008</v>
      </c>
      <c r="H64" s="559">
        <v>132.43</v>
      </c>
      <c r="I64" s="556">
        <f t="shared" si="6"/>
        <v>809.5154</v>
      </c>
      <c r="J64" s="567" t="s">
        <v>13</v>
      </c>
      <c r="K64" s="559" t="s">
        <v>1232</v>
      </c>
      <c r="L64" s="556">
        <f t="shared" si="4"/>
        <v>121.42730999999999</v>
      </c>
      <c r="M64" s="556">
        <f t="shared" si="0"/>
        <v>32.380616000000003</v>
      </c>
      <c r="N64" s="557">
        <f t="shared" si="1"/>
        <v>16.190308000000002</v>
      </c>
      <c r="O64" s="557">
        <f t="shared" si="2"/>
        <v>16.190308000000002</v>
      </c>
      <c r="P64" s="554">
        <f t="shared" si="3"/>
        <v>56.666077999999985</v>
      </c>
    </row>
    <row r="65" spans="1:16">
      <c r="A65" s="550">
        <v>63</v>
      </c>
      <c r="B65" s="551" t="s">
        <v>1234</v>
      </c>
      <c r="C65" s="560" t="s">
        <v>29</v>
      </c>
      <c r="D65" s="254">
        <v>2749526</v>
      </c>
      <c r="E65" s="280">
        <v>5878980</v>
      </c>
      <c r="F65" s="559">
        <v>1342.28</v>
      </c>
      <c r="G65" s="554">
        <f t="shared" si="5"/>
        <v>99.060264000000004</v>
      </c>
      <c r="H65" s="559">
        <v>144.22999999999999</v>
      </c>
      <c r="I65" s="556">
        <f t="shared" si="6"/>
        <v>1098.989736</v>
      </c>
      <c r="J65" s="567" t="s">
        <v>13</v>
      </c>
      <c r="K65" s="559" t="s">
        <v>238</v>
      </c>
      <c r="L65" s="556">
        <f t="shared" si="4"/>
        <v>164.84846039999999</v>
      </c>
      <c r="M65" s="556">
        <f t="shared" si="0"/>
        <v>43.959589440000002</v>
      </c>
      <c r="N65" s="557">
        <f t="shared" si="1"/>
        <v>21.979794720000001</v>
      </c>
      <c r="O65" s="557">
        <f t="shared" si="2"/>
        <v>21.979794720000001</v>
      </c>
      <c r="P65" s="554">
        <f t="shared" si="3"/>
        <v>76.929281519999989</v>
      </c>
    </row>
    <row r="66" spans="1:16">
      <c r="A66" s="550">
        <v>64</v>
      </c>
      <c r="B66" s="339" t="s">
        <v>1235</v>
      </c>
      <c r="C66" s="327" t="s">
        <v>1160</v>
      </c>
      <c r="D66" s="400">
        <v>1003111014491</v>
      </c>
      <c r="E66" s="401">
        <v>5875849</v>
      </c>
      <c r="F66" s="294">
        <v>563.16999999999996</v>
      </c>
      <c r="G66" s="294">
        <f t="shared" si="5"/>
        <v>41.561945999999999</v>
      </c>
      <c r="H66" s="294">
        <v>60.57</v>
      </c>
      <c r="I66" s="293">
        <f t="shared" si="6"/>
        <v>461.03805399999993</v>
      </c>
      <c r="J66" s="329" t="s">
        <v>13</v>
      </c>
      <c r="K66" s="294" t="s">
        <v>26</v>
      </c>
      <c r="L66" s="293">
        <f t="shared" si="4"/>
        <v>69.155708099999984</v>
      </c>
      <c r="M66" s="293">
        <f t="shared" si="0"/>
        <v>18.441522159999998</v>
      </c>
      <c r="N66" s="296">
        <f t="shared" si="1"/>
        <v>9.2207610799999991</v>
      </c>
      <c r="O66" s="296">
        <f t="shared" si="2"/>
        <v>9.2207610799999991</v>
      </c>
      <c r="P66" s="294">
        <f t="shared" si="3"/>
        <v>32.272663779999988</v>
      </c>
    </row>
    <row r="67" spans="1:16">
      <c r="A67" s="550">
        <v>65</v>
      </c>
      <c r="B67" s="551" t="s">
        <v>1236</v>
      </c>
      <c r="C67" s="560" t="s">
        <v>1160</v>
      </c>
      <c r="D67" s="254">
        <v>2749526</v>
      </c>
      <c r="E67" s="280">
        <v>5873613</v>
      </c>
      <c r="F67" s="559">
        <v>459.97</v>
      </c>
      <c r="G67" s="554">
        <f t="shared" si="5"/>
        <v>33.945786000000005</v>
      </c>
      <c r="H67" s="559">
        <v>45.97</v>
      </c>
      <c r="I67" s="556">
        <f t="shared" si="6"/>
        <v>380.054214</v>
      </c>
      <c r="J67" s="567" t="s">
        <v>16</v>
      </c>
      <c r="K67" s="559" t="s">
        <v>14</v>
      </c>
      <c r="L67" s="556">
        <f t="shared" si="4"/>
        <v>57.008132099999997</v>
      </c>
      <c r="M67" s="556">
        <f t="shared" ref="M67:M142" si="7">I67*4%</f>
        <v>15.20216856</v>
      </c>
      <c r="N67" s="557">
        <f t="shared" ref="N67:N142" si="8">I67*2%</f>
        <v>7.6010842800000002</v>
      </c>
      <c r="O67" s="557">
        <f t="shared" ref="O67:O142" si="9">I67*2%</f>
        <v>7.6010842800000002</v>
      </c>
      <c r="P67" s="554">
        <f t="shared" ref="P67:P142" si="10">L67-M67-N67-O67</f>
        <v>26.603794979999989</v>
      </c>
    </row>
    <row r="68" spans="1:16">
      <c r="A68" s="550">
        <v>66</v>
      </c>
      <c r="B68" s="551" t="s">
        <v>1237</v>
      </c>
      <c r="C68" s="560" t="s">
        <v>1160</v>
      </c>
      <c r="D68" s="254">
        <v>2749526</v>
      </c>
      <c r="E68" s="280">
        <v>5882425</v>
      </c>
      <c r="F68" s="559">
        <v>522.61</v>
      </c>
      <c r="G68" s="554">
        <f t="shared" si="5"/>
        <v>38.568618000000001</v>
      </c>
      <c r="H68" s="559">
        <v>174.2</v>
      </c>
      <c r="I68" s="556">
        <f t="shared" si="6"/>
        <v>309.84138200000001</v>
      </c>
      <c r="J68" s="567" t="s">
        <v>13</v>
      </c>
      <c r="K68" s="559" t="s">
        <v>238</v>
      </c>
      <c r="L68" s="556">
        <f t="shared" ref="L68:L142" si="11">I68*15%</f>
        <v>46.476207299999999</v>
      </c>
      <c r="M68" s="556">
        <f t="shared" si="7"/>
        <v>12.393655280000001</v>
      </c>
      <c r="N68" s="579">
        <f t="shared" si="8"/>
        <v>6.1968276400000004</v>
      </c>
      <c r="O68" s="579">
        <f t="shared" si="9"/>
        <v>6.1968276400000004</v>
      </c>
      <c r="P68" s="580">
        <f t="shared" si="10"/>
        <v>21.68889673999999</v>
      </c>
    </row>
    <row r="69" spans="1:16">
      <c r="A69" s="550">
        <v>67</v>
      </c>
      <c r="B69" s="551" t="s">
        <v>1238</v>
      </c>
      <c r="C69" s="560" t="s">
        <v>12</v>
      </c>
      <c r="D69" s="254">
        <v>1003111020414</v>
      </c>
      <c r="E69" s="280">
        <v>5881884</v>
      </c>
      <c r="F69" s="559">
        <v>548.73</v>
      </c>
      <c r="G69" s="580">
        <f t="shared" ref="G69:G142" si="12">F69*7.38%</f>
        <v>40.496274000000007</v>
      </c>
      <c r="H69" s="559">
        <v>58.96</v>
      </c>
      <c r="I69" s="581">
        <f t="shared" ref="I69:I142" si="13">F69-G69-H69</f>
        <v>449.27372600000001</v>
      </c>
      <c r="J69" s="567" t="s">
        <v>13</v>
      </c>
      <c r="K69" s="559" t="s">
        <v>14</v>
      </c>
      <c r="L69" s="556">
        <f t="shared" si="11"/>
        <v>67.391058900000004</v>
      </c>
      <c r="M69" s="556">
        <f t="shared" si="7"/>
        <v>17.970949040000001</v>
      </c>
      <c r="N69" s="579">
        <f t="shared" si="8"/>
        <v>8.9854745200000004</v>
      </c>
      <c r="O69" s="579">
        <f t="shared" si="9"/>
        <v>8.9854745200000004</v>
      </c>
      <c r="P69" s="580">
        <f t="shared" si="10"/>
        <v>31.449160819999999</v>
      </c>
    </row>
    <row r="70" spans="1:16">
      <c r="A70" s="550">
        <v>68</v>
      </c>
      <c r="B70" s="551" t="s">
        <v>1239</v>
      </c>
      <c r="C70" s="560" t="s">
        <v>1160</v>
      </c>
      <c r="D70" s="254">
        <v>100311100323</v>
      </c>
      <c r="E70" s="280">
        <v>5870737</v>
      </c>
      <c r="F70" s="559">
        <v>508.96</v>
      </c>
      <c r="G70" s="554">
        <f t="shared" si="12"/>
        <v>37.561247999999999</v>
      </c>
      <c r="H70" s="559">
        <v>169.65</v>
      </c>
      <c r="I70" s="556">
        <f t="shared" si="13"/>
        <v>301.74875199999997</v>
      </c>
      <c r="J70" s="567" t="s">
        <v>13</v>
      </c>
      <c r="K70" s="559" t="s">
        <v>50</v>
      </c>
      <c r="L70" s="556">
        <f t="shared" si="11"/>
        <v>45.262312799999997</v>
      </c>
      <c r="M70" s="556">
        <f t="shared" si="7"/>
        <v>12.069950079999998</v>
      </c>
      <c r="N70" s="557">
        <f t="shared" si="8"/>
        <v>6.0349750399999991</v>
      </c>
      <c r="O70" s="557">
        <f t="shared" si="9"/>
        <v>6.0349750399999991</v>
      </c>
      <c r="P70" s="554">
        <f t="shared" si="10"/>
        <v>21.12241264</v>
      </c>
    </row>
    <row r="71" spans="1:16">
      <c r="A71" s="550">
        <v>69</v>
      </c>
      <c r="B71" s="551" t="s">
        <v>1240</v>
      </c>
      <c r="C71" s="560" t="s">
        <v>29</v>
      </c>
      <c r="D71" s="254">
        <v>1003111019969</v>
      </c>
      <c r="E71" s="280">
        <v>5881558</v>
      </c>
      <c r="F71" s="559">
        <v>746.61</v>
      </c>
      <c r="G71" s="554">
        <f t="shared" si="12"/>
        <v>55.099818000000006</v>
      </c>
      <c r="H71" s="559">
        <v>0</v>
      </c>
      <c r="I71" s="556">
        <f t="shared" si="13"/>
        <v>691.51018199999999</v>
      </c>
      <c r="J71" s="567" t="s">
        <v>13</v>
      </c>
      <c r="K71" s="559" t="s">
        <v>1241</v>
      </c>
      <c r="L71" s="556">
        <f t="shared" si="11"/>
        <v>103.7265273</v>
      </c>
      <c r="M71" s="556">
        <f t="shared" si="7"/>
        <v>27.660407280000001</v>
      </c>
      <c r="N71" s="557">
        <f t="shared" si="8"/>
        <v>13.830203640000001</v>
      </c>
      <c r="O71" s="557">
        <f t="shared" si="9"/>
        <v>13.830203640000001</v>
      </c>
      <c r="P71" s="554">
        <f t="shared" si="10"/>
        <v>48.405712739999998</v>
      </c>
    </row>
    <row r="72" spans="1:16">
      <c r="A72" s="550">
        <v>70</v>
      </c>
      <c r="B72" s="339" t="s">
        <v>1242</v>
      </c>
      <c r="C72" s="327" t="s">
        <v>173</v>
      </c>
      <c r="D72" s="400">
        <v>1003111036674</v>
      </c>
      <c r="E72" s="401">
        <v>5889131</v>
      </c>
      <c r="F72" s="294">
        <v>567.21</v>
      </c>
      <c r="G72" s="294">
        <f t="shared" si="12"/>
        <v>41.860098000000008</v>
      </c>
      <c r="H72" s="294">
        <v>69.959999999999994</v>
      </c>
      <c r="I72" s="293">
        <f t="shared" si="13"/>
        <v>455.38990200000006</v>
      </c>
      <c r="J72" s="329" t="s">
        <v>13</v>
      </c>
      <c r="K72" s="294" t="s">
        <v>14</v>
      </c>
      <c r="L72" s="293">
        <f t="shared" si="11"/>
        <v>68.308485300000001</v>
      </c>
      <c r="M72" s="293">
        <f t="shared" si="7"/>
        <v>18.215596080000005</v>
      </c>
      <c r="N72" s="296">
        <f t="shared" si="8"/>
        <v>9.1077980400000023</v>
      </c>
      <c r="O72" s="296">
        <f t="shared" si="9"/>
        <v>9.1077980400000023</v>
      </c>
      <c r="P72" s="294">
        <f t="shared" si="10"/>
        <v>31.877293139999995</v>
      </c>
    </row>
    <row r="73" spans="1:16">
      <c r="A73" s="550">
        <v>71</v>
      </c>
      <c r="B73" s="339" t="s">
        <v>1243</v>
      </c>
      <c r="C73" s="327" t="s">
        <v>1160</v>
      </c>
      <c r="D73" s="400">
        <v>1003111031980</v>
      </c>
      <c r="E73" s="401">
        <v>5889039</v>
      </c>
      <c r="F73" s="294">
        <v>548.71</v>
      </c>
      <c r="G73" s="294">
        <f t="shared" si="12"/>
        <v>40.494798000000003</v>
      </c>
      <c r="H73" s="294">
        <v>67.680000000000007</v>
      </c>
      <c r="I73" s="293">
        <f t="shared" si="13"/>
        <v>440.53520200000003</v>
      </c>
      <c r="J73" s="329" t="s">
        <v>13</v>
      </c>
      <c r="K73" s="294" t="s">
        <v>235</v>
      </c>
      <c r="L73" s="293">
        <f t="shared" si="11"/>
        <v>66.080280299999998</v>
      </c>
      <c r="M73" s="293">
        <f t="shared" si="7"/>
        <v>17.621408080000002</v>
      </c>
      <c r="N73" s="296">
        <f t="shared" si="8"/>
        <v>8.810704040000001</v>
      </c>
      <c r="O73" s="296">
        <f t="shared" si="9"/>
        <v>8.810704040000001</v>
      </c>
      <c r="P73" s="294">
        <f t="shared" si="10"/>
        <v>30.837464139999998</v>
      </c>
    </row>
    <row r="74" spans="1:16">
      <c r="A74" s="550">
        <v>72</v>
      </c>
      <c r="B74" s="551" t="s">
        <v>1244</v>
      </c>
      <c r="C74" s="560" t="s">
        <v>1160</v>
      </c>
      <c r="D74" s="481">
        <v>1003111031335</v>
      </c>
      <c r="E74" s="280">
        <v>5888904</v>
      </c>
      <c r="F74" s="559">
        <v>565.67999999999995</v>
      </c>
      <c r="G74" s="554">
        <f t="shared" si="12"/>
        <v>41.747183999999997</v>
      </c>
      <c r="H74" s="559">
        <v>60.78</v>
      </c>
      <c r="I74" s="556">
        <f t="shared" si="13"/>
        <v>463.15281600000003</v>
      </c>
      <c r="J74" s="567" t="s">
        <v>13</v>
      </c>
      <c r="K74" s="559" t="s">
        <v>164</v>
      </c>
      <c r="L74" s="556">
        <f t="shared" si="11"/>
        <v>69.472922400000002</v>
      </c>
      <c r="M74" s="556">
        <f t="shared" si="7"/>
        <v>18.526112640000001</v>
      </c>
      <c r="N74" s="557">
        <f t="shared" si="8"/>
        <v>9.2630563200000005</v>
      </c>
      <c r="O74" s="557">
        <f t="shared" si="9"/>
        <v>9.2630563200000005</v>
      </c>
      <c r="P74" s="554">
        <f t="shared" si="10"/>
        <v>32.42069712</v>
      </c>
    </row>
    <row r="75" spans="1:16">
      <c r="A75" s="550">
        <v>73</v>
      </c>
      <c r="B75" s="551" t="s">
        <v>1245</v>
      </c>
      <c r="C75" s="560" t="s">
        <v>1160</v>
      </c>
      <c r="D75" s="254">
        <v>2755593</v>
      </c>
      <c r="E75" s="280">
        <v>5889932</v>
      </c>
      <c r="F75" s="559">
        <v>598.28</v>
      </c>
      <c r="G75" s="554">
        <f t="shared" si="12"/>
        <v>44.153064000000001</v>
      </c>
      <c r="H75" s="559">
        <v>62.98</v>
      </c>
      <c r="I75" s="556">
        <f t="shared" si="13"/>
        <v>491.14693599999998</v>
      </c>
      <c r="J75" s="567" t="s">
        <v>16</v>
      </c>
      <c r="K75" s="559" t="s">
        <v>26</v>
      </c>
      <c r="L75" s="556">
        <f t="shared" si="11"/>
        <v>73.6720404</v>
      </c>
      <c r="M75" s="556">
        <f t="shared" si="7"/>
        <v>19.64587744</v>
      </c>
      <c r="N75" s="557">
        <f t="shared" si="8"/>
        <v>9.8229387199999998</v>
      </c>
      <c r="O75" s="557">
        <f t="shared" si="9"/>
        <v>9.8229387199999998</v>
      </c>
      <c r="P75" s="554">
        <f t="shared" si="10"/>
        <v>34.380285520000001</v>
      </c>
    </row>
    <row r="76" spans="1:16">
      <c r="A76" s="550">
        <v>74</v>
      </c>
      <c r="B76" s="551" t="s">
        <v>1246</v>
      </c>
      <c r="C76" s="560" t="s">
        <v>1160</v>
      </c>
      <c r="D76" s="482">
        <v>2755569</v>
      </c>
      <c r="E76" s="280">
        <v>5882368</v>
      </c>
      <c r="F76" s="559">
        <v>456.31</v>
      </c>
      <c r="G76" s="554">
        <f t="shared" si="12"/>
        <v>33.675678000000005</v>
      </c>
      <c r="H76" s="559">
        <v>48.03</v>
      </c>
      <c r="I76" s="556">
        <f t="shared" si="13"/>
        <v>374.60432200000002</v>
      </c>
      <c r="J76" s="567" t="s">
        <v>16</v>
      </c>
      <c r="K76" s="559" t="s">
        <v>238</v>
      </c>
      <c r="L76" s="556">
        <f t="shared" si="11"/>
        <v>56.190648299999999</v>
      </c>
      <c r="M76" s="556">
        <f t="shared" si="7"/>
        <v>14.984172880000001</v>
      </c>
      <c r="N76" s="557">
        <f t="shared" si="8"/>
        <v>7.4920864400000005</v>
      </c>
      <c r="O76" s="557">
        <f t="shared" si="9"/>
        <v>7.4920864400000005</v>
      </c>
      <c r="P76" s="554">
        <f t="shared" si="10"/>
        <v>26.222302539999994</v>
      </c>
    </row>
    <row r="77" spans="1:16">
      <c r="A77" s="550">
        <v>75</v>
      </c>
      <c r="B77" s="551" t="s">
        <v>1247</v>
      </c>
      <c r="C77" s="560" t="s">
        <v>35</v>
      </c>
      <c r="D77" s="254">
        <v>1003111035327</v>
      </c>
      <c r="E77" s="280">
        <v>5891381</v>
      </c>
      <c r="F77" s="559">
        <v>824.91</v>
      </c>
      <c r="G77" s="554">
        <f t="shared" si="12"/>
        <v>60.878357999999999</v>
      </c>
      <c r="H77" s="559">
        <v>274.97000000000003</v>
      </c>
      <c r="I77" s="556">
        <f t="shared" si="13"/>
        <v>489.06164199999989</v>
      </c>
      <c r="J77" s="567" t="s">
        <v>13</v>
      </c>
      <c r="K77" s="559" t="s">
        <v>17</v>
      </c>
      <c r="L77" s="556">
        <f t="shared" si="11"/>
        <v>73.359246299999981</v>
      </c>
      <c r="M77" s="556">
        <f t="shared" si="7"/>
        <v>19.562465679999995</v>
      </c>
      <c r="N77" s="557">
        <f t="shared" si="8"/>
        <v>9.7812328399999977</v>
      </c>
      <c r="O77" s="557">
        <f t="shared" si="9"/>
        <v>9.7812328399999977</v>
      </c>
      <c r="P77" s="554">
        <f t="shared" si="10"/>
        <v>34.23431493999999</v>
      </c>
    </row>
    <row r="78" spans="1:16">
      <c r="A78" s="550">
        <v>76</v>
      </c>
      <c r="B78" s="551" t="s">
        <v>1248</v>
      </c>
      <c r="C78" s="560" t="s">
        <v>29</v>
      </c>
      <c r="D78" s="254">
        <v>1003111034725</v>
      </c>
      <c r="E78" s="280" t="s">
        <v>1249</v>
      </c>
      <c r="F78" s="559">
        <v>549.24</v>
      </c>
      <c r="G78" s="554">
        <f t="shared" si="12"/>
        <v>40.533912000000001</v>
      </c>
      <c r="H78" s="559">
        <v>183.08</v>
      </c>
      <c r="I78" s="556">
        <f t="shared" si="13"/>
        <v>325.62608799999998</v>
      </c>
      <c r="J78" s="567" t="s">
        <v>16</v>
      </c>
      <c r="K78" s="559" t="s">
        <v>17</v>
      </c>
      <c r="L78" s="556">
        <f t="shared" si="11"/>
        <v>48.843913199999996</v>
      </c>
      <c r="M78" s="556">
        <f t="shared" si="7"/>
        <v>13.025043519999999</v>
      </c>
      <c r="N78" s="557">
        <f t="shared" si="8"/>
        <v>6.5125217599999994</v>
      </c>
      <c r="O78" s="557">
        <f t="shared" si="9"/>
        <v>6.5125217599999994</v>
      </c>
      <c r="P78" s="554">
        <f t="shared" si="10"/>
        <v>22.793826160000002</v>
      </c>
    </row>
    <row r="79" spans="1:16">
      <c r="A79" s="550">
        <v>77</v>
      </c>
      <c r="B79" s="339" t="s">
        <v>1250</v>
      </c>
      <c r="C79" s="327" t="s">
        <v>1160</v>
      </c>
      <c r="D79" s="400">
        <v>1003111050336</v>
      </c>
      <c r="E79" s="401">
        <v>5900031</v>
      </c>
      <c r="F79" s="294">
        <v>559.85</v>
      </c>
      <c r="G79" s="294">
        <f t="shared" si="12"/>
        <v>41.316930000000006</v>
      </c>
      <c r="H79" s="294">
        <v>60.16</v>
      </c>
      <c r="I79" s="293">
        <f t="shared" si="13"/>
        <v>458.3730700000001</v>
      </c>
      <c r="J79" s="329" t="s">
        <v>13</v>
      </c>
      <c r="K79" s="294" t="s">
        <v>266</v>
      </c>
      <c r="L79" s="293">
        <f t="shared" si="11"/>
        <v>68.755960500000015</v>
      </c>
      <c r="M79" s="293">
        <f t="shared" si="7"/>
        <v>18.334922800000005</v>
      </c>
      <c r="N79" s="296">
        <f t="shared" si="8"/>
        <v>9.1674614000000023</v>
      </c>
      <c r="O79" s="296">
        <f t="shared" si="9"/>
        <v>9.1674614000000023</v>
      </c>
      <c r="P79" s="294">
        <f t="shared" si="10"/>
        <v>32.086114900000013</v>
      </c>
    </row>
    <row r="80" spans="1:16">
      <c r="A80" s="550">
        <v>78</v>
      </c>
      <c r="B80" s="551" t="s">
        <v>1251</v>
      </c>
      <c r="C80" s="560" t="s">
        <v>1160</v>
      </c>
      <c r="D80" s="254">
        <v>51772025423</v>
      </c>
      <c r="E80" s="280">
        <v>5896827</v>
      </c>
      <c r="F80" s="559">
        <v>576</v>
      </c>
      <c r="G80" s="554">
        <f t="shared" si="12"/>
        <v>42.508800000000001</v>
      </c>
      <c r="H80" s="559">
        <v>57.6</v>
      </c>
      <c r="I80" s="556">
        <f t="shared" si="13"/>
        <v>475.89120000000003</v>
      </c>
      <c r="J80" s="567" t="s">
        <v>16</v>
      </c>
      <c r="K80" s="559" t="s">
        <v>14</v>
      </c>
      <c r="L80" s="556">
        <f t="shared" si="11"/>
        <v>71.383679999999998</v>
      </c>
      <c r="M80" s="556">
        <f t="shared" si="7"/>
        <v>19.035648000000002</v>
      </c>
      <c r="N80" s="557">
        <f t="shared" si="8"/>
        <v>9.517824000000001</v>
      </c>
      <c r="O80" s="557">
        <f t="shared" si="9"/>
        <v>9.517824000000001</v>
      </c>
      <c r="P80" s="554">
        <f t="shared" si="10"/>
        <v>33.312383999999994</v>
      </c>
    </row>
    <row r="81" spans="1:16">
      <c r="A81" s="550">
        <v>79</v>
      </c>
      <c r="B81" s="551" t="s">
        <v>1252</v>
      </c>
      <c r="C81" s="560" t="s">
        <v>29</v>
      </c>
      <c r="D81" s="254">
        <v>2758649</v>
      </c>
      <c r="E81" s="280">
        <v>5897401</v>
      </c>
      <c r="F81" s="559">
        <v>1054.17</v>
      </c>
      <c r="G81" s="554">
        <f t="shared" si="12"/>
        <v>77.797746000000004</v>
      </c>
      <c r="H81" s="559">
        <v>110.97</v>
      </c>
      <c r="I81" s="556">
        <f t="shared" si="13"/>
        <v>865.40225400000008</v>
      </c>
      <c r="J81" s="567" t="s">
        <v>16</v>
      </c>
      <c r="K81" s="559" t="s">
        <v>1232</v>
      </c>
      <c r="L81" s="556">
        <f t="shared" si="11"/>
        <v>129.8103381</v>
      </c>
      <c r="M81" s="556">
        <f t="shared" si="7"/>
        <v>34.616090160000006</v>
      </c>
      <c r="N81" s="557">
        <f t="shared" si="8"/>
        <v>17.308045080000003</v>
      </c>
      <c r="O81" s="557">
        <f t="shared" si="9"/>
        <v>17.308045080000003</v>
      </c>
      <c r="P81" s="554">
        <f t="shared" si="10"/>
        <v>60.578157779999998</v>
      </c>
    </row>
    <row r="82" spans="1:16">
      <c r="A82" s="550">
        <v>80</v>
      </c>
      <c r="B82" s="339" t="s">
        <v>1253</v>
      </c>
      <c r="C82" s="327" t="s">
        <v>1254</v>
      </c>
      <c r="D82" s="400">
        <v>10031111049857</v>
      </c>
      <c r="E82" s="401">
        <v>5899724</v>
      </c>
      <c r="F82" s="294">
        <v>583.73</v>
      </c>
      <c r="G82" s="294">
        <f t="shared" si="12"/>
        <v>43.079274000000005</v>
      </c>
      <c r="H82" s="294">
        <v>62.72</v>
      </c>
      <c r="I82" s="293">
        <f t="shared" si="13"/>
        <v>477.93072599999994</v>
      </c>
      <c r="J82" s="329" t="s">
        <v>13</v>
      </c>
      <c r="K82" s="294" t="s">
        <v>25</v>
      </c>
      <c r="L82" s="293">
        <f t="shared" si="11"/>
        <v>71.689608899999982</v>
      </c>
      <c r="M82" s="293">
        <f t="shared" si="7"/>
        <v>19.117229039999998</v>
      </c>
      <c r="N82" s="296">
        <f t="shared" si="8"/>
        <v>9.558614519999999</v>
      </c>
      <c r="O82" s="296">
        <f t="shared" si="9"/>
        <v>9.558614519999999</v>
      </c>
      <c r="P82" s="294">
        <f t="shared" si="10"/>
        <v>33.455150819999986</v>
      </c>
    </row>
    <row r="83" spans="1:16">
      <c r="A83" s="550">
        <v>81</v>
      </c>
      <c r="B83" s="551" t="s">
        <v>1255</v>
      </c>
      <c r="C83" s="560" t="s">
        <v>1256</v>
      </c>
      <c r="D83" s="254">
        <v>2758436</v>
      </c>
      <c r="E83" s="280">
        <v>5896819</v>
      </c>
      <c r="F83" s="559">
        <v>819.99</v>
      </c>
      <c r="G83" s="554">
        <f t="shared" si="12"/>
        <v>60.515262000000007</v>
      </c>
      <c r="H83" s="559">
        <v>86.99</v>
      </c>
      <c r="I83" s="556">
        <f t="shared" si="13"/>
        <v>672.48473799999999</v>
      </c>
      <c r="J83" s="567" t="s">
        <v>16</v>
      </c>
      <c r="K83" s="559" t="s">
        <v>14</v>
      </c>
      <c r="L83" s="556">
        <f t="shared" si="11"/>
        <v>100.8727107</v>
      </c>
      <c r="M83" s="556">
        <f t="shared" si="7"/>
        <v>26.89938952</v>
      </c>
      <c r="N83" s="557">
        <f t="shared" si="8"/>
        <v>13.44969476</v>
      </c>
      <c r="O83" s="557">
        <f t="shared" si="9"/>
        <v>13.44969476</v>
      </c>
      <c r="P83" s="554">
        <f t="shared" si="10"/>
        <v>47.07393166</v>
      </c>
    </row>
    <row r="84" spans="1:16">
      <c r="A84" s="550">
        <v>82</v>
      </c>
      <c r="B84" s="551" t="s">
        <v>1257</v>
      </c>
      <c r="C84" s="560" t="s">
        <v>35</v>
      </c>
      <c r="D84" s="254">
        <v>276390</v>
      </c>
      <c r="E84" s="280">
        <v>5898986</v>
      </c>
      <c r="F84" s="559">
        <v>688.53</v>
      </c>
      <c r="G84" s="554">
        <f t="shared" si="12"/>
        <v>50.813513999999998</v>
      </c>
      <c r="H84" s="559">
        <v>0</v>
      </c>
      <c r="I84" s="556">
        <f t="shared" si="13"/>
        <v>637.71648600000003</v>
      </c>
      <c r="J84" s="567" t="s">
        <v>13</v>
      </c>
      <c r="K84" s="559" t="s">
        <v>17</v>
      </c>
      <c r="L84" s="556">
        <f t="shared" si="11"/>
        <v>95.657472900000002</v>
      </c>
      <c r="M84" s="556">
        <f t="shared" si="7"/>
        <v>25.508659440000002</v>
      </c>
      <c r="N84" s="557">
        <f t="shared" si="8"/>
        <v>12.754329720000001</v>
      </c>
      <c r="O84" s="557">
        <f t="shared" si="9"/>
        <v>12.754329720000001</v>
      </c>
      <c r="P84" s="554">
        <f t="shared" si="10"/>
        <v>44.640154019999997</v>
      </c>
    </row>
    <row r="85" spans="1:16">
      <c r="A85" s="550">
        <v>83</v>
      </c>
      <c r="B85" s="551" t="s">
        <v>1258</v>
      </c>
      <c r="C85" s="560" t="s">
        <v>52</v>
      </c>
      <c r="D85" s="254">
        <v>1003111045671</v>
      </c>
      <c r="E85" s="280">
        <v>5891982</v>
      </c>
      <c r="F85" s="559">
        <v>527.97</v>
      </c>
      <c r="G85" s="554">
        <f t="shared" si="12"/>
        <v>38.964186000000005</v>
      </c>
      <c r="H85" s="559">
        <v>175.99</v>
      </c>
      <c r="I85" s="556">
        <f t="shared" si="13"/>
        <v>313.01581400000003</v>
      </c>
      <c r="J85" s="567" t="s">
        <v>13</v>
      </c>
      <c r="K85" s="559" t="s">
        <v>25</v>
      </c>
      <c r="L85" s="556">
        <f t="shared" si="11"/>
        <v>46.952372100000005</v>
      </c>
      <c r="M85" s="556">
        <f t="shared" si="7"/>
        <v>12.520632560000001</v>
      </c>
      <c r="N85" s="557">
        <f t="shared" si="8"/>
        <v>6.2603162800000005</v>
      </c>
      <c r="O85" s="557">
        <f t="shared" si="9"/>
        <v>6.2603162800000005</v>
      </c>
      <c r="P85" s="554">
        <f t="shared" si="10"/>
        <v>21.91110698</v>
      </c>
    </row>
    <row r="86" spans="1:16">
      <c r="A86" s="550">
        <v>84</v>
      </c>
      <c r="B86" s="551" t="s">
        <v>1259</v>
      </c>
      <c r="C86" s="560" t="s">
        <v>12</v>
      </c>
      <c r="D86" s="254">
        <v>1003111044269</v>
      </c>
      <c r="E86" s="280">
        <v>5896139</v>
      </c>
      <c r="F86" s="559">
        <v>738.48</v>
      </c>
      <c r="G86" s="554">
        <f t="shared" si="12"/>
        <v>54.499824000000004</v>
      </c>
      <c r="H86" s="559">
        <v>79.349999999999994</v>
      </c>
      <c r="I86" s="556">
        <f t="shared" si="13"/>
        <v>604.63017600000001</v>
      </c>
      <c r="J86" s="567" t="s">
        <v>13</v>
      </c>
      <c r="K86" s="559" t="s">
        <v>36</v>
      </c>
      <c r="L86" s="556">
        <f t="shared" si="11"/>
        <v>90.694526400000001</v>
      </c>
      <c r="M86" s="556">
        <f t="shared" si="7"/>
        <v>24.185207040000002</v>
      </c>
      <c r="N86" s="557">
        <f t="shared" si="8"/>
        <v>12.092603520000001</v>
      </c>
      <c r="O86" s="557">
        <f t="shared" si="9"/>
        <v>12.092603520000001</v>
      </c>
      <c r="P86" s="554">
        <f t="shared" si="10"/>
        <v>42.324112320000012</v>
      </c>
    </row>
    <row r="87" spans="1:16">
      <c r="A87" s="550">
        <v>85</v>
      </c>
      <c r="B87" s="551" t="s">
        <v>1260</v>
      </c>
      <c r="C87" s="560" t="s">
        <v>1160</v>
      </c>
      <c r="D87" s="254">
        <v>1003111043046</v>
      </c>
      <c r="E87" s="280">
        <v>5895904</v>
      </c>
      <c r="F87" s="559">
        <v>504.91</v>
      </c>
      <c r="G87" s="554">
        <f t="shared" si="12"/>
        <v>37.262358000000006</v>
      </c>
      <c r="H87" s="559">
        <v>54.25</v>
      </c>
      <c r="I87" s="556">
        <f t="shared" si="13"/>
        <v>413.39764200000002</v>
      </c>
      <c r="J87" s="567" t="s">
        <v>13</v>
      </c>
      <c r="K87" s="559" t="s">
        <v>17</v>
      </c>
      <c r="L87" s="556">
        <f t="shared" si="11"/>
        <v>62.0096463</v>
      </c>
      <c r="M87" s="556">
        <f t="shared" si="7"/>
        <v>16.535905680000003</v>
      </c>
      <c r="N87" s="557">
        <f t="shared" si="8"/>
        <v>8.2679528400000013</v>
      </c>
      <c r="O87" s="557">
        <f t="shared" si="9"/>
        <v>8.2679528400000013</v>
      </c>
      <c r="P87" s="554">
        <f t="shared" si="10"/>
        <v>28.937834940000002</v>
      </c>
    </row>
    <row r="88" spans="1:16">
      <c r="A88" s="550">
        <v>86</v>
      </c>
      <c r="B88" s="551" t="s">
        <v>1261</v>
      </c>
      <c r="C88" s="560" t="s">
        <v>35</v>
      </c>
      <c r="D88" s="254">
        <v>2757057</v>
      </c>
      <c r="E88" s="280">
        <v>5895671</v>
      </c>
      <c r="F88" s="559">
        <v>723.15</v>
      </c>
      <c r="G88" s="554">
        <f t="shared" si="12"/>
        <v>53.368470000000002</v>
      </c>
      <c r="H88" s="559">
        <v>63.44</v>
      </c>
      <c r="I88" s="556">
        <f t="shared" si="13"/>
        <v>606.34152999999992</v>
      </c>
      <c r="J88" s="567" t="s">
        <v>16</v>
      </c>
      <c r="K88" s="559" t="s">
        <v>49</v>
      </c>
      <c r="L88" s="556">
        <f t="shared" si="11"/>
        <v>90.951229499999982</v>
      </c>
      <c r="M88" s="556">
        <f t="shared" si="7"/>
        <v>24.253661199999996</v>
      </c>
      <c r="N88" s="557">
        <f t="shared" si="8"/>
        <v>12.126830599999998</v>
      </c>
      <c r="O88" s="557">
        <f t="shared" si="9"/>
        <v>12.126830599999998</v>
      </c>
      <c r="P88" s="554">
        <f t="shared" si="10"/>
        <v>42.44390709999999</v>
      </c>
    </row>
    <row r="89" spans="1:16">
      <c r="A89" s="550">
        <v>87</v>
      </c>
      <c r="B89" s="551" t="s">
        <v>1262</v>
      </c>
      <c r="C89" s="560" t="s">
        <v>559</v>
      </c>
      <c r="D89" s="254">
        <v>2756697</v>
      </c>
      <c r="E89" s="280">
        <v>5893291</v>
      </c>
      <c r="F89" s="559">
        <v>518.04999999999995</v>
      </c>
      <c r="G89" s="554">
        <f t="shared" si="12"/>
        <v>38.232089999999999</v>
      </c>
      <c r="H89" s="559">
        <v>45.45</v>
      </c>
      <c r="I89" s="556">
        <f t="shared" si="13"/>
        <v>434.36790999999999</v>
      </c>
      <c r="J89" s="567" t="s">
        <v>16</v>
      </c>
      <c r="K89" s="559" t="s">
        <v>14</v>
      </c>
      <c r="L89" s="556">
        <f t="shared" si="11"/>
        <v>65.155186499999999</v>
      </c>
      <c r="M89" s="556">
        <f t="shared" si="7"/>
        <v>17.374716400000001</v>
      </c>
      <c r="N89" s="557">
        <f t="shared" si="8"/>
        <v>8.6873582000000003</v>
      </c>
      <c r="O89" s="557">
        <f t="shared" si="9"/>
        <v>8.6873582000000003</v>
      </c>
      <c r="P89" s="554">
        <f t="shared" si="10"/>
        <v>30.405753700000005</v>
      </c>
    </row>
    <row r="90" spans="1:16">
      <c r="A90" s="550">
        <v>88</v>
      </c>
      <c r="B90" s="551" t="s">
        <v>439</v>
      </c>
      <c r="C90" s="560" t="s">
        <v>809</v>
      </c>
      <c r="D90" s="254">
        <v>1003111040415</v>
      </c>
      <c r="E90" s="280">
        <v>5891559</v>
      </c>
      <c r="F90" s="559">
        <v>850.07</v>
      </c>
      <c r="G90" s="554">
        <f t="shared" si="12"/>
        <v>62.735166000000007</v>
      </c>
      <c r="H90" s="559">
        <v>224.55</v>
      </c>
      <c r="I90" s="556">
        <f t="shared" si="13"/>
        <v>562.78483400000005</v>
      </c>
      <c r="J90" s="567" t="s">
        <v>13</v>
      </c>
      <c r="K90" s="559" t="s">
        <v>266</v>
      </c>
      <c r="L90" s="556">
        <f t="shared" si="11"/>
        <v>84.417725099999998</v>
      </c>
      <c r="M90" s="556">
        <f t="shared" si="7"/>
        <v>22.511393360000003</v>
      </c>
      <c r="N90" s="557">
        <f t="shared" si="8"/>
        <v>11.255696680000002</v>
      </c>
      <c r="O90" s="557">
        <f t="shared" si="9"/>
        <v>11.255696680000002</v>
      </c>
      <c r="P90" s="554">
        <f t="shared" si="10"/>
        <v>39.394938379999999</v>
      </c>
    </row>
    <row r="91" spans="1:16">
      <c r="A91" s="550">
        <v>89</v>
      </c>
      <c r="B91" s="551" t="s">
        <v>979</v>
      </c>
      <c r="C91" s="560" t="s">
        <v>29</v>
      </c>
      <c r="D91" s="254">
        <v>1003111051825</v>
      </c>
      <c r="E91" s="280">
        <v>5901275</v>
      </c>
      <c r="F91" s="559">
        <v>560.05999999999995</v>
      </c>
      <c r="G91" s="554">
        <f t="shared" si="12"/>
        <v>41.332428</v>
      </c>
      <c r="H91" s="559">
        <v>147.94</v>
      </c>
      <c r="I91" s="556">
        <f t="shared" si="13"/>
        <v>370.7875719999999</v>
      </c>
      <c r="J91" s="567" t="s">
        <v>13</v>
      </c>
      <c r="K91" s="559" t="s">
        <v>17</v>
      </c>
      <c r="L91" s="556">
        <f t="shared" si="11"/>
        <v>55.618135799999983</v>
      </c>
      <c r="M91" s="556">
        <f t="shared" si="7"/>
        <v>14.831502879999997</v>
      </c>
      <c r="N91" s="557">
        <f t="shared" si="8"/>
        <v>7.4157514399999984</v>
      </c>
      <c r="O91" s="557">
        <f t="shared" si="9"/>
        <v>7.4157514399999984</v>
      </c>
      <c r="P91" s="554">
        <f t="shared" si="10"/>
        <v>25.95513003999999</v>
      </c>
    </row>
    <row r="92" spans="1:16">
      <c r="A92" s="550">
        <v>90</v>
      </c>
      <c r="B92" s="339" t="s">
        <v>1263</v>
      </c>
      <c r="C92" s="327" t="s">
        <v>1160</v>
      </c>
      <c r="D92" s="400">
        <v>10031110551621</v>
      </c>
      <c r="E92" s="401">
        <v>5899324</v>
      </c>
      <c r="F92" s="294">
        <v>568.46</v>
      </c>
      <c r="G92" s="294">
        <f t="shared" si="12"/>
        <v>41.952348000000008</v>
      </c>
      <c r="H92" s="294">
        <v>61.08</v>
      </c>
      <c r="I92" s="293">
        <f t="shared" si="13"/>
        <v>465.42765200000002</v>
      </c>
      <c r="J92" s="329" t="s">
        <v>13</v>
      </c>
      <c r="K92" s="294" t="s">
        <v>26</v>
      </c>
      <c r="L92" s="293">
        <f t="shared" si="11"/>
        <v>69.814147800000001</v>
      </c>
      <c r="M92" s="293">
        <f t="shared" si="7"/>
        <v>18.617106080000003</v>
      </c>
      <c r="N92" s="296">
        <f t="shared" si="8"/>
        <v>9.3085530400000014</v>
      </c>
      <c r="O92" s="296">
        <f t="shared" si="9"/>
        <v>9.3085530400000014</v>
      </c>
      <c r="P92" s="294">
        <f t="shared" si="10"/>
        <v>32.579935640000002</v>
      </c>
    </row>
    <row r="93" spans="1:16">
      <c r="A93" s="550">
        <v>91</v>
      </c>
      <c r="B93" s="551" t="s">
        <v>1264</v>
      </c>
      <c r="C93" s="560" t="s">
        <v>173</v>
      </c>
      <c r="D93" s="254">
        <v>100301111059847</v>
      </c>
      <c r="E93" s="280" t="s">
        <v>1265</v>
      </c>
      <c r="F93" s="559">
        <v>516.4</v>
      </c>
      <c r="G93" s="554">
        <f t="shared" si="12"/>
        <v>38.110320000000002</v>
      </c>
      <c r="H93" s="559">
        <v>53.74</v>
      </c>
      <c r="I93" s="556">
        <f t="shared" si="13"/>
        <v>424.54967999999997</v>
      </c>
      <c r="J93" s="567" t="s">
        <v>13</v>
      </c>
      <c r="K93" s="559" t="s">
        <v>26</v>
      </c>
      <c r="L93" s="556">
        <f t="shared" si="11"/>
        <v>63.682451999999991</v>
      </c>
      <c r="M93" s="556">
        <f t="shared" si="7"/>
        <v>16.981987199999999</v>
      </c>
      <c r="N93" s="557">
        <f t="shared" si="8"/>
        <v>8.4909935999999995</v>
      </c>
      <c r="O93" s="557">
        <f t="shared" si="9"/>
        <v>8.4909935999999995</v>
      </c>
      <c r="P93" s="554">
        <f t="shared" si="10"/>
        <v>29.718477599999996</v>
      </c>
    </row>
    <row r="94" spans="1:16">
      <c r="A94" s="550">
        <v>92</v>
      </c>
      <c r="B94" s="339" t="s">
        <v>1266</v>
      </c>
      <c r="C94" s="327" t="s">
        <v>52</v>
      </c>
      <c r="D94" s="400">
        <v>1003111051542</v>
      </c>
      <c r="E94" s="401">
        <v>5900813</v>
      </c>
      <c r="F94" s="294">
        <v>522.4</v>
      </c>
      <c r="G94" s="294">
        <f t="shared" si="12"/>
        <v>38.55312</v>
      </c>
      <c r="H94" s="294">
        <v>56.13</v>
      </c>
      <c r="I94" s="293">
        <f t="shared" si="13"/>
        <v>427.71688</v>
      </c>
      <c r="J94" s="329" t="s">
        <v>13</v>
      </c>
      <c r="K94" s="294" t="s">
        <v>25</v>
      </c>
      <c r="L94" s="293">
        <f t="shared" si="11"/>
        <v>64.157532000000003</v>
      </c>
      <c r="M94" s="293">
        <f t="shared" si="7"/>
        <v>17.1086752</v>
      </c>
      <c r="N94" s="296">
        <f t="shared" si="8"/>
        <v>8.5543376000000002</v>
      </c>
      <c r="O94" s="296">
        <f t="shared" si="9"/>
        <v>8.5543376000000002</v>
      </c>
      <c r="P94" s="294">
        <f t="shared" si="10"/>
        <v>29.940181599999999</v>
      </c>
    </row>
    <row r="95" spans="1:16">
      <c r="A95" s="550">
        <v>93</v>
      </c>
      <c r="B95" s="572" t="s">
        <v>1267</v>
      </c>
      <c r="C95" s="560" t="s">
        <v>1160</v>
      </c>
      <c r="D95" s="254">
        <v>10031110151512</v>
      </c>
      <c r="E95" s="280">
        <v>5847026</v>
      </c>
      <c r="F95" s="559">
        <v>505.49</v>
      </c>
      <c r="G95" s="554">
        <f t="shared" si="12"/>
        <v>37.305162000000003</v>
      </c>
      <c r="H95" s="559">
        <v>0</v>
      </c>
      <c r="I95" s="556">
        <f t="shared" si="13"/>
        <v>468.18483800000001</v>
      </c>
      <c r="J95" s="567" t="s">
        <v>13</v>
      </c>
      <c r="K95" s="559" t="s">
        <v>50</v>
      </c>
      <c r="L95" s="556">
        <f t="shared" si="11"/>
        <v>70.227725699999993</v>
      </c>
      <c r="M95" s="556">
        <f t="shared" si="7"/>
        <v>18.72739352</v>
      </c>
      <c r="N95" s="557">
        <f t="shared" si="8"/>
        <v>9.3636967599999998</v>
      </c>
      <c r="O95" s="557">
        <f t="shared" si="9"/>
        <v>9.3636967599999998</v>
      </c>
      <c r="P95" s="554">
        <f t="shared" si="10"/>
        <v>32.772938659999994</v>
      </c>
    </row>
    <row r="96" spans="1:16">
      <c r="A96" s="550">
        <v>94</v>
      </c>
      <c r="B96" s="551" t="s">
        <v>1268</v>
      </c>
      <c r="C96" s="560" t="s">
        <v>1160</v>
      </c>
      <c r="D96" s="254">
        <v>1003111051469</v>
      </c>
      <c r="E96" s="280">
        <v>5900779</v>
      </c>
      <c r="F96" s="559">
        <v>558.19000000000005</v>
      </c>
      <c r="G96" s="554">
        <f t="shared" si="12"/>
        <v>41.194422000000003</v>
      </c>
      <c r="H96" s="559">
        <v>59.98</v>
      </c>
      <c r="I96" s="556">
        <f t="shared" si="13"/>
        <v>457.015578</v>
      </c>
      <c r="J96" s="567" t="s">
        <v>13</v>
      </c>
      <c r="K96" s="559" t="s">
        <v>266</v>
      </c>
      <c r="L96" s="556">
        <f t="shared" si="11"/>
        <v>68.552336699999998</v>
      </c>
      <c r="M96" s="556">
        <f t="shared" si="7"/>
        <v>18.280623120000001</v>
      </c>
      <c r="N96" s="557">
        <f t="shared" si="8"/>
        <v>9.1403115600000007</v>
      </c>
      <c r="O96" s="557">
        <f t="shared" si="9"/>
        <v>9.1403115600000007</v>
      </c>
      <c r="P96" s="554">
        <f t="shared" si="10"/>
        <v>31.991090459999995</v>
      </c>
    </row>
    <row r="97" spans="1:16">
      <c r="A97" s="550">
        <v>95</v>
      </c>
      <c r="B97" s="551" t="s">
        <v>1269</v>
      </c>
      <c r="C97" s="560" t="s">
        <v>1160</v>
      </c>
      <c r="D97" s="254">
        <v>51772025423</v>
      </c>
      <c r="E97" s="280">
        <v>5896196</v>
      </c>
      <c r="F97" s="559">
        <v>538.86</v>
      </c>
      <c r="G97" s="554">
        <f t="shared" si="12"/>
        <v>39.767868</v>
      </c>
      <c r="H97" s="559">
        <v>53.86</v>
      </c>
      <c r="I97" s="556">
        <f t="shared" si="13"/>
        <v>445.23213199999998</v>
      </c>
      <c r="J97" s="567" t="s">
        <v>16</v>
      </c>
      <c r="K97" s="559" t="s">
        <v>26</v>
      </c>
      <c r="L97" s="556">
        <f t="shared" si="11"/>
        <v>66.784819799999994</v>
      </c>
      <c r="M97" s="556">
        <f t="shared" si="7"/>
        <v>17.809285280000001</v>
      </c>
      <c r="N97" s="557">
        <f t="shared" si="8"/>
        <v>8.9046426400000005</v>
      </c>
      <c r="O97" s="557">
        <f t="shared" si="9"/>
        <v>8.9046426400000005</v>
      </c>
      <c r="P97" s="554">
        <f t="shared" si="10"/>
        <v>31.166249239999999</v>
      </c>
    </row>
    <row r="98" spans="1:16">
      <c r="A98" s="550">
        <v>96</v>
      </c>
      <c r="B98" s="551" t="s">
        <v>1270</v>
      </c>
      <c r="C98" s="560" t="s">
        <v>1160</v>
      </c>
      <c r="D98" s="254">
        <v>1003111056532</v>
      </c>
      <c r="E98" s="280">
        <v>59053365</v>
      </c>
      <c r="F98" s="559">
        <v>577.58000000000004</v>
      </c>
      <c r="G98" s="554">
        <f t="shared" si="12"/>
        <v>42.625404000000003</v>
      </c>
      <c r="H98" s="559">
        <v>62.06</v>
      </c>
      <c r="I98" s="556">
        <f t="shared" si="13"/>
        <v>472.89459600000004</v>
      </c>
      <c r="J98" s="567" t="s">
        <v>13</v>
      </c>
      <c r="K98" s="559" t="s">
        <v>26</v>
      </c>
      <c r="L98" s="556">
        <f t="shared" si="11"/>
        <v>70.934189400000008</v>
      </c>
      <c r="M98" s="556">
        <f t="shared" si="7"/>
        <v>18.915783840000003</v>
      </c>
      <c r="N98" s="557">
        <f t="shared" si="8"/>
        <v>9.4578919200000016</v>
      </c>
      <c r="O98" s="557">
        <f t="shared" si="9"/>
        <v>9.4578919200000016</v>
      </c>
      <c r="P98" s="554">
        <f t="shared" si="10"/>
        <v>33.102621720000002</v>
      </c>
    </row>
    <row r="99" spans="1:16">
      <c r="A99" s="550">
        <v>97</v>
      </c>
      <c r="B99" s="339" t="s">
        <v>1271</v>
      </c>
      <c r="C99" s="327" t="s">
        <v>1160</v>
      </c>
      <c r="D99" s="400">
        <v>36830213</v>
      </c>
      <c r="E99" s="401" t="s">
        <v>1272</v>
      </c>
      <c r="F99" s="294">
        <v>477.96</v>
      </c>
      <c r="G99" s="294">
        <f t="shared" si="12"/>
        <v>35.273448000000002</v>
      </c>
      <c r="H99" s="294">
        <v>39.83</v>
      </c>
      <c r="I99" s="293">
        <f t="shared" si="13"/>
        <v>402.85655200000002</v>
      </c>
      <c r="J99" s="329" t="s">
        <v>16</v>
      </c>
      <c r="K99" s="294" t="s">
        <v>17</v>
      </c>
      <c r="L99" s="293">
        <f t="shared" si="11"/>
        <v>60.428482799999998</v>
      </c>
      <c r="M99" s="293">
        <f t="shared" si="7"/>
        <v>16.11426208</v>
      </c>
      <c r="N99" s="296">
        <f t="shared" si="8"/>
        <v>8.0571310399999998</v>
      </c>
      <c r="O99" s="296">
        <f t="shared" si="9"/>
        <v>8.0571310399999998</v>
      </c>
      <c r="P99" s="294">
        <f t="shared" si="10"/>
        <v>28.199958639999991</v>
      </c>
    </row>
    <row r="100" spans="1:16">
      <c r="A100" s="550">
        <v>98</v>
      </c>
      <c r="B100" s="339" t="s">
        <v>1273</v>
      </c>
      <c r="C100" s="327" t="s">
        <v>1038</v>
      </c>
      <c r="D100" s="400">
        <v>1003111060424</v>
      </c>
      <c r="E100" s="401">
        <v>5903527</v>
      </c>
      <c r="F100" s="294">
        <v>612.16</v>
      </c>
      <c r="G100" s="294">
        <f t="shared" si="12"/>
        <v>45.177408</v>
      </c>
      <c r="H100" s="294">
        <v>65.78</v>
      </c>
      <c r="I100" s="293">
        <f t="shared" si="13"/>
        <v>501.20259199999998</v>
      </c>
      <c r="J100" s="329" t="s">
        <v>13</v>
      </c>
      <c r="K100" s="294" t="s">
        <v>216</v>
      </c>
      <c r="L100" s="293">
        <f t="shared" si="11"/>
        <v>75.180388799999989</v>
      </c>
      <c r="M100" s="293">
        <f t="shared" si="7"/>
        <v>20.048103680000001</v>
      </c>
      <c r="N100" s="296">
        <f t="shared" si="8"/>
        <v>10.02405184</v>
      </c>
      <c r="O100" s="296">
        <f t="shared" si="9"/>
        <v>10.02405184</v>
      </c>
      <c r="P100" s="294">
        <f t="shared" si="10"/>
        <v>35.084181439999995</v>
      </c>
    </row>
    <row r="101" spans="1:16">
      <c r="A101" s="550">
        <v>99</v>
      </c>
      <c r="B101" s="551" t="s">
        <v>1274</v>
      </c>
      <c r="C101" s="560" t="s">
        <v>173</v>
      </c>
      <c r="D101" s="254">
        <v>2760260</v>
      </c>
      <c r="E101" s="280">
        <v>5904685</v>
      </c>
      <c r="F101" s="559">
        <v>1098.24</v>
      </c>
      <c r="G101" s="554">
        <f t="shared" si="12"/>
        <v>81.050111999999999</v>
      </c>
      <c r="H101" s="559">
        <v>91.52</v>
      </c>
      <c r="I101" s="556">
        <f t="shared" si="13"/>
        <v>925.66988800000001</v>
      </c>
      <c r="J101" s="567" t="s">
        <v>16</v>
      </c>
      <c r="K101" s="559" t="s">
        <v>266</v>
      </c>
      <c r="L101" s="556">
        <f t="shared" si="11"/>
        <v>138.85048319999999</v>
      </c>
      <c r="M101" s="556">
        <f t="shared" si="7"/>
        <v>37.02679552</v>
      </c>
      <c r="N101" s="557">
        <f t="shared" si="8"/>
        <v>18.51339776</v>
      </c>
      <c r="O101" s="557">
        <f t="shared" si="9"/>
        <v>18.51339776</v>
      </c>
      <c r="P101" s="554">
        <f t="shared" si="10"/>
        <v>64.79689215999997</v>
      </c>
    </row>
    <row r="102" spans="1:16">
      <c r="A102" s="550">
        <v>100</v>
      </c>
      <c r="B102" s="551" t="s">
        <v>1275</v>
      </c>
      <c r="C102" s="560" t="s">
        <v>1160</v>
      </c>
      <c r="D102" s="254">
        <v>2759734</v>
      </c>
      <c r="E102" s="280">
        <v>5903102</v>
      </c>
      <c r="F102" s="559">
        <v>459.72</v>
      </c>
      <c r="G102" s="554">
        <f t="shared" si="12"/>
        <v>33.927336000000004</v>
      </c>
      <c r="H102" s="559">
        <v>45.97</v>
      </c>
      <c r="I102" s="556">
        <f t="shared" si="13"/>
        <v>379.82266400000003</v>
      </c>
      <c r="J102" s="567" t="s">
        <v>16</v>
      </c>
      <c r="K102" s="559" t="s">
        <v>17</v>
      </c>
      <c r="L102" s="556">
        <f t="shared" si="11"/>
        <v>56.9733996</v>
      </c>
      <c r="M102" s="556">
        <f t="shared" si="7"/>
        <v>15.192906560000001</v>
      </c>
      <c r="N102" s="557">
        <f t="shared" si="8"/>
        <v>7.5964532800000004</v>
      </c>
      <c r="O102" s="557">
        <f t="shared" si="9"/>
        <v>7.5964532800000004</v>
      </c>
      <c r="P102" s="554">
        <f t="shared" si="10"/>
        <v>26.587586479999999</v>
      </c>
    </row>
    <row r="103" spans="1:16">
      <c r="A103" s="550">
        <v>101</v>
      </c>
      <c r="B103" s="339" t="s">
        <v>1276</v>
      </c>
      <c r="C103" s="327" t="s">
        <v>1160</v>
      </c>
      <c r="D103" s="400">
        <v>10031111052913</v>
      </c>
      <c r="E103" s="401">
        <v>5903002</v>
      </c>
      <c r="F103" s="294">
        <v>504.6</v>
      </c>
      <c r="G103" s="294">
        <f t="shared" si="12"/>
        <v>37.239480000000007</v>
      </c>
      <c r="H103" s="294">
        <v>54.22</v>
      </c>
      <c r="I103" s="293">
        <f t="shared" si="13"/>
        <v>413.14052000000004</v>
      </c>
      <c r="J103" s="329" t="s">
        <v>13</v>
      </c>
      <c r="K103" s="294" t="s">
        <v>216</v>
      </c>
      <c r="L103" s="293">
        <f t="shared" si="11"/>
        <v>61.971078000000006</v>
      </c>
      <c r="M103" s="293">
        <f t="shared" si="7"/>
        <v>16.525620800000002</v>
      </c>
      <c r="N103" s="296">
        <f t="shared" si="8"/>
        <v>8.2628104000000011</v>
      </c>
      <c r="O103" s="296">
        <f t="shared" si="9"/>
        <v>8.2628104000000011</v>
      </c>
      <c r="P103" s="294">
        <f t="shared" si="10"/>
        <v>28.919836400000008</v>
      </c>
    </row>
    <row r="104" spans="1:16">
      <c r="A104" s="550">
        <v>102</v>
      </c>
      <c r="B104" s="339" t="s">
        <v>1277</v>
      </c>
      <c r="C104" s="327" t="s">
        <v>1160</v>
      </c>
      <c r="D104" s="400">
        <v>10031111052861</v>
      </c>
      <c r="E104" s="401">
        <v>5901019</v>
      </c>
      <c r="F104" s="294">
        <v>537.67999999999995</v>
      </c>
      <c r="G104" s="294">
        <f t="shared" si="12"/>
        <v>39.680783999999996</v>
      </c>
      <c r="H104" s="294">
        <v>57.78</v>
      </c>
      <c r="I104" s="293">
        <f t="shared" si="13"/>
        <v>440.21921599999996</v>
      </c>
      <c r="J104" s="329" t="s">
        <v>13</v>
      </c>
      <c r="K104" s="294" t="s">
        <v>26</v>
      </c>
      <c r="L104" s="293">
        <f t="shared" si="11"/>
        <v>66.032882399999991</v>
      </c>
      <c r="M104" s="293">
        <f t="shared" si="7"/>
        <v>17.608768639999997</v>
      </c>
      <c r="N104" s="296">
        <f t="shared" si="8"/>
        <v>8.8043843199999987</v>
      </c>
      <c r="O104" s="296">
        <f t="shared" si="9"/>
        <v>8.8043843199999987</v>
      </c>
      <c r="P104" s="294">
        <f t="shared" si="10"/>
        <v>30.815345120000003</v>
      </c>
    </row>
    <row r="105" spans="1:16">
      <c r="A105" s="550">
        <v>103</v>
      </c>
      <c r="B105" s="551" t="s">
        <v>1278</v>
      </c>
      <c r="C105" s="560" t="s">
        <v>1160</v>
      </c>
      <c r="D105" s="254">
        <v>10031111067115</v>
      </c>
      <c r="E105" s="280">
        <v>5901409</v>
      </c>
      <c r="F105" s="559">
        <v>514.91999999999996</v>
      </c>
      <c r="G105" s="554">
        <f t="shared" si="12"/>
        <v>38.001095999999997</v>
      </c>
      <c r="H105" s="559">
        <v>55.33</v>
      </c>
      <c r="I105" s="556">
        <f t="shared" si="13"/>
        <v>421.58890399999996</v>
      </c>
      <c r="J105" s="567" t="s">
        <v>13</v>
      </c>
      <c r="K105" s="559" t="s">
        <v>26</v>
      </c>
      <c r="L105" s="556">
        <f t="shared" si="11"/>
        <v>63.238335599999992</v>
      </c>
      <c r="M105" s="556">
        <f t="shared" si="7"/>
        <v>16.863556159999998</v>
      </c>
      <c r="N105" s="557">
        <f t="shared" si="8"/>
        <v>8.4317780799999991</v>
      </c>
      <c r="O105" s="557">
        <f t="shared" si="9"/>
        <v>8.4317780799999991</v>
      </c>
      <c r="P105" s="554">
        <f t="shared" si="10"/>
        <v>29.511223279999996</v>
      </c>
    </row>
    <row r="106" spans="1:16">
      <c r="A106" s="550">
        <v>104</v>
      </c>
      <c r="B106" s="551" t="s">
        <v>1279</v>
      </c>
      <c r="C106" s="560" t="s">
        <v>1160</v>
      </c>
      <c r="D106" s="254">
        <v>1003111067115</v>
      </c>
      <c r="E106" s="280">
        <v>5904032</v>
      </c>
      <c r="F106" s="559">
        <v>527.16999999999996</v>
      </c>
      <c r="G106" s="554">
        <f t="shared" si="12"/>
        <v>38.905146000000002</v>
      </c>
      <c r="H106" s="559">
        <v>56.65</v>
      </c>
      <c r="I106" s="556">
        <f t="shared" si="13"/>
        <v>431.61485399999998</v>
      </c>
      <c r="J106" s="567" t="s">
        <v>13</v>
      </c>
      <c r="K106" s="559" t="s">
        <v>51</v>
      </c>
      <c r="L106" s="556">
        <f t="shared" si="11"/>
        <v>64.742228099999991</v>
      </c>
      <c r="M106" s="556">
        <f t="shared" si="7"/>
        <v>17.264594159999998</v>
      </c>
      <c r="N106" s="557">
        <f t="shared" si="8"/>
        <v>8.632297079999999</v>
      </c>
      <c r="O106" s="557">
        <f t="shared" si="9"/>
        <v>8.632297079999999</v>
      </c>
      <c r="P106" s="554">
        <f t="shared" si="10"/>
        <v>30.213039779999988</v>
      </c>
    </row>
    <row r="107" spans="1:16">
      <c r="A107" s="550">
        <v>105</v>
      </c>
      <c r="B107" s="339" t="s">
        <v>1280</v>
      </c>
      <c r="C107" s="327" t="s">
        <v>234</v>
      </c>
      <c r="D107" s="400">
        <v>1003111068350</v>
      </c>
      <c r="E107" s="401">
        <v>5912314</v>
      </c>
      <c r="F107" s="294">
        <v>690.49</v>
      </c>
      <c r="G107" s="294">
        <f t="shared" si="12"/>
        <v>50.958162000000002</v>
      </c>
      <c r="H107" s="294">
        <v>74.19</v>
      </c>
      <c r="I107" s="293">
        <f t="shared" si="13"/>
        <v>565.34183800000005</v>
      </c>
      <c r="J107" s="329" t="s">
        <v>13</v>
      </c>
      <c r="K107" s="294" t="s">
        <v>238</v>
      </c>
      <c r="L107" s="293">
        <f t="shared" si="11"/>
        <v>84.801275700000005</v>
      </c>
      <c r="M107" s="293">
        <f t="shared" si="7"/>
        <v>22.613673520000003</v>
      </c>
      <c r="N107" s="296">
        <f t="shared" si="8"/>
        <v>11.306836760000001</v>
      </c>
      <c r="O107" s="296">
        <f t="shared" si="9"/>
        <v>11.306836760000001</v>
      </c>
      <c r="P107" s="294">
        <f t="shared" si="10"/>
        <v>39.573928659999993</v>
      </c>
    </row>
    <row r="108" spans="1:16">
      <c r="A108" s="550">
        <v>106</v>
      </c>
      <c r="B108" s="551" t="s">
        <v>1281</v>
      </c>
      <c r="C108" s="560" t="s">
        <v>1282</v>
      </c>
      <c r="D108" s="254">
        <v>1003111064260</v>
      </c>
      <c r="E108" s="280">
        <v>5865601</v>
      </c>
      <c r="F108" s="559">
        <v>942.18</v>
      </c>
      <c r="G108" s="554">
        <f t="shared" si="12"/>
        <v>69.532883999999996</v>
      </c>
      <c r="H108" s="559">
        <v>116.21</v>
      </c>
      <c r="I108" s="556">
        <f t="shared" si="13"/>
        <v>756.43711599999995</v>
      </c>
      <c r="J108" s="567" t="s">
        <v>13</v>
      </c>
      <c r="K108" s="559" t="s">
        <v>266</v>
      </c>
      <c r="L108" s="556">
        <f t="shared" si="11"/>
        <v>113.46556739999998</v>
      </c>
      <c r="M108" s="556">
        <f t="shared" si="7"/>
        <v>30.257484639999998</v>
      </c>
      <c r="N108" s="557">
        <f t="shared" si="8"/>
        <v>15.128742319999999</v>
      </c>
      <c r="O108" s="557">
        <f t="shared" si="9"/>
        <v>15.128742319999999</v>
      </c>
      <c r="P108" s="554">
        <f t="shared" si="10"/>
        <v>52.950598119999981</v>
      </c>
    </row>
    <row r="109" spans="1:16">
      <c r="A109" s="550">
        <v>107</v>
      </c>
      <c r="B109" s="551" t="s">
        <v>1283</v>
      </c>
      <c r="C109" s="560" t="s">
        <v>173</v>
      </c>
      <c r="D109" s="254">
        <v>1003111061769</v>
      </c>
      <c r="E109" s="280">
        <v>5908201</v>
      </c>
      <c r="F109" s="559">
        <v>638.58000000000004</v>
      </c>
      <c r="G109" s="554">
        <f t="shared" si="12"/>
        <v>47.127204000000006</v>
      </c>
      <c r="H109" s="559">
        <v>68.62</v>
      </c>
      <c r="I109" s="556">
        <f t="shared" si="13"/>
        <v>522.83279600000003</v>
      </c>
      <c r="J109" s="567" t="s">
        <v>13</v>
      </c>
      <c r="K109" s="559" t="s">
        <v>17</v>
      </c>
      <c r="L109" s="556">
        <f t="shared" si="11"/>
        <v>78.424919400000007</v>
      </c>
      <c r="M109" s="556">
        <f t="shared" si="7"/>
        <v>20.913311840000002</v>
      </c>
      <c r="N109" s="557">
        <f t="shared" si="8"/>
        <v>10.456655920000001</v>
      </c>
      <c r="O109" s="557">
        <f t="shared" si="9"/>
        <v>10.456655920000001</v>
      </c>
      <c r="P109" s="554">
        <f t="shared" si="10"/>
        <v>36.598295719999996</v>
      </c>
    </row>
    <row r="110" spans="1:16">
      <c r="A110" s="550">
        <v>108</v>
      </c>
      <c r="B110" s="551" t="s">
        <v>1284</v>
      </c>
      <c r="C110" s="560" t="s">
        <v>1160</v>
      </c>
      <c r="D110" s="254">
        <v>51772025423</v>
      </c>
      <c r="E110" s="280">
        <v>5905125</v>
      </c>
      <c r="F110" s="559">
        <v>527.54999999999995</v>
      </c>
      <c r="G110" s="554">
        <f t="shared" si="12"/>
        <v>38.933189999999996</v>
      </c>
      <c r="H110" s="559">
        <v>0</v>
      </c>
      <c r="I110" s="556">
        <f t="shared" si="13"/>
        <v>488.61680999999999</v>
      </c>
      <c r="J110" s="567" t="s">
        <v>13</v>
      </c>
      <c r="K110" s="559" t="s">
        <v>26</v>
      </c>
      <c r="L110" s="556">
        <f t="shared" si="11"/>
        <v>73.292521499999992</v>
      </c>
      <c r="M110" s="556">
        <f t="shared" si="7"/>
        <v>19.5446724</v>
      </c>
      <c r="N110" s="557">
        <f t="shared" si="8"/>
        <v>9.7723361999999998</v>
      </c>
      <c r="O110" s="557">
        <f t="shared" si="9"/>
        <v>9.7723361999999998</v>
      </c>
      <c r="P110" s="554">
        <f t="shared" si="10"/>
        <v>34.2031767</v>
      </c>
    </row>
    <row r="111" spans="1:16">
      <c r="A111" s="550">
        <v>109</v>
      </c>
      <c r="B111" s="551" t="s">
        <v>1285</v>
      </c>
      <c r="C111" s="560" t="s">
        <v>1160</v>
      </c>
      <c r="D111" s="254">
        <v>1003111061135</v>
      </c>
      <c r="E111" s="280">
        <v>5907812</v>
      </c>
      <c r="F111" s="559">
        <v>570.63</v>
      </c>
      <c r="G111" s="554">
        <f t="shared" si="12"/>
        <v>42.112494000000005</v>
      </c>
      <c r="H111" s="559">
        <v>61.32</v>
      </c>
      <c r="I111" s="556">
        <f t="shared" si="13"/>
        <v>467.19750600000003</v>
      </c>
      <c r="J111" s="567" t="s">
        <v>13</v>
      </c>
      <c r="K111" s="559" t="s">
        <v>17</v>
      </c>
      <c r="L111" s="556">
        <f t="shared" si="11"/>
        <v>70.079625899999996</v>
      </c>
      <c r="M111" s="556">
        <f t="shared" si="7"/>
        <v>18.687900240000001</v>
      </c>
      <c r="N111" s="557">
        <f t="shared" si="8"/>
        <v>9.3439501200000006</v>
      </c>
      <c r="O111" s="557">
        <f t="shared" si="9"/>
        <v>9.3439501200000006</v>
      </c>
      <c r="P111" s="554">
        <f t="shared" si="10"/>
        <v>32.703825419999987</v>
      </c>
    </row>
    <row r="112" spans="1:16">
      <c r="A112" s="550">
        <v>110</v>
      </c>
      <c r="B112" s="339" t="s">
        <v>1286</v>
      </c>
      <c r="C112" s="327" t="s">
        <v>1160</v>
      </c>
      <c r="D112" s="400">
        <v>27611143</v>
      </c>
      <c r="E112" s="401">
        <v>5905066</v>
      </c>
      <c r="F112" s="294">
        <v>529.62</v>
      </c>
      <c r="G112" s="294">
        <f t="shared" si="12"/>
        <v>39.085956000000003</v>
      </c>
      <c r="H112" s="294">
        <v>139.38</v>
      </c>
      <c r="I112" s="293">
        <f t="shared" si="13"/>
        <v>351.154044</v>
      </c>
      <c r="J112" s="329" t="s">
        <v>16</v>
      </c>
      <c r="K112" s="294" t="s">
        <v>26</v>
      </c>
      <c r="L112" s="293">
        <f t="shared" si="11"/>
        <v>52.673106599999997</v>
      </c>
      <c r="M112" s="293">
        <f t="shared" si="7"/>
        <v>14.04616176</v>
      </c>
      <c r="N112" s="296">
        <f t="shared" si="8"/>
        <v>7.0230808800000002</v>
      </c>
      <c r="O112" s="296">
        <f t="shared" si="9"/>
        <v>7.0230808800000002</v>
      </c>
      <c r="P112" s="294">
        <f t="shared" si="10"/>
        <v>24.580783079999989</v>
      </c>
    </row>
    <row r="113" spans="1:16">
      <c r="A113" s="550">
        <v>111</v>
      </c>
      <c r="B113" s="339" t="s">
        <v>1287</v>
      </c>
      <c r="C113" s="327" t="s">
        <v>173</v>
      </c>
      <c r="D113" s="400">
        <v>1003111058388</v>
      </c>
      <c r="E113" s="401">
        <v>5906164</v>
      </c>
      <c r="F113" s="294">
        <v>620.91</v>
      </c>
      <c r="G113" s="294">
        <f t="shared" si="12"/>
        <v>45.823157999999999</v>
      </c>
      <c r="H113" s="294">
        <v>66.72</v>
      </c>
      <c r="I113" s="293">
        <f t="shared" si="13"/>
        <v>508.36684199999991</v>
      </c>
      <c r="J113" s="329" t="s">
        <v>13</v>
      </c>
      <c r="K113" s="294" t="s">
        <v>50</v>
      </c>
      <c r="L113" s="293">
        <f t="shared" si="11"/>
        <v>76.255026299999983</v>
      </c>
      <c r="M113" s="293">
        <f t="shared" si="7"/>
        <v>20.334673679999998</v>
      </c>
      <c r="N113" s="296">
        <f t="shared" si="8"/>
        <v>10.167336839999999</v>
      </c>
      <c r="O113" s="296">
        <f t="shared" si="9"/>
        <v>10.167336839999999</v>
      </c>
      <c r="P113" s="294">
        <f t="shared" si="10"/>
        <v>35.585678939999994</v>
      </c>
    </row>
    <row r="114" spans="1:16">
      <c r="A114" s="550">
        <v>112</v>
      </c>
      <c r="B114" s="551" t="s">
        <v>1288</v>
      </c>
      <c r="C114" s="560" t="s">
        <v>29</v>
      </c>
      <c r="D114" s="254">
        <v>2765262</v>
      </c>
      <c r="E114" s="280">
        <v>5905998</v>
      </c>
      <c r="F114" s="559">
        <v>599.41999999999996</v>
      </c>
      <c r="G114" s="554">
        <f t="shared" si="12"/>
        <v>44.237195999999997</v>
      </c>
      <c r="H114" s="559">
        <v>286.70999999999998</v>
      </c>
      <c r="I114" s="556">
        <f t="shared" si="13"/>
        <v>268.47280399999994</v>
      </c>
      <c r="J114" s="567" t="s">
        <v>13</v>
      </c>
      <c r="K114" s="559" t="s">
        <v>14</v>
      </c>
      <c r="L114" s="556">
        <f t="shared" si="11"/>
        <v>40.27092059999999</v>
      </c>
      <c r="M114" s="556">
        <f t="shared" si="7"/>
        <v>10.738912159999998</v>
      </c>
      <c r="N114" s="557">
        <f t="shared" si="8"/>
        <v>5.3694560799999991</v>
      </c>
      <c r="O114" s="557">
        <f t="shared" si="9"/>
        <v>5.3694560799999991</v>
      </c>
      <c r="P114" s="554">
        <f t="shared" si="10"/>
        <v>18.793096279999993</v>
      </c>
    </row>
    <row r="115" spans="1:16">
      <c r="A115" s="550">
        <v>113</v>
      </c>
      <c r="B115" s="551" t="s">
        <v>1289</v>
      </c>
      <c r="C115" s="560" t="s">
        <v>29</v>
      </c>
      <c r="D115" s="254">
        <v>1003111070653</v>
      </c>
      <c r="E115" s="280" t="s">
        <v>1290</v>
      </c>
      <c r="F115" s="559">
        <v>589.67999999999995</v>
      </c>
      <c r="G115" s="554">
        <f t="shared" si="12"/>
        <v>43.518383999999998</v>
      </c>
      <c r="H115" s="559">
        <v>0</v>
      </c>
      <c r="I115" s="556">
        <f t="shared" si="13"/>
        <v>546.16161599999998</v>
      </c>
      <c r="J115" s="567" t="s">
        <v>13</v>
      </c>
      <c r="K115" s="559" t="s">
        <v>17</v>
      </c>
      <c r="L115" s="556">
        <f t="shared" si="11"/>
        <v>81.924242399999997</v>
      </c>
      <c r="M115" s="556">
        <f t="shared" si="7"/>
        <v>21.846464640000001</v>
      </c>
      <c r="N115" s="557">
        <f t="shared" si="8"/>
        <v>10.92323232</v>
      </c>
      <c r="O115" s="557">
        <f t="shared" si="9"/>
        <v>10.92323232</v>
      </c>
      <c r="P115" s="554">
        <f t="shared" si="10"/>
        <v>38.231313119999996</v>
      </c>
    </row>
    <row r="116" spans="1:16">
      <c r="A116" s="550">
        <v>114</v>
      </c>
      <c r="B116" s="551" t="s">
        <v>1291</v>
      </c>
      <c r="C116" s="560" t="s">
        <v>29</v>
      </c>
      <c r="D116" s="254">
        <v>36846552</v>
      </c>
      <c r="E116" s="280" t="s">
        <v>1292</v>
      </c>
      <c r="F116" s="559">
        <v>729.24</v>
      </c>
      <c r="G116" s="554">
        <f t="shared" si="12"/>
        <v>53.817912000000007</v>
      </c>
      <c r="H116" s="559">
        <v>95.2</v>
      </c>
      <c r="I116" s="556">
        <f t="shared" si="13"/>
        <v>580.22208799999999</v>
      </c>
      <c r="J116" s="567" t="s">
        <v>13</v>
      </c>
      <c r="K116" s="559" t="s">
        <v>14</v>
      </c>
      <c r="L116" s="556">
        <f t="shared" si="11"/>
        <v>87.033313199999995</v>
      </c>
      <c r="M116" s="556">
        <f t="shared" si="7"/>
        <v>23.208883520000001</v>
      </c>
      <c r="N116" s="557">
        <f t="shared" si="8"/>
        <v>11.60444176</v>
      </c>
      <c r="O116" s="557">
        <f t="shared" si="9"/>
        <v>11.60444176</v>
      </c>
      <c r="P116" s="554">
        <f t="shared" si="10"/>
        <v>40.615546159999994</v>
      </c>
    </row>
    <row r="117" spans="1:16">
      <c r="A117" s="550">
        <v>115</v>
      </c>
      <c r="B117" s="551" t="s">
        <v>1293</v>
      </c>
      <c r="C117" s="560" t="s">
        <v>234</v>
      </c>
      <c r="D117" s="254">
        <v>36847759</v>
      </c>
      <c r="E117" s="280" t="s">
        <v>1294</v>
      </c>
      <c r="F117" s="559">
        <v>869.73</v>
      </c>
      <c r="G117" s="554">
        <f t="shared" si="12"/>
        <v>64.186074000000005</v>
      </c>
      <c r="H117" s="559">
        <v>69.47</v>
      </c>
      <c r="I117" s="556">
        <f t="shared" si="13"/>
        <v>736.07392600000003</v>
      </c>
      <c r="J117" s="567" t="s">
        <v>16</v>
      </c>
      <c r="K117" s="559" t="s">
        <v>17</v>
      </c>
      <c r="L117" s="556">
        <f t="shared" si="11"/>
        <v>110.4110889</v>
      </c>
      <c r="M117" s="556">
        <f t="shared" si="7"/>
        <v>29.442957040000003</v>
      </c>
      <c r="N117" s="557">
        <f t="shared" si="8"/>
        <v>14.721478520000002</v>
      </c>
      <c r="O117" s="557">
        <f t="shared" si="9"/>
        <v>14.721478520000002</v>
      </c>
      <c r="P117" s="554">
        <f t="shared" si="10"/>
        <v>51.525174819999989</v>
      </c>
    </row>
    <row r="118" spans="1:16">
      <c r="A118" s="550">
        <v>116</v>
      </c>
      <c r="B118" s="551" t="s">
        <v>1295</v>
      </c>
      <c r="C118" s="560" t="s">
        <v>1160</v>
      </c>
      <c r="D118" s="254">
        <v>1003111073537</v>
      </c>
      <c r="E118" s="280">
        <v>5916019</v>
      </c>
      <c r="F118" s="559">
        <v>506.08</v>
      </c>
      <c r="G118" s="554">
        <f t="shared" si="12"/>
        <v>37.348703999999998</v>
      </c>
      <c r="H118" s="559">
        <v>0</v>
      </c>
      <c r="I118" s="556">
        <f t="shared" si="13"/>
        <v>468.73129599999999</v>
      </c>
      <c r="J118" s="567" t="s">
        <v>13</v>
      </c>
      <c r="K118" s="559" t="s">
        <v>17</v>
      </c>
      <c r="L118" s="556">
        <f t="shared" si="11"/>
        <v>70.309694399999998</v>
      </c>
      <c r="M118" s="556">
        <f t="shared" si="7"/>
        <v>18.749251839999999</v>
      </c>
      <c r="N118" s="557">
        <f t="shared" si="8"/>
        <v>9.3746259199999997</v>
      </c>
      <c r="O118" s="557">
        <f t="shared" si="9"/>
        <v>9.3746259199999997</v>
      </c>
      <c r="P118" s="554">
        <f t="shared" si="10"/>
        <v>32.811190719999999</v>
      </c>
    </row>
    <row r="119" spans="1:16">
      <c r="A119" s="550">
        <v>117</v>
      </c>
      <c r="B119" s="551" t="s">
        <v>1296</v>
      </c>
      <c r="C119" s="560" t="s">
        <v>35</v>
      </c>
      <c r="D119" s="254">
        <v>2764150</v>
      </c>
      <c r="E119" s="280">
        <v>5903851</v>
      </c>
      <c r="F119" s="559">
        <v>540.89</v>
      </c>
      <c r="G119" s="554">
        <f t="shared" si="12"/>
        <v>39.917681999999999</v>
      </c>
      <c r="H119" s="559">
        <v>56.94</v>
      </c>
      <c r="I119" s="556">
        <f t="shared" si="13"/>
        <v>444.03231799999998</v>
      </c>
      <c r="J119" s="567" t="s">
        <v>16</v>
      </c>
      <c r="K119" s="559" t="s">
        <v>1241</v>
      </c>
      <c r="L119" s="556">
        <f t="shared" si="11"/>
        <v>66.604847699999993</v>
      </c>
      <c r="M119" s="556">
        <f t="shared" si="7"/>
        <v>17.76129272</v>
      </c>
      <c r="N119" s="557">
        <f t="shared" si="8"/>
        <v>8.8806463600000001</v>
      </c>
      <c r="O119" s="557">
        <f t="shared" si="9"/>
        <v>8.8806463600000001</v>
      </c>
      <c r="P119" s="554">
        <f t="shared" si="10"/>
        <v>31.082262259999993</v>
      </c>
    </row>
    <row r="120" spans="1:16">
      <c r="A120" s="550">
        <v>118</v>
      </c>
      <c r="B120" s="551" t="s">
        <v>1297</v>
      </c>
      <c r="C120" s="560" t="s">
        <v>234</v>
      </c>
      <c r="D120" s="254">
        <v>100310769432</v>
      </c>
      <c r="E120" s="280">
        <v>5913048</v>
      </c>
      <c r="F120" s="559">
        <v>590.16999999999996</v>
      </c>
      <c r="G120" s="554">
        <f t="shared" si="12"/>
        <v>43.554546000000002</v>
      </c>
      <c r="H120" s="559">
        <v>63.42</v>
      </c>
      <c r="I120" s="556">
        <f t="shared" si="13"/>
        <v>483.19545399999998</v>
      </c>
      <c r="J120" s="567" t="s">
        <v>13</v>
      </c>
      <c r="K120" s="559" t="s">
        <v>17</v>
      </c>
      <c r="L120" s="556">
        <f t="shared" si="11"/>
        <v>72.4793181</v>
      </c>
      <c r="M120" s="556">
        <f t="shared" si="7"/>
        <v>19.32781816</v>
      </c>
      <c r="N120" s="557">
        <f t="shared" si="8"/>
        <v>9.6639090799999998</v>
      </c>
      <c r="O120" s="557">
        <f t="shared" si="9"/>
        <v>9.6639090799999998</v>
      </c>
      <c r="P120" s="554">
        <f t="shared" si="10"/>
        <v>33.823681780000001</v>
      </c>
    </row>
    <row r="121" spans="1:16">
      <c r="A121" s="550">
        <v>119</v>
      </c>
      <c r="B121" s="551" t="s">
        <v>1298</v>
      </c>
      <c r="C121" s="560" t="s">
        <v>434</v>
      </c>
      <c r="D121" s="254">
        <v>2764215</v>
      </c>
      <c r="E121" s="280">
        <v>5877226</v>
      </c>
      <c r="F121" s="559">
        <v>691.86</v>
      </c>
      <c r="G121" s="554">
        <f t="shared" si="12"/>
        <v>51.059268000000003</v>
      </c>
      <c r="H121" s="559">
        <v>60.69</v>
      </c>
      <c r="I121" s="556">
        <f t="shared" si="13"/>
        <v>580.1107320000001</v>
      </c>
      <c r="J121" s="567" t="s">
        <v>16</v>
      </c>
      <c r="K121" s="559" t="s">
        <v>23</v>
      </c>
      <c r="L121" s="554">
        <f t="shared" si="11"/>
        <v>87.016609800000012</v>
      </c>
      <c r="M121" s="556">
        <f t="shared" si="7"/>
        <v>23.204429280000003</v>
      </c>
      <c r="N121" s="557">
        <f t="shared" si="8"/>
        <v>11.602214640000001</v>
      </c>
      <c r="O121" s="557">
        <f t="shared" si="9"/>
        <v>11.602214640000001</v>
      </c>
      <c r="P121" s="554">
        <f t="shared" si="10"/>
        <v>40.607751240000013</v>
      </c>
    </row>
    <row r="122" spans="1:16">
      <c r="A122" s="550">
        <v>120</v>
      </c>
      <c r="B122" s="551" t="s">
        <v>1299</v>
      </c>
      <c r="C122" s="560" t="s">
        <v>559</v>
      </c>
      <c r="D122" s="254">
        <v>1003111076417</v>
      </c>
      <c r="E122" s="280">
        <v>5918296</v>
      </c>
      <c r="F122" s="559">
        <v>495.05</v>
      </c>
      <c r="G122" s="554">
        <f t="shared" si="12"/>
        <v>36.534690000000005</v>
      </c>
      <c r="H122" s="559">
        <v>53.2</v>
      </c>
      <c r="I122" s="556">
        <f t="shared" si="13"/>
        <v>405.31531000000001</v>
      </c>
      <c r="J122" s="567" t="s">
        <v>13</v>
      </c>
      <c r="K122" s="559" t="s">
        <v>49</v>
      </c>
      <c r="L122" s="554">
        <f t="shared" si="11"/>
        <v>60.797296500000002</v>
      </c>
      <c r="M122" s="556">
        <f t="shared" si="7"/>
        <v>16.212612400000001</v>
      </c>
      <c r="N122" s="557">
        <f t="shared" si="8"/>
        <v>8.1063062000000006</v>
      </c>
      <c r="O122" s="557">
        <f t="shared" si="9"/>
        <v>8.1063062000000006</v>
      </c>
      <c r="P122" s="554">
        <f t="shared" si="10"/>
        <v>28.372071700000006</v>
      </c>
    </row>
    <row r="123" spans="1:16">
      <c r="A123" s="550">
        <v>121</v>
      </c>
      <c r="B123" s="551" t="s">
        <v>1300</v>
      </c>
      <c r="C123" s="560" t="s">
        <v>1160</v>
      </c>
      <c r="D123" s="254">
        <v>2312091020</v>
      </c>
      <c r="E123" s="280">
        <v>5918977</v>
      </c>
      <c r="F123" s="559">
        <v>635.71</v>
      </c>
      <c r="G123" s="554">
        <f t="shared" si="12"/>
        <v>46.915398000000003</v>
      </c>
      <c r="H123" s="559">
        <v>78.41</v>
      </c>
      <c r="I123" s="556">
        <f t="shared" si="13"/>
        <v>510.38460200000009</v>
      </c>
      <c r="J123" s="567" t="s">
        <v>13</v>
      </c>
      <c r="K123" s="559" t="s">
        <v>26</v>
      </c>
      <c r="L123" s="554">
        <f t="shared" si="11"/>
        <v>76.557690300000004</v>
      </c>
      <c r="M123" s="556">
        <f t="shared" si="7"/>
        <v>20.415384080000003</v>
      </c>
      <c r="N123" s="557">
        <f t="shared" si="8"/>
        <v>10.207692040000001</v>
      </c>
      <c r="O123" s="557">
        <f t="shared" si="9"/>
        <v>10.207692040000001</v>
      </c>
      <c r="P123" s="554">
        <f t="shared" si="10"/>
        <v>35.726922139999999</v>
      </c>
    </row>
    <row r="124" spans="1:16">
      <c r="A124" s="550">
        <v>122</v>
      </c>
      <c r="B124" s="551" t="s">
        <v>1301</v>
      </c>
      <c r="C124" s="560" t="s">
        <v>12</v>
      </c>
      <c r="D124" s="254">
        <v>1003111078415</v>
      </c>
      <c r="E124" s="280">
        <v>5918928</v>
      </c>
      <c r="F124" s="559">
        <v>718.26</v>
      </c>
      <c r="G124" s="554">
        <f t="shared" si="12"/>
        <v>53.007588000000005</v>
      </c>
      <c r="H124" s="559">
        <v>88.59</v>
      </c>
      <c r="I124" s="556">
        <f t="shared" si="13"/>
        <v>576.6624119999999</v>
      </c>
      <c r="J124" s="567" t="s">
        <v>13</v>
      </c>
      <c r="K124" s="559" t="s">
        <v>26</v>
      </c>
      <c r="L124" s="554">
        <f t="shared" si="11"/>
        <v>86.499361799999988</v>
      </c>
      <c r="M124" s="556">
        <f t="shared" si="7"/>
        <v>23.066496479999998</v>
      </c>
      <c r="N124" s="557">
        <f t="shared" si="8"/>
        <v>11.533248239999999</v>
      </c>
      <c r="O124" s="557">
        <f t="shared" si="9"/>
        <v>11.533248239999999</v>
      </c>
      <c r="P124" s="554">
        <f t="shared" si="10"/>
        <v>40.366368839999993</v>
      </c>
    </row>
    <row r="125" spans="1:16">
      <c r="A125" s="550">
        <v>123</v>
      </c>
      <c r="B125" s="551" t="s">
        <v>1302</v>
      </c>
      <c r="C125" s="560" t="s">
        <v>931</v>
      </c>
      <c r="D125" s="254">
        <v>1003111078357</v>
      </c>
      <c r="E125" s="280">
        <v>5919334</v>
      </c>
      <c r="F125" s="559">
        <v>745.08</v>
      </c>
      <c r="G125" s="554">
        <f t="shared" si="12"/>
        <v>54.98690400000001</v>
      </c>
      <c r="H125" s="559">
        <v>248.36</v>
      </c>
      <c r="I125" s="556">
        <f t="shared" si="13"/>
        <v>441.73309600000005</v>
      </c>
      <c r="J125" s="567" t="s">
        <v>13</v>
      </c>
      <c r="K125" s="559" t="s">
        <v>25</v>
      </c>
      <c r="L125" s="554">
        <f t="shared" si="11"/>
        <v>66.259964400000001</v>
      </c>
      <c r="M125" s="556">
        <f t="shared" si="7"/>
        <v>17.669323840000001</v>
      </c>
      <c r="N125" s="557">
        <f t="shared" si="8"/>
        <v>8.8346619200000003</v>
      </c>
      <c r="O125" s="557">
        <f t="shared" si="9"/>
        <v>8.8346619200000003</v>
      </c>
      <c r="P125" s="554">
        <f t="shared" si="10"/>
        <v>30.921316719999993</v>
      </c>
    </row>
    <row r="126" spans="1:16">
      <c r="A126" s="550">
        <v>124</v>
      </c>
      <c r="B126" s="551" t="s">
        <v>1303</v>
      </c>
      <c r="C126" s="560" t="s">
        <v>1180</v>
      </c>
      <c r="D126" s="254">
        <v>1003111076689</v>
      </c>
      <c r="E126" s="280">
        <v>5918399</v>
      </c>
      <c r="F126" s="559">
        <v>838.37</v>
      </c>
      <c r="G126" s="554">
        <f t="shared" si="12"/>
        <v>61.871706000000003</v>
      </c>
      <c r="H126" s="559">
        <v>90.09</v>
      </c>
      <c r="I126" s="556">
        <f t="shared" si="13"/>
        <v>686.40829399999996</v>
      </c>
      <c r="J126" s="567" t="s">
        <v>13</v>
      </c>
      <c r="K126" s="559" t="s">
        <v>17</v>
      </c>
      <c r="L126" s="554">
        <f t="shared" si="11"/>
        <v>102.96124409999999</v>
      </c>
      <c r="M126" s="556">
        <f t="shared" si="7"/>
        <v>27.456331759999998</v>
      </c>
      <c r="N126" s="557">
        <f t="shared" si="8"/>
        <v>13.728165879999999</v>
      </c>
      <c r="O126" s="557">
        <f t="shared" si="9"/>
        <v>13.728165879999999</v>
      </c>
      <c r="P126" s="554">
        <f t="shared" si="10"/>
        <v>48.048580579999992</v>
      </c>
    </row>
    <row r="127" spans="1:16">
      <c r="A127" s="550">
        <v>125</v>
      </c>
      <c r="B127" s="551" t="s">
        <v>1304</v>
      </c>
      <c r="C127" s="560" t="s">
        <v>559</v>
      </c>
      <c r="D127" s="254">
        <v>2765661</v>
      </c>
      <c r="E127" s="280">
        <v>5918164</v>
      </c>
      <c r="F127" s="559">
        <v>718.96</v>
      </c>
      <c r="G127" s="554">
        <f t="shared" si="12"/>
        <v>53.059248000000004</v>
      </c>
      <c r="H127" s="559">
        <v>75.680000000000007</v>
      </c>
      <c r="I127" s="556">
        <f t="shared" si="13"/>
        <v>590.22075199999995</v>
      </c>
      <c r="J127" s="567" t="s">
        <v>16</v>
      </c>
      <c r="K127" s="559" t="s">
        <v>14</v>
      </c>
      <c r="L127" s="554">
        <f t="shared" si="11"/>
        <v>88.533112799999984</v>
      </c>
      <c r="M127" s="556">
        <f t="shared" si="7"/>
        <v>23.608830079999997</v>
      </c>
      <c r="N127" s="557">
        <f t="shared" si="8"/>
        <v>11.804415039999999</v>
      </c>
      <c r="O127" s="557">
        <f t="shared" si="9"/>
        <v>11.804415039999999</v>
      </c>
      <c r="P127" s="554">
        <f t="shared" si="10"/>
        <v>41.31545263999999</v>
      </c>
    </row>
    <row r="128" spans="1:16">
      <c r="A128" s="550">
        <v>126</v>
      </c>
      <c r="B128" s="551" t="s">
        <v>1305</v>
      </c>
      <c r="C128" s="560" t="s">
        <v>173</v>
      </c>
      <c r="D128" s="254">
        <v>1003111075863</v>
      </c>
      <c r="E128" s="280">
        <v>5917948</v>
      </c>
      <c r="F128" s="559">
        <v>645.77</v>
      </c>
      <c r="G128" s="554">
        <f t="shared" si="12"/>
        <v>47.657826</v>
      </c>
      <c r="H128" s="559">
        <v>119.81</v>
      </c>
      <c r="I128" s="556">
        <f t="shared" si="13"/>
        <v>478.30217399999998</v>
      </c>
      <c r="J128" s="567" t="s">
        <v>13</v>
      </c>
      <c r="K128" s="559" t="s">
        <v>49</v>
      </c>
      <c r="L128" s="554">
        <f t="shared" si="11"/>
        <v>71.7453261</v>
      </c>
      <c r="M128" s="556">
        <f t="shared" si="7"/>
        <v>19.132086959999999</v>
      </c>
      <c r="N128" s="557">
        <f t="shared" si="8"/>
        <v>9.5660434799999994</v>
      </c>
      <c r="O128" s="557">
        <f t="shared" si="9"/>
        <v>9.5660434799999994</v>
      </c>
      <c r="P128" s="554">
        <f t="shared" si="10"/>
        <v>33.481152180000009</v>
      </c>
    </row>
    <row r="129" spans="1:17">
      <c r="A129" s="550">
        <v>127</v>
      </c>
      <c r="B129" s="551" t="s">
        <v>1306</v>
      </c>
      <c r="C129" s="560" t="s">
        <v>12</v>
      </c>
      <c r="D129" s="254">
        <v>100311107075138</v>
      </c>
      <c r="E129" s="280">
        <v>5917408</v>
      </c>
      <c r="F129" s="559">
        <v>635.61</v>
      </c>
      <c r="G129" s="554">
        <f t="shared" si="12"/>
        <v>46.908018000000006</v>
      </c>
      <c r="H129" s="559">
        <v>0</v>
      </c>
      <c r="I129" s="556">
        <f t="shared" si="13"/>
        <v>588.70198200000004</v>
      </c>
      <c r="J129" s="567" t="s">
        <v>13</v>
      </c>
      <c r="K129" s="559" t="s">
        <v>164</v>
      </c>
      <c r="L129" s="554">
        <f t="shared" si="11"/>
        <v>88.305297300000007</v>
      </c>
      <c r="M129" s="556">
        <f t="shared" si="7"/>
        <v>23.548079280000003</v>
      </c>
      <c r="N129" s="557">
        <f t="shared" si="8"/>
        <v>11.774039640000002</v>
      </c>
      <c r="O129" s="557">
        <f t="shared" si="9"/>
        <v>11.774039640000002</v>
      </c>
      <c r="P129" s="554">
        <f t="shared" si="10"/>
        <v>41.209138740000014</v>
      </c>
    </row>
    <row r="130" spans="1:17">
      <c r="A130" s="550">
        <v>128</v>
      </c>
      <c r="B130" s="551" t="s">
        <v>1307</v>
      </c>
      <c r="C130" s="560" t="s">
        <v>29</v>
      </c>
      <c r="D130" s="254">
        <v>2028005559</v>
      </c>
      <c r="E130" s="280">
        <v>5917554</v>
      </c>
      <c r="F130" s="559">
        <v>687.61</v>
      </c>
      <c r="G130" s="554">
        <f t="shared" si="12"/>
        <v>50.745618000000007</v>
      </c>
      <c r="H130" s="559">
        <v>0</v>
      </c>
      <c r="I130" s="556">
        <f t="shared" si="13"/>
        <v>636.86438199999998</v>
      </c>
      <c r="J130" s="567" t="s">
        <v>13</v>
      </c>
      <c r="K130" s="559" t="s">
        <v>17</v>
      </c>
      <c r="L130" s="554">
        <f t="shared" si="11"/>
        <v>95.529657299999997</v>
      </c>
      <c r="M130" s="556">
        <f t="shared" si="7"/>
        <v>25.47457528</v>
      </c>
      <c r="N130" s="557">
        <f t="shared" si="8"/>
        <v>12.73728764</v>
      </c>
      <c r="O130" s="557">
        <f t="shared" si="9"/>
        <v>12.73728764</v>
      </c>
      <c r="P130" s="554">
        <f t="shared" si="10"/>
        <v>44.580506740000004</v>
      </c>
    </row>
    <row r="131" spans="1:17">
      <c r="A131" s="550">
        <v>129</v>
      </c>
      <c r="B131" s="551" t="s">
        <v>1308</v>
      </c>
      <c r="C131" s="560" t="s">
        <v>1160</v>
      </c>
      <c r="D131" s="254">
        <v>1003111082796</v>
      </c>
      <c r="E131" s="280">
        <v>5921035</v>
      </c>
      <c r="F131" s="559">
        <v>545.19000000000005</v>
      </c>
      <c r="G131" s="554">
        <f t="shared" si="12"/>
        <v>40.235022000000008</v>
      </c>
      <c r="H131" s="559">
        <v>0</v>
      </c>
      <c r="I131" s="556">
        <f t="shared" si="13"/>
        <v>504.95497800000004</v>
      </c>
      <c r="J131" s="567" t="s">
        <v>13</v>
      </c>
      <c r="K131" s="559" t="s">
        <v>49</v>
      </c>
      <c r="L131" s="554">
        <f t="shared" si="11"/>
        <v>75.7432467</v>
      </c>
      <c r="M131" s="556">
        <f t="shared" si="7"/>
        <v>20.198199120000002</v>
      </c>
      <c r="N131" s="557">
        <f t="shared" si="8"/>
        <v>10.099099560000001</v>
      </c>
      <c r="O131" s="557">
        <f t="shared" si="9"/>
        <v>10.099099560000001</v>
      </c>
      <c r="P131" s="554">
        <f t="shared" si="10"/>
        <v>35.346848460000004</v>
      </c>
    </row>
    <row r="132" spans="1:17">
      <c r="A132" s="550">
        <v>130</v>
      </c>
      <c r="B132" s="551" t="s">
        <v>1309</v>
      </c>
      <c r="C132" s="560" t="s">
        <v>559</v>
      </c>
      <c r="D132" s="254">
        <v>2766838</v>
      </c>
      <c r="E132" s="280">
        <v>5921376</v>
      </c>
      <c r="F132" s="559">
        <v>1034.08</v>
      </c>
      <c r="G132" s="554">
        <f t="shared" si="12"/>
        <v>76.315104000000005</v>
      </c>
      <c r="H132" s="559">
        <v>108.85</v>
      </c>
      <c r="I132" s="556">
        <f t="shared" si="13"/>
        <v>848.91489599999989</v>
      </c>
      <c r="J132" s="567" t="s">
        <v>16</v>
      </c>
      <c r="K132" s="559" t="s">
        <v>17</v>
      </c>
      <c r="L132" s="554">
        <f t="shared" si="11"/>
        <v>127.33723439999997</v>
      </c>
      <c r="M132" s="556">
        <f t="shared" si="7"/>
        <v>33.956595839999999</v>
      </c>
      <c r="N132" s="557">
        <f t="shared" si="8"/>
        <v>16.978297919999999</v>
      </c>
      <c r="O132" s="557">
        <f t="shared" si="9"/>
        <v>16.978297919999999</v>
      </c>
      <c r="P132" s="554">
        <f t="shared" si="10"/>
        <v>59.42404271999996</v>
      </c>
    </row>
    <row r="133" spans="1:17">
      <c r="A133" s="550">
        <v>131</v>
      </c>
      <c r="B133" s="551" t="s">
        <v>1310</v>
      </c>
      <c r="C133" s="560" t="s">
        <v>1160</v>
      </c>
      <c r="D133" s="254">
        <v>100311100080357</v>
      </c>
      <c r="E133" s="280">
        <v>5920456</v>
      </c>
      <c r="F133" s="559">
        <v>519.85</v>
      </c>
      <c r="G133" s="554">
        <f t="shared" si="12"/>
        <v>38.364930000000001</v>
      </c>
      <c r="H133" s="559">
        <v>0</v>
      </c>
      <c r="I133" s="556">
        <f t="shared" si="13"/>
        <v>481.48507000000001</v>
      </c>
      <c r="J133" s="567" t="s">
        <v>13</v>
      </c>
      <c r="K133" s="559" t="s">
        <v>25</v>
      </c>
      <c r="L133" s="554">
        <f t="shared" si="11"/>
        <v>72.222760499999993</v>
      </c>
      <c r="M133" s="556">
        <f t="shared" si="7"/>
        <v>19.2594028</v>
      </c>
      <c r="N133" s="557">
        <f t="shared" si="8"/>
        <v>9.6297014000000001</v>
      </c>
      <c r="O133" s="557">
        <f t="shared" si="9"/>
        <v>9.6297014000000001</v>
      </c>
      <c r="P133" s="554">
        <f t="shared" si="10"/>
        <v>33.703954899999985</v>
      </c>
    </row>
    <row r="134" spans="1:17">
      <c r="A134" s="550">
        <v>132</v>
      </c>
      <c r="B134" s="551" t="s">
        <v>1311</v>
      </c>
      <c r="C134" s="560" t="s">
        <v>1160</v>
      </c>
      <c r="D134" s="254">
        <v>10031111087446</v>
      </c>
      <c r="E134" s="280">
        <v>5924334</v>
      </c>
      <c r="F134" s="559">
        <v>496.47</v>
      </c>
      <c r="G134" s="554">
        <f t="shared" si="12"/>
        <v>36.639486000000005</v>
      </c>
      <c r="H134" s="559">
        <v>61.23</v>
      </c>
      <c r="I134" s="556">
        <f t="shared" si="13"/>
        <v>398.60051399999998</v>
      </c>
      <c r="J134" s="567" t="s">
        <v>16</v>
      </c>
      <c r="K134" s="559" t="s">
        <v>14</v>
      </c>
      <c r="L134" s="554">
        <f t="shared" si="11"/>
        <v>59.790077099999991</v>
      </c>
      <c r="M134" s="556">
        <f t="shared" si="7"/>
        <v>15.94402056</v>
      </c>
      <c r="N134" s="557">
        <f t="shared" si="8"/>
        <v>7.9720102800000001</v>
      </c>
      <c r="O134" s="557">
        <f t="shared" si="9"/>
        <v>7.9720102800000001</v>
      </c>
      <c r="P134" s="554">
        <f t="shared" si="10"/>
        <v>27.902035979999994</v>
      </c>
    </row>
    <row r="135" spans="1:17">
      <c r="A135" s="550">
        <v>133</v>
      </c>
      <c r="B135" s="551" t="s">
        <v>1312</v>
      </c>
      <c r="C135" s="560" t="s">
        <v>1313</v>
      </c>
      <c r="D135" s="254">
        <v>36867962</v>
      </c>
      <c r="E135" s="280">
        <v>5929490</v>
      </c>
      <c r="F135" s="559">
        <v>1448.63</v>
      </c>
      <c r="G135" s="554">
        <f t="shared" si="12"/>
        <v>106.90889400000002</v>
      </c>
      <c r="H135" s="559">
        <v>0</v>
      </c>
      <c r="I135" s="556">
        <f t="shared" si="13"/>
        <v>1341.7211060000002</v>
      </c>
      <c r="J135" s="567" t="s">
        <v>13</v>
      </c>
      <c r="K135" s="559" t="s">
        <v>17</v>
      </c>
      <c r="L135" s="554">
        <f t="shared" si="11"/>
        <v>201.25816590000002</v>
      </c>
      <c r="M135" s="556">
        <f t="shared" si="7"/>
        <v>53.668844240000006</v>
      </c>
      <c r="N135" s="557">
        <f t="shared" si="8"/>
        <v>26.834422120000003</v>
      </c>
      <c r="O135" s="557">
        <f t="shared" si="9"/>
        <v>26.834422120000003</v>
      </c>
      <c r="P135" s="554">
        <f t="shared" si="10"/>
        <v>93.920477420000026</v>
      </c>
    </row>
    <row r="136" spans="1:17">
      <c r="A136" s="550">
        <v>134</v>
      </c>
      <c r="B136" s="587" t="s">
        <v>1314</v>
      </c>
      <c r="C136" s="588" t="s">
        <v>1038</v>
      </c>
      <c r="D136" s="382" t="s">
        <v>32</v>
      </c>
      <c r="E136" s="589">
        <v>5927436</v>
      </c>
      <c r="F136" s="590">
        <v>441.94</v>
      </c>
      <c r="G136" s="591">
        <f t="shared" si="12"/>
        <v>32.615172000000001</v>
      </c>
      <c r="H136" s="590">
        <v>83.74</v>
      </c>
      <c r="I136" s="592">
        <f t="shared" si="13"/>
        <v>325.58482800000002</v>
      </c>
      <c r="J136" s="593" t="s">
        <v>16</v>
      </c>
      <c r="K136" s="590" t="s">
        <v>17</v>
      </c>
      <c r="L136" s="591">
        <f t="shared" si="11"/>
        <v>48.837724200000004</v>
      </c>
      <c r="M136" s="592">
        <f t="shared" si="7"/>
        <v>13.023393120000001</v>
      </c>
      <c r="N136" s="594">
        <f t="shared" si="8"/>
        <v>6.5116965600000007</v>
      </c>
      <c r="O136" s="594">
        <f t="shared" si="9"/>
        <v>6.5116965600000007</v>
      </c>
      <c r="P136" s="591">
        <f t="shared" si="10"/>
        <v>22.790937960000001</v>
      </c>
      <c r="Q136" s="595"/>
    </row>
    <row r="137" spans="1:17">
      <c r="A137" s="550">
        <v>135</v>
      </c>
      <c r="B137" s="551" t="s">
        <v>1315</v>
      </c>
      <c r="C137" s="560" t="s">
        <v>29</v>
      </c>
      <c r="D137" s="254">
        <v>2768482</v>
      </c>
      <c r="E137" s="280">
        <v>5926799</v>
      </c>
      <c r="F137" s="559">
        <v>801.44</v>
      </c>
      <c r="G137" s="554">
        <f t="shared" si="12"/>
        <v>59.14627200000001</v>
      </c>
      <c r="H137" s="559">
        <v>70.3</v>
      </c>
      <c r="I137" s="556">
        <f t="shared" si="13"/>
        <v>671.99372800000015</v>
      </c>
      <c r="J137" s="567" t="s">
        <v>16</v>
      </c>
      <c r="K137" s="559" t="s">
        <v>17</v>
      </c>
      <c r="L137" s="554">
        <f t="shared" si="11"/>
        <v>100.79905920000002</v>
      </c>
      <c r="M137" s="556">
        <f t="shared" si="7"/>
        <v>26.879749120000007</v>
      </c>
      <c r="N137" s="557">
        <f t="shared" si="8"/>
        <v>13.439874560000003</v>
      </c>
      <c r="O137" s="557">
        <f t="shared" si="9"/>
        <v>13.439874560000003</v>
      </c>
      <c r="P137" s="554">
        <f t="shared" si="10"/>
        <v>47.039560959999989</v>
      </c>
    </row>
    <row r="138" spans="1:17">
      <c r="A138" s="550">
        <v>136</v>
      </c>
      <c r="B138" s="551" t="s">
        <v>1316</v>
      </c>
      <c r="C138" s="560" t="s">
        <v>29</v>
      </c>
      <c r="D138" s="254">
        <v>100311111552470</v>
      </c>
      <c r="E138" s="280">
        <v>5924567</v>
      </c>
      <c r="F138" s="559">
        <v>549.08000000000004</v>
      </c>
      <c r="G138" s="554">
        <f t="shared" si="12"/>
        <v>40.522104000000006</v>
      </c>
      <c r="H138" s="559">
        <v>0</v>
      </c>
      <c r="I138" s="556">
        <f t="shared" si="13"/>
        <v>508.55789600000003</v>
      </c>
      <c r="J138" s="567" t="s">
        <v>13</v>
      </c>
      <c r="K138" s="559" t="s">
        <v>17</v>
      </c>
      <c r="L138" s="554">
        <f t="shared" si="11"/>
        <v>76.283684399999999</v>
      </c>
      <c r="M138" s="556">
        <f t="shared" si="7"/>
        <v>20.342315840000001</v>
      </c>
      <c r="N138" s="557">
        <f t="shared" si="8"/>
        <v>10.171157920000001</v>
      </c>
      <c r="O138" s="557">
        <f t="shared" si="9"/>
        <v>10.171157920000001</v>
      </c>
      <c r="P138" s="554">
        <f t="shared" si="10"/>
        <v>35.599052720000003</v>
      </c>
    </row>
    <row r="139" spans="1:17">
      <c r="A139" s="550">
        <v>137</v>
      </c>
      <c r="B139" s="551" t="s">
        <v>1317</v>
      </c>
      <c r="C139" s="560" t="s">
        <v>12</v>
      </c>
      <c r="D139" s="254">
        <v>1003111092962</v>
      </c>
      <c r="E139" s="280">
        <v>5925369</v>
      </c>
      <c r="F139" s="559">
        <v>630.83000000000004</v>
      </c>
      <c r="G139" s="554">
        <f t="shared" si="12"/>
        <v>46.555254000000005</v>
      </c>
      <c r="H139" s="559">
        <v>0</v>
      </c>
      <c r="I139" s="556">
        <f t="shared" si="13"/>
        <v>584.27474600000005</v>
      </c>
      <c r="J139" s="567" t="s">
        <v>13</v>
      </c>
      <c r="K139" s="559" t="s">
        <v>17</v>
      </c>
      <c r="L139" s="554">
        <f t="shared" si="11"/>
        <v>87.641211900000002</v>
      </c>
      <c r="M139" s="556">
        <f t="shared" si="7"/>
        <v>23.370989840000004</v>
      </c>
      <c r="N139" s="557">
        <f t="shared" si="8"/>
        <v>11.685494920000002</v>
      </c>
      <c r="O139" s="557">
        <f t="shared" si="9"/>
        <v>11.685494920000002</v>
      </c>
      <c r="P139" s="554">
        <f t="shared" si="10"/>
        <v>40.899232219999988</v>
      </c>
    </row>
    <row r="140" spans="1:17">
      <c r="A140" s="550">
        <v>138</v>
      </c>
      <c r="B140" s="551" t="s">
        <v>1318</v>
      </c>
      <c r="C140" s="560" t="s">
        <v>29</v>
      </c>
      <c r="D140" s="254">
        <v>1003111102962</v>
      </c>
      <c r="E140" s="280">
        <v>5924440</v>
      </c>
      <c r="F140" s="559">
        <v>921.33</v>
      </c>
      <c r="G140" s="554">
        <f t="shared" si="12"/>
        <v>67.994154000000009</v>
      </c>
      <c r="H140" s="559">
        <v>0</v>
      </c>
      <c r="I140" s="556">
        <f t="shared" si="13"/>
        <v>853.33584600000006</v>
      </c>
      <c r="J140" s="567" t="s">
        <v>13</v>
      </c>
      <c r="K140" s="559" t="s">
        <v>17</v>
      </c>
      <c r="L140" s="554">
        <f t="shared" si="11"/>
        <v>128.00037689999999</v>
      </c>
      <c r="M140" s="556">
        <f t="shared" si="7"/>
        <v>34.133433840000002</v>
      </c>
      <c r="N140" s="557">
        <f t="shared" si="8"/>
        <v>17.066716920000001</v>
      </c>
      <c r="O140" s="557">
        <f t="shared" si="9"/>
        <v>17.066716920000001</v>
      </c>
      <c r="P140" s="554">
        <f t="shared" si="10"/>
        <v>59.733509219999974</v>
      </c>
    </row>
    <row r="141" spans="1:17">
      <c r="A141" s="550">
        <v>139</v>
      </c>
      <c r="B141" s="551" t="s">
        <v>1319</v>
      </c>
      <c r="C141" s="560" t="s">
        <v>1160</v>
      </c>
      <c r="D141" s="254">
        <v>51772025243</v>
      </c>
      <c r="E141" s="280" t="s">
        <v>1320</v>
      </c>
      <c r="F141" s="559">
        <v>395.91</v>
      </c>
      <c r="G141" s="554">
        <f t="shared" si="12"/>
        <v>29.218158000000003</v>
      </c>
      <c r="H141" s="559">
        <v>39.590000000000003</v>
      </c>
      <c r="I141" s="556">
        <f t="shared" si="13"/>
        <v>327.10184200000003</v>
      </c>
      <c r="J141" s="567" t="s">
        <v>16</v>
      </c>
      <c r="K141" s="559" t="s">
        <v>17</v>
      </c>
      <c r="L141" s="554">
        <f t="shared" si="11"/>
        <v>49.065276300000001</v>
      </c>
      <c r="M141" s="556">
        <f t="shared" si="7"/>
        <v>13.084073680000001</v>
      </c>
      <c r="N141" s="557">
        <f t="shared" si="8"/>
        <v>6.5420368400000006</v>
      </c>
      <c r="O141" s="557">
        <f t="shared" si="9"/>
        <v>6.5420368400000006</v>
      </c>
      <c r="P141" s="554">
        <f t="shared" si="10"/>
        <v>22.897128939999995</v>
      </c>
    </row>
    <row r="142" spans="1:17">
      <c r="A142" s="550">
        <v>140</v>
      </c>
      <c r="B142" s="551" t="s">
        <v>1321</v>
      </c>
      <c r="C142" s="560" t="s">
        <v>1160</v>
      </c>
      <c r="D142" s="254"/>
      <c r="E142" s="280" t="s">
        <v>1322</v>
      </c>
      <c r="F142" s="559">
        <v>371.1</v>
      </c>
      <c r="G142" s="554">
        <f t="shared" si="12"/>
        <v>27.387180000000004</v>
      </c>
      <c r="H142" s="559">
        <v>45.77</v>
      </c>
      <c r="I142" s="556">
        <f t="shared" si="13"/>
        <v>297.94282000000004</v>
      </c>
      <c r="J142" s="567" t="s">
        <v>13</v>
      </c>
      <c r="K142" s="559" t="s">
        <v>17</v>
      </c>
      <c r="L142" s="554">
        <f t="shared" si="11"/>
        <v>44.691423000000007</v>
      </c>
      <c r="M142" s="556">
        <f t="shared" si="7"/>
        <v>11.917712800000002</v>
      </c>
      <c r="N142" s="557">
        <f t="shared" si="8"/>
        <v>5.9588564000000011</v>
      </c>
      <c r="O142" s="557">
        <f t="shared" si="9"/>
        <v>5.9588564000000011</v>
      </c>
      <c r="P142" s="554">
        <f t="shared" si="10"/>
        <v>20.8559974</v>
      </c>
    </row>
    <row r="143" spans="1:17">
      <c r="A143" s="3"/>
      <c r="B143" s="582"/>
      <c r="C143" s="582"/>
      <c r="D143" s="583"/>
      <c r="E143" s="582"/>
      <c r="F143" s="584"/>
      <c r="G143" s="584"/>
      <c r="H143" s="584"/>
      <c r="I143" s="584"/>
      <c r="J143" s="582"/>
      <c r="K143" s="585"/>
      <c r="L143" s="585"/>
      <c r="M143" s="585"/>
      <c r="N143" s="7"/>
      <c r="O143" s="7"/>
      <c r="P143" s="8"/>
    </row>
    <row r="144" spans="1:17" ht="15.6">
      <c r="A144" s="3"/>
      <c r="B144" s="4"/>
      <c r="C144" s="4"/>
      <c r="D144" s="13"/>
      <c r="E144" s="5" t="s">
        <v>11</v>
      </c>
      <c r="F144" s="6">
        <f>SUM(F3:F142)</f>
        <v>90247.160000000062</v>
      </c>
      <c r="G144" s="6">
        <f>SUM(G3:G142)</f>
        <v>6660.2404080000006</v>
      </c>
      <c r="H144" s="6">
        <f>SUM(H3:H142)</f>
        <v>10853.489999999996</v>
      </c>
      <c r="I144" s="6">
        <f>SUM(I3:I142)</f>
        <v>72733.429591999957</v>
      </c>
      <c r="J144" s="4"/>
      <c r="K144" s="9"/>
      <c r="L144" s="6">
        <f>SUM(L3:L142)</f>
        <v>10910.014438800003</v>
      </c>
      <c r="M144" s="6">
        <f>SUM(M3:M142)</f>
        <v>2909.3371836799993</v>
      </c>
      <c r="N144" s="6">
        <f>SUM(N3:N142)</f>
        <v>1454.6685918399996</v>
      </c>
      <c r="O144" s="6">
        <f>SUM(O3:O142)</f>
        <v>1454.6685918399996</v>
      </c>
      <c r="P144" s="6">
        <f>SUM(P3:P142)</f>
        <v>5091.3400714399995</v>
      </c>
    </row>
  </sheetData>
  <autoFilter ref="B2:P142" xr:uid="{14DA969E-3033-413F-BD31-EA041B4320FA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45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8804-D9B4-4308-82B8-04C0144B0CBD}">
  <dimension ref="A1:Q151"/>
  <sheetViews>
    <sheetView tabSelected="1" topLeftCell="F63" zoomScaleNormal="100" workbookViewId="0">
      <selection activeCell="C76" sqref="C76:P76"/>
    </sheetView>
  </sheetViews>
  <sheetFormatPr defaultRowHeight="14.4"/>
  <cols>
    <col min="1" max="1" width="6.109375" customWidth="1"/>
    <col min="2" max="2" width="39.21875" customWidth="1"/>
    <col min="3" max="3" width="16.88671875" customWidth="1"/>
    <col min="4" max="4" width="17.21875" bestFit="1" customWidth="1"/>
    <col min="5" max="5" width="14.6640625" customWidth="1"/>
    <col min="6" max="6" width="15.77734375" customWidth="1"/>
    <col min="7" max="7" width="18.5546875" customWidth="1"/>
    <col min="8" max="9" width="16.33203125" customWidth="1"/>
    <col min="10" max="10" width="17.5546875" customWidth="1"/>
    <col min="11" max="11" width="14.44140625" customWidth="1"/>
    <col min="12" max="12" width="13.21875" customWidth="1"/>
    <col min="13" max="13" width="15" customWidth="1"/>
    <col min="14" max="14" width="11.5546875" customWidth="1"/>
    <col min="15" max="15" width="13.5546875" customWidth="1"/>
    <col min="16" max="16" width="15.88671875" customWidth="1"/>
    <col min="17" max="17" width="0.21875" hidden="1" customWidth="1"/>
  </cols>
  <sheetData>
    <row r="1" spans="1:17" ht="23.4">
      <c r="B1" s="742" t="s">
        <v>1323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1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606">
        <v>1</v>
      </c>
      <c r="B3" s="607" t="s">
        <v>1324</v>
      </c>
      <c r="C3" s="608" t="s">
        <v>29</v>
      </c>
      <c r="D3" s="229">
        <v>2775981</v>
      </c>
      <c r="E3" s="230">
        <v>5932836</v>
      </c>
      <c r="F3" s="609">
        <v>827.88</v>
      </c>
      <c r="G3" s="610">
        <f>F3*7.38%</f>
        <v>61.097544000000006</v>
      </c>
      <c r="H3" s="611">
        <v>72.62</v>
      </c>
      <c r="I3" s="610">
        <f>F3-G3-H3</f>
        <v>694.16245600000002</v>
      </c>
      <c r="J3" s="606" t="s">
        <v>16</v>
      </c>
      <c r="K3" s="611" t="s">
        <v>17</v>
      </c>
      <c r="L3" s="612">
        <f>I3*15%</f>
        <v>104.12436839999999</v>
      </c>
      <c r="M3" s="612">
        <f t="shared" ref="M3:M66" si="0">I3*4%</f>
        <v>27.766498240000001</v>
      </c>
      <c r="N3" s="613">
        <f t="shared" ref="N3:N66" si="1">I3*2%</f>
        <v>13.88324912</v>
      </c>
      <c r="O3" s="613">
        <f t="shared" ref="O3:O66" si="2">I3*2%</f>
        <v>13.88324912</v>
      </c>
      <c r="P3" s="610">
        <f t="shared" ref="P3:P66" si="3">L3-M3-N3-O3</f>
        <v>48.591371919999986</v>
      </c>
    </row>
    <row r="4" spans="1:17">
      <c r="A4" s="606">
        <v>2</v>
      </c>
      <c r="B4" s="607" t="s">
        <v>1325</v>
      </c>
      <c r="C4" s="614" t="s">
        <v>469</v>
      </c>
      <c r="D4" s="238">
        <v>1003111102120</v>
      </c>
      <c r="E4" s="230" t="s">
        <v>1326</v>
      </c>
      <c r="F4" s="609">
        <v>493.05</v>
      </c>
      <c r="G4" s="610">
        <f>F4*7.38%</f>
        <v>36.387090000000001</v>
      </c>
      <c r="H4" s="615">
        <v>52.98</v>
      </c>
      <c r="I4" s="610">
        <f>F4-G4-H4</f>
        <v>403.68290999999999</v>
      </c>
      <c r="J4" s="616" t="s">
        <v>13</v>
      </c>
      <c r="K4" s="615" t="s">
        <v>17</v>
      </c>
      <c r="L4" s="612">
        <f t="shared" ref="L4:L67" si="4">I4*15%</f>
        <v>60.552436499999999</v>
      </c>
      <c r="M4" s="612">
        <f t="shared" si="0"/>
        <v>16.147316400000001</v>
      </c>
      <c r="N4" s="613">
        <f t="shared" si="1"/>
        <v>8.0736582000000006</v>
      </c>
      <c r="O4" s="613">
        <f t="shared" si="2"/>
        <v>8.0736582000000006</v>
      </c>
      <c r="P4" s="610">
        <f t="shared" si="3"/>
        <v>28.257803699999993</v>
      </c>
    </row>
    <row r="5" spans="1:17">
      <c r="A5" s="606">
        <v>3</v>
      </c>
      <c r="B5" s="645" t="s">
        <v>1327</v>
      </c>
      <c r="C5" s="295" t="s">
        <v>475</v>
      </c>
      <c r="D5" s="730">
        <v>1003111103637</v>
      </c>
      <c r="E5" s="547">
        <v>5925278</v>
      </c>
      <c r="F5" s="731">
        <v>557.16999999999996</v>
      </c>
      <c r="G5" s="294">
        <f t="shared" ref="G5:G68" si="5">F5*7.38%</f>
        <v>41.119146000000001</v>
      </c>
      <c r="H5" s="732">
        <v>68.59</v>
      </c>
      <c r="I5" s="294">
        <f t="shared" ref="I5:I68" si="6">F5-G5-H5</f>
        <v>447.46085399999993</v>
      </c>
      <c r="J5" s="295" t="s">
        <v>13</v>
      </c>
      <c r="K5" s="293" t="s">
        <v>36</v>
      </c>
      <c r="L5" s="293">
        <f t="shared" si="4"/>
        <v>67.119128099999983</v>
      </c>
      <c r="M5" s="293">
        <f t="shared" si="0"/>
        <v>17.898434159999997</v>
      </c>
      <c r="N5" s="296">
        <f t="shared" si="1"/>
        <v>8.9492170799999986</v>
      </c>
      <c r="O5" s="296">
        <f t="shared" si="2"/>
        <v>8.9492170799999986</v>
      </c>
      <c r="P5" s="294">
        <f t="shared" si="3"/>
        <v>31.322259779999996</v>
      </c>
    </row>
    <row r="6" spans="1:17">
      <c r="A6" s="606">
        <v>4</v>
      </c>
      <c r="B6" s="607" t="s">
        <v>1328</v>
      </c>
      <c r="C6" s="616" t="s">
        <v>1329</v>
      </c>
      <c r="D6" s="246">
        <v>1003111102312</v>
      </c>
      <c r="E6" s="191" t="s">
        <v>1330</v>
      </c>
      <c r="F6" s="618">
        <v>469.78</v>
      </c>
      <c r="G6" s="619">
        <f t="shared" si="5"/>
        <v>34.669764000000001</v>
      </c>
      <c r="H6" s="615">
        <v>50.48</v>
      </c>
      <c r="I6" s="619">
        <f t="shared" si="6"/>
        <v>384.63023599999997</v>
      </c>
      <c r="J6" s="616" t="s">
        <v>13</v>
      </c>
      <c r="K6" s="615" t="s">
        <v>17</v>
      </c>
      <c r="L6" s="612">
        <f t="shared" si="4"/>
        <v>57.694535399999992</v>
      </c>
      <c r="M6" s="612">
        <f t="shared" si="0"/>
        <v>15.385209439999999</v>
      </c>
      <c r="N6" s="613">
        <f t="shared" si="1"/>
        <v>7.6926047199999994</v>
      </c>
      <c r="O6" s="613">
        <f t="shared" si="2"/>
        <v>7.6926047199999994</v>
      </c>
      <c r="P6" s="610">
        <f t="shared" si="3"/>
        <v>26.924116519999998</v>
      </c>
    </row>
    <row r="7" spans="1:17">
      <c r="A7" s="606">
        <v>5</v>
      </c>
      <c r="B7" s="617" t="s">
        <v>680</v>
      </c>
      <c r="C7" s="606" t="s">
        <v>475</v>
      </c>
      <c r="D7" s="246">
        <v>3688780</v>
      </c>
      <c r="E7" s="191" t="s">
        <v>1331</v>
      </c>
      <c r="F7" s="611">
        <v>358.68</v>
      </c>
      <c r="G7" s="619">
        <f t="shared" si="5"/>
        <v>26.470584000000002</v>
      </c>
      <c r="H7" s="611">
        <v>0</v>
      </c>
      <c r="I7" s="619">
        <f t="shared" si="6"/>
        <v>332.20941600000003</v>
      </c>
      <c r="J7" s="606" t="s">
        <v>13</v>
      </c>
      <c r="K7" s="611" t="s">
        <v>17</v>
      </c>
      <c r="L7" s="612">
        <f t="shared" si="4"/>
        <v>49.831412400000005</v>
      </c>
      <c r="M7" s="612">
        <f t="shared" si="0"/>
        <v>13.288376640000001</v>
      </c>
      <c r="N7" s="613">
        <f t="shared" si="1"/>
        <v>6.6441883200000005</v>
      </c>
      <c r="O7" s="613">
        <f t="shared" si="2"/>
        <v>6.6441883200000005</v>
      </c>
      <c r="P7" s="610">
        <f t="shared" si="3"/>
        <v>23.254659119999999</v>
      </c>
    </row>
    <row r="8" spans="1:17">
      <c r="A8" s="606">
        <v>6</v>
      </c>
      <c r="B8" s="607" t="s">
        <v>1332</v>
      </c>
      <c r="C8" s="616" t="s">
        <v>475</v>
      </c>
      <c r="D8" s="249">
        <v>1003111105555</v>
      </c>
      <c r="E8" s="250">
        <v>5937962</v>
      </c>
      <c r="F8" s="615">
        <v>554.94000000000005</v>
      </c>
      <c r="G8" s="619">
        <f t="shared" si="5"/>
        <v>40.954572000000006</v>
      </c>
      <c r="H8" s="615">
        <v>59.63</v>
      </c>
      <c r="I8" s="619">
        <f>F8-G8-H8</f>
        <v>454.35542800000007</v>
      </c>
      <c r="J8" s="616" t="s">
        <v>13</v>
      </c>
      <c r="K8" s="615" t="s">
        <v>164</v>
      </c>
      <c r="L8" s="612">
        <f t="shared" si="4"/>
        <v>68.153314200000011</v>
      </c>
      <c r="M8" s="612">
        <f t="shared" si="0"/>
        <v>18.174217120000005</v>
      </c>
      <c r="N8" s="613">
        <f t="shared" si="1"/>
        <v>9.0871085600000026</v>
      </c>
      <c r="O8" s="613">
        <f t="shared" si="2"/>
        <v>9.0871085600000026</v>
      </c>
      <c r="P8" s="610">
        <f t="shared" si="3"/>
        <v>31.804879959999994</v>
      </c>
    </row>
    <row r="9" spans="1:17">
      <c r="A9" s="606">
        <v>7</v>
      </c>
      <c r="B9" s="617" t="s">
        <v>1333</v>
      </c>
      <c r="C9" s="606" t="s">
        <v>475</v>
      </c>
      <c r="D9" s="251">
        <v>1003111105296</v>
      </c>
      <c r="E9" s="191">
        <v>5937358</v>
      </c>
      <c r="F9" s="620">
        <v>539.33000000000004</v>
      </c>
      <c r="G9" s="619">
        <f t="shared" si="5"/>
        <v>39.802554000000008</v>
      </c>
      <c r="H9" s="611">
        <v>57.95</v>
      </c>
      <c r="I9" s="619">
        <f>F9-G9-H9</f>
        <v>441.57744600000007</v>
      </c>
      <c r="J9" s="606" t="s">
        <v>13</v>
      </c>
      <c r="K9" s="611" t="s">
        <v>17</v>
      </c>
      <c r="L9" s="612">
        <f t="shared" si="4"/>
        <v>66.236616900000001</v>
      </c>
      <c r="M9" s="612">
        <f t="shared" si="0"/>
        <v>17.663097840000002</v>
      </c>
      <c r="N9" s="613">
        <f>I9*2%</f>
        <v>8.8315489200000012</v>
      </c>
      <c r="O9" s="613">
        <f t="shared" si="2"/>
        <v>8.8315489200000012</v>
      </c>
      <c r="P9" s="610">
        <f t="shared" si="3"/>
        <v>30.910421219999989</v>
      </c>
    </row>
    <row r="10" spans="1:17">
      <c r="A10" s="606">
        <v>8</v>
      </c>
      <c r="B10" s="621" t="s">
        <v>1334</v>
      </c>
      <c r="C10" s="616" t="s">
        <v>234</v>
      </c>
      <c r="D10" s="254">
        <v>1003111115232</v>
      </c>
      <c r="E10" s="255" t="s">
        <v>1335</v>
      </c>
      <c r="F10" s="622">
        <v>475.63</v>
      </c>
      <c r="G10" s="619">
        <f t="shared" si="5"/>
        <v>35.101494000000002</v>
      </c>
      <c r="H10" s="615">
        <v>51.11</v>
      </c>
      <c r="I10" s="619">
        <f t="shared" si="6"/>
        <v>389.41850599999998</v>
      </c>
      <c r="J10" s="623" t="s">
        <v>13</v>
      </c>
      <c r="K10" s="615" t="s">
        <v>17</v>
      </c>
      <c r="L10" s="612">
        <f t="shared" si="4"/>
        <v>58.412775899999993</v>
      </c>
      <c r="M10" s="612">
        <f t="shared" si="0"/>
        <v>15.576740239999999</v>
      </c>
      <c r="N10" s="613">
        <f t="shared" si="1"/>
        <v>7.7883701199999997</v>
      </c>
      <c r="O10" s="613">
        <f t="shared" si="2"/>
        <v>7.7883701199999997</v>
      </c>
      <c r="P10" s="610">
        <f t="shared" si="3"/>
        <v>27.259295419999997</v>
      </c>
    </row>
    <row r="11" spans="1:17">
      <c r="A11" s="606">
        <v>9</v>
      </c>
      <c r="B11" s="503" t="s">
        <v>1336</v>
      </c>
      <c r="C11" s="295" t="s">
        <v>559</v>
      </c>
      <c r="D11" s="403">
        <v>36890856</v>
      </c>
      <c r="E11" s="507" t="s">
        <v>1337</v>
      </c>
      <c r="F11" s="602">
        <v>628.35</v>
      </c>
      <c r="G11" s="294">
        <f t="shared" si="5"/>
        <v>46.372230000000002</v>
      </c>
      <c r="H11" s="293">
        <v>62.81</v>
      </c>
      <c r="I11" s="293">
        <f t="shared" si="6"/>
        <v>519.16777000000002</v>
      </c>
      <c r="J11" s="405" t="s">
        <v>16</v>
      </c>
      <c r="K11" s="293" t="s">
        <v>17</v>
      </c>
      <c r="L11" s="293">
        <f t="shared" si="4"/>
        <v>77.875165499999994</v>
      </c>
      <c r="M11" s="293">
        <f t="shared" si="0"/>
        <v>20.766710800000002</v>
      </c>
      <c r="N11" s="296">
        <f t="shared" si="1"/>
        <v>10.383355400000001</v>
      </c>
      <c r="O11" s="406">
        <f t="shared" si="2"/>
        <v>10.383355400000001</v>
      </c>
      <c r="P11" s="293">
        <f t="shared" si="3"/>
        <v>36.341743899999997</v>
      </c>
    </row>
    <row r="12" spans="1:17">
      <c r="A12" s="606">
        <v>10</v>
      </c>
      <c r="B12" s="627" t="s">
        <v>1338</v>
      </c>
      <c r="C12" s="160" t="s">
        <v>234</v>
      </c>
      <c r="D12" s="254">
        <v>10031111113393</v>
      </c>
      <c r="E12" s="262" t="s">
        <v>1339</v>
      </c>
      <c r="F12" s="628">
        <v>529.33000000000004</v>
      </c>
      <c r="G12" s="619">
        <f t="shared" si="5"/>
        <v>39.064554000000008</v>
      </c>
      <c r="H12" s="615">
        <v>139.82</v>
      </c>
      <c r="I12" s="619">
        <f t="shared" si="6"/>
        <v>350.44544600000006</v>
      </c>
      <c r="J12" s="625" t="s">
        <v>13</v>
      </c>
      <c r="K12" s="615" t="s">
        <v>17</v>
      </c>
      <c r="L12" s="612">
        <f t="shared" si="4"/>
        <v>52.566816900000006</v>
      </c>
      <c r="M12" s="612">
        <f t="shared" si="0"/>
        <v>14.017817840000003</v>
      </c>
      <c r="N12" s="613">
        <f t="shared" si="1"/>
        <v>7.0089089200000014</v>
      </c>
      <c r="O12" s="613">
        <f t="shared" si="2"/>
        <v>7.0089089200000014</v>
      </c>
      <c r="P12" s="610">
        <f t="shared" si="3"/>
        <v>24.531181219999993</v>
      </c>
    </row>
    <row r="13" spans="1:17">
      <c r="A13" s="606">
        <v>11</v>
      </c>
      <c r="B13" s="621" t="s">
        <v>1340</v>
      </c>
      <c r="C13" s="606" t="s">
        <v>475</v>
      </c>
      <c r="D13" s="251">
        <v>10031111116318</v>
      </c>
      <c r="E13" s="191">
        <v>5948637</v>
      </c>
      <c r="F13" s="628">
        <v>586.65</v>
      </c>
      <c r="G13" s="624">
        <f t="shared" si="5"/>
        <v>43.29477</v>
      </c>
      <c r="H13" s="611">
        <v>195.65</v>
      </c>
      <c r="I13" s="624">
        <f t="shared" si="6"/>
        <v>347.70523000000003</v>
      </c>
      <c r="J13" s="625" t="s">
        <v>16</v>
      </c>
      <c r="K13" s="611" t="s">
        <v>14</v>
      </c>
      <c r="L13" s="612">
        <f t="shared" si="4"/>
        <v>52.155784500000003</v>
      </c>
      <c r="M13" s="612">
        <f t="shared" si="0"/>
        <v>13.908209200000002</v>
      </c>
      <c r="N13" s="613">
        <f t="shared" si="1"/>
        <v>6.9541046000000009</v>
      </c>
      <c r="O13" s="626">
        <f t="shared" si="2"/>
        <v>6.9541046000000009</v>
      </c>
      <c r="P13" s="612">
        <f t="shared" si="3"/>
        <v>24.339366099999999</v>
      </c>
    </row>
    <row r="14" spans="1:17">
      <c r="A14" s="606">
        <v>12</v>
      </c>
      <c r="B14" s="159" t="s">
        <v>1341</v>
      </c>
      <c r="C14" s="616" t="s">
        <v>173</v>
      </c>
      <c r="D14" s="264">
        <v>10031111113846</v>
      </c>
      <c r="E14" s="262">
        <v>5948282</v>
      </c>
      <c r="F14" s="628">
        <v>555.37</v>
      </c>
      <c r="G14" s="619">
        <f t="shared" si="5"/>
        <v>40.986306000000006</v>
      </c>
      <c r="H14" s="615">
        <v>59.68</v>
      </c>
      <c r="I14" s="619">
        <f t="shared" si="6"/>
        <v>454.70369399999998</v>
      </c>
      <c r="J14" s="623" t="s">
        <v>13</v>
      </c>
      <c r="K14" s="615" t="s">
        <v>14</v>
      </c>
      <c r="L14" s="612">
        <f t="shared" si="4"/>
        <v>68.205554100000001</v>
      </c>
      <c r="M14" s="612">
        <f t="shared" si="0"/>
        <v>18.18814776</v>
      </c>
      <c r="N14" s="613">
        <f t="shared" si="1"/>
        <v>9.0940738799999998</v>
      </c>
      <c r="O14" s="613">
        <f t="shared" si="2"/>
        <v>9.0940738799999998</v>
      </c>
      <c r="P14" s="610">
        <f t="shared" si="3"/>
        <v>31.829258579999998</v>
      </c>
    </row>
    <row r="15" spans="1:17">
      <c r="A15" s="606">
        <v>13</v>
      </c>
      <c r="B15" s="629" t="s">
        <v>1342</v>
      </c>
      <c r="C15" s="606" t="s">
        <v>29</v>
      </c>
      <c r="D15" s="266">
        <v>2775764</v>
      </c>
      <c r="E15" s="262">
        <v>5937776</v>
      </c>
      <c r="F15" s="630">
        <v>520.13</v>
      </c>
      <c r="G15" s="624">
        <f t="shared" si="5"/>
        <v>38.385594000000005</v>
      </c>
      <c r="H15" s="615">
        <v>45.63</v>
      </c>
      <c r="I15" s="624">
        <f t="shared" si="6"/>
        <v>436.11440599999997</v>
      </c>
      <c r="J15" s="625" t="s">
        <v>16</v>
      </c>
      <c r="K15" s="611" t="s">
        <v>14</v>
      </c>
      <c r="L15" s="612">
        <f t="shared" si="4"/>
        <v>65.417160899999999</v>
      </c>
      <c r="M15" s="612">
        <f t="shared" si="0"/>
        <v>17.44457624</v>
      </c>
      <c r="N15" s="613">
        <f t="shared" si="1"/>
        <v>8.72228812</v>
      </c>
      <c r="O15" s="626">
        <f t="shared" si="2"/>
        <v>8.72228812</v>
      </c>
      <c r="P15" s="612">
        <f t="shared" si="3"/>
        <v>30.528008419999992</v>
      </c>
    </row>
    <row r="16" spans="1:17">
      <c r="A16" s="606">
        <v>14</v>
      </c>
      <c r="B16" s="627" t="s">
        <v>1343</v>
      </c>
      <c r="C16" s="614" t="s">
        <v>475</v>
      </c>
      <c r="D16" s="251">
        <v>10031111113311</v>
      </c>
      <c r="E16" s="268">
        <v>5939474</v>
      </c>
      <c r="F16" s="628">
        <v>528.01</v>
      </c>
      <c r="G16" s="619">
        <f t="shared" si="5"/>
        <v>38.967137999999998</v>
      </c>
      <c r="H16" s="615">
        <v>56.74</v>
      </c>
      <c r="I16" s="619">
        <f t="shared" si="6"/>
        <v>432.302862</v>
      </c>
      <c r="J16" s="623" t="s">
        <v>13</v>
      </c>
      <c r="K16" s="615" t="s">
        <v>14</v>
      </c>
      <c r="L16" s="612">
        <f t="shared" si="4"/>
        <v>64.845429299999992</v>
      </c>
      <c r="M16" s="612">
        <f t="shared" si="0"/>
        <v>17.292114480000002</v>
      </c>
      <c r="N16" s="613">
        <f t="shared" si="1"/>
        <v>8.6460572400000011</v>
      </c>
      <c r="O16" s="613">
        <f t="shared" si="2"/>
        <v>8.6460572400000011</v>
      </c>
      <c r="P16" s="610">
        <f t="shared" si="3"/>
        <v>30.261200339999991</v>
      </c>
    </row>
    <row r="17" spans="1:16">
      <c r="A17" s="606">
        <v>15</v>
      </c>
      <c r="B17" s="629" t="s">
        <v>1344</v>
      </c>
      <c r="C17" s="631" t="s">
        <v>29</v>
      </c>
      <c r="D17" s="246">
        <v>2780962</v>
      </c>
      <c r="E17" s="270">
        <v>5938718</v>
      </c>
      <c r="F17" s="611">
        <v>967.9</v>
      </c>
      <c r="G17" s="624">
        <f t="shared" si="5"/>
        <v>71.431020000000004</v>
      </c>
      <c r="H17" s="615">
        <v>120.1</v>
      </c>
      <c r="I17" s="624">
        <f t="shared" si="6"/>
        <v>776.36897999999997</v>
      </c>
      <c r="J17" s="625" t="s">
        <v>13</v>
      </c>
      <c r="K17" s="611" t="s">
        <v>266</v>
      </c>
      <c r="L17" s="612">
        <f t="shared" si="4"/>
        <v>116.45534699999999</v>
      </c>
      <c r="M17" s="612">
        <f t="shared" si="0"/>
        <v>31.054759199999999</v>
      </c>
      <c r="N17" s="613">
        <f t="shared" si="1"/>
        <v>15.5273796</v>
      </c>
      <c r="O17" s="626">
        <f t="shared" si="2"/>
        <v>15.5273796</v>
      </c>
      <c r="P17" s="612">
        <f t="shared" si="3"/>
        <v>54.345828599999976</v>
      </c>
    </row>
    <row r="18" spans="1:16">
      <c r="A18" s="606">
        <v>16</v>
      </c>
      <c r="B18" s="627" t="s">
        <v>1345</v>
      </c>
      <c r="C18" s="614" t="s">
        <v>29</v>
      </c>
      <c r="D18" s="251">
        <v>1003111113597</v>
      </c>
      <c r="E18" s="271">
        <v>5948288</v>
      </c>
      <c r="F18" s="615">
        <v>664.68</v>
      </c>
      <c r="G18" s="619">
        <f t="shared" si="5"/>
        <v>49.053384000000001</v>
      </c>
      <c r="H18" s="615">
        <v>0</v>
      </c>
      <c r="I18" s="619">
        <f t="shared" si="6"/>
        <v>615.6266159999999</v>
      </c>
      <c r="J18" s="623" t="s">
        <v>13</v>
      </c>
      <c r="K18" s="615" t="s">
        <v>50</v>
      </c>
      <c r="L18" s="612">
        <f t="shared" si="4"/>
        <v>92.343992399999976</v>
      </c>
      <c r="M18" s="612">
        <f t="shared" si="0"/>
        <v>24.625064639999998</v>
      </c>
      <c r="N18" s="613">
        <f t="shared" si="1"/>
        <v>12.312532319999999</v>
      </c>
      <c r="O18" s="613">
        <f t="shared" si="2"/>
        <v>12.312532319999999</v>
      </c>
      <c r="P18" s="610">
        <f t="shared" si="3"/>
        <v>43.09386311999998</v>
      </c>
    </row>
    <row r="19" spans="1:16">
      <c r="A19" s="606">
        <v>17</v>
      </c>
      <c r="B19" s="629" t="s">
        <v>1346</v>
      </c>
      <c r="C19" s="631" t="s">
        <v>475</v>
      </c>
      <c r="D19" s="251">
        <v>10031111123115</v>
      </c>
      <c r="E19" s="272">
        <v>5947323</v>
      </c>
      <c r="F19" s="611">
        <v>509.7</v>
      </c>
      <c r="G19" s="624">
        <f t="shared" si="5"/>
        <v>37.615860000000005</v>
      </c>
      <c r="H19" s="611">
        <v>54.77</v>
      </c>
      <c r="I19" s="624">
        <f t="shared" si="6"/>
        <v>417.31414000000001</v>
      </c>
      <c r="J19" s="625" t="s">
        <v>13</v>
      </c>
      <c r="K19" s="611" t="s">
        <v>211</v>
      </c>
      <c r="L19" s="612">
        <f t="shared" si="4"/>
        <v>62.597121000000001</v>
      </c>
      <c r="M19" s="612">
        <f t="shared" si="0"/>
        <v>16.692565600000002</v>
      </c>
      <c r="N19" s="626">
        <f t="shared" si="1"/>
        <v>8.3462828000000009</v>
      </c>
      <c r="O19" s="626">
        <f t="shared" si="2"/>
        <v>8.3462828000000009</v>
      </c>
      <c r="P19" s="612">
        <f t="shared" si="3"/>
        <v>29.211989799999994</v>
      </c>
    </row>
    <row r="20" spans="1:16">
      <c r="A20" s="606">
        <v>18</v>
      </c>
      <c r="B20" s="641" t="s">
        <v>1347</v>
      </c>
      <c r="C20" s="631" t="s">
        <v>475</v>
      </c>
      <c r="D20" s="254">
        <v>51772025423</v>
      </c>
      <c r="E20" s="268">
        <v>5946515</v>
      </c>
      <c r="F20" s="615">
        <v>501.16</v>
      </c>
      <c r="G20" s="619">
        <f t="shared" si="5"/>
        <v>36.985608000000006</v>
      </c>
      <c r="H20" s="615">
        <v>50.12</v>
      </c>
      <c r="I20" s="610">
        <f t="shared" si="6"/>
        <v>414.05439200000001</v>
      </c>
      <c r="J20" s="623" t="s">
        <v>16</v>
      </c>
      <c r="K20" s="615" t="s">
        <v>211</v>
      </c>
      <c r="L20" s="612">
        <f t="shared" si="4"/>
        <v>62.108158799999998</v>
      </c>
      <c r="M20" s="612">
        <f t="shared" si="0"/>
        <v>16.562175679999999</v>
      </c>
      <c r="N20" s="613">
        <f t="shared" si="1"/>
        <v>8.2810878399999996</v>
      </c>
      <c r="O20" s="613">
        <f t="shared" si="2"/>
        <v>8.2810878399999996</v>
      </c>
      <c r="P20" s="610">
        <f t="shared" si="3"/>
        <v>28.983807440000007</v>
      </c>
    </row>
    <row r="21" spans="1:16">
      <c r="A21" s="606">
        <v>19</v>
      </c>
      <c r="B21" s="499" t="s">
        <v>1348</v>
      </c>
      <c r="C21" s="327" t="s">
        <v>475</v>
      </c>
      <c r="D21" s="400">
        <v>1003111116591</v>
      </c>
      <c r="E21" s="495">
        <v>5925326</v>
      </c>
      <c r="F21" s="294">
        <v>606.41999999999996</v>
      </c>
      <c r="G21" s="294">
        <f t="shared" si="5"/>
        <v>44.753796000000001</v>
      </c>
      <c r="H21" s="294">
        <v>74.650000000000006</v>
      </c>
      <c r="I21" s="294">
        <f t="shared" si="6"/>
        <v>487.01620400000002</v>
      </c>
      <c r="J21" s="329" t="s">
        <v>13</v>
      </c>
      <c r="K21" s="294" t="s">
        <v>1349</v>
      </c>
      <c r="L21" s="293">
        <f t="shared" si="4"/>
        <v>73.052430599999994</v>
      </c>
      <c r="M21" s="293">
        <f t="shared" si="0"/>
        <v>19.480648160000001</v>
      </c>
      <c r="N21" s="296">
        <f t="shared" si="1"/>
        <v>9.7403240800000006</v>
      </c>
      <c r="O21" s="296">
        <f t="shared" si="2"/>
        <v>9.7403240800000006</v>
      </c>
      <c r="P21" s="294">
        <f t="shared" si="3"/>
        <v>34.091134279999991</v>
      </c>
    </row>
    <row r="22" spans="1:16">
      <c r="A22" s="606">
        <v>20</v>
      </c>
      <c r="B22" s="629" t="s">
        <v>1350</v>
      </c>
      <c r="C22" s="606" t="s">
        <v>29</v>
      </c>
      <c r="D22" s="251">
        <v>10031111119282</v>
      </c>
      <c r="E22" s="274">
        <v>5952614</v>
      </c>
      <c r="F22" s="611">
        <v>732.16</v>
      </c>
      <c r="G22" s="612">
        <f t="shared" si="5"/>
        <v>54.033408000000001</v>
      </c>
      <c r="H22" s="611">
        <v>78.67</v>
      </c>
      <c r="I22" s="612">
        <f t="shared" si="6"/>
        <v>599.456592</v>
      </c>
      <c r="J22" s="625" t="s">
        <v>13</v>
      </c>
      <c r="K22" s="611" t="s">
        <v>216</v>
      </c>
      <c r="L22" s="612">
        <f t="shared" si="4"/>
        <v>89.918488799999992</v>
      </c>
      <c r="M22" s="612">
        <f t="shared" si="0"/>
        <v>23.978263680000001</v>
      </c>
      <c r="N22" s="626">
        <f t="shared" si="1"/>
        <v>11.989131840000001</v>
      </c>
      <c r="O22" s="626">
        <f t="shared" si="2"/>
        <v>11.989131840000001</v>
      </c>
      <c r="P22" s="612">
        <f t="shared" si="3"/>
        <v>41.961961439999996</v>
      </c>
    </row>
    <row r="23" spans="1:16">
      <c r="A23" s="606">
        <v>21</v>
      </c>
      <c r="B23" s="629" t="s">
        <v>1351</v>
      </c>
      <c r="C23" s="606" t="s">
        <v>12</v>
      </c>
      <c r="D23" s="251">
        <v>10031111118969</v>
      </c>
      <c r="E23" s="274">
        <v>5952912</v>
      </c>
      <c r="F23" s="611">
        <v>635.9</v>
      </c>
      <c r="G23" s="612">
        <f t="shared" si="5"/>
        <v>46.92942</v>
      </c>
      <c r="H23" s="611">
        <v>167.98</v>
      </c>
      <c r="I23" s="612">
        <f t="shared" si="6"/>
        <v>420.99057999999991</v>
      </c>
      <c r="J23" s="625" t="s">
        <v>13</v>
      </c>
      <c r="K23" s="611" t="s">
        <v>410</v>
      </c>
      <c r="L23" s="612">
        <f t="shared" si="4"/>
        <v>63.148586999999985</v>
      </c>
      <c r="M23" s="612">
        <f t="shared" si="0"/>
        <v>16.839623199999998</v>
      </c>
      <c r="N23" s="626">
        <f t="shared" si="1"/>
        <v>8.4198115999999992</v>
      </c>
      <c r="O23" s="626">
        <f t="shared" si="2"/>
        <v>8.4198115999999992</v>
      </c>
      <c r="P23" s="612">
        <f t="shared" si="3"/>
        <v>29.469340599999985</v>
      </c>
    </row>
    <row r="24" spans="1:16">
      <c r="A24" s="606">
        <v>22</v>
      </c>
      <c r="B24" s="642" t="s">
        <v>1352</v>
      </c>
      <c r="C24" s="165" t="s">
        <v>29</v>
      </c>
      <c r="D24" s="382" t="s">
        <v>32</v>
      </c>
      <c r="E24" s="399">
        <v>5937692</v>
      </c>
      <c r="F24" s="168">
        <v>834.68</v>
      </c>
      <c r="G24" s="169">
        <f t="shared" si="5"/>
        <v>61.599384000000001</v>
      </c>
      <c r="H24" s="168">
        <v>73.34</v>
      </c>
      <c r="I24" s="170">
        <f t="shared" si="6"/>
        <v>699.74061599999993</v>
      </c>
      <c r="J24" s="167" t="s">
        <v>16</v>
      </c>
      <c r="K24" s="168" t="s">
        <v>14</v>
      </c>
      <c r="L24" s="170">
        <f t="shared" si="4"/>
        <v>104.96109239999998</v>
      </c>
      <c r="M24" s="170">
        <f t="shared" si="0"/>
        <v>27.989624639999999</v>
      </c>
      <c r="N24" s="171">
        <f t="shared" si="1"/>
        <v>13.994812319999999</v>
      </c>
      <c r="O24" s="171">
        <f t="shared" si="2"/>
        <v>13.994812319999999</v>
      </c>
      <c r="P24" s="169">
        <f t="shared" si="3"/>
        <v>48.981843119999979</v>
      </c>
    </row>
    <row r="25" spans="1:16">
      <c r="A25" s="606">
        <v>23</v>
      </c>
      <c r="B25" s="632" t="s">
        <v>1353</v>
      </c>
      <c r="C25" s="633" t="s">
        <v>29</v>
      </c>
      <c r="D25" s="277">
        <v>36949686</v>
      </c>
      <c r="E25" s="278">
        <v>5935123</v>
      </c>
      <c r="F25" s="615">
        <v>947.28</v>
      </c>
      <c r="G25" s="610">
        <f t="shared" si="5"/>
        <v>69.909264000000007</v>
      </c>
      <c r="H25" s="615">
        <v>78.94</v>
      </c>
      <c r="I25" s="612">
        <f t="shared" si="6"/>
        <v>798.43073600000002</v>
      </c>
      <c r="J25" s="633" t="s">
        <v>16</v>
      </c>
      <c r="K25" s="633" t="s">
        <v>17</v>
      </c>
      <c r="L25" s="612">
        <f t="shared" si="4"/>
        <v>119.7646104</v>
      </c>
      <c r="M25" s="612">
        <f t="shared" si="0"/>
        <v>31.937229440000003</v>
      </c>
      <c r="N25" s="613">
        <f t="shared" si="1"/>
        <v>15.968614720000001</v>
      </c>
      <c r="O25" s="613">
        <f t="shared" si="2"/>
        <v>15.968614720000001</v>
      </c>
      <c r="P25" s="610">
        <f t="shared" si="3"/>
        <v>55.890151519999989</v>
      </c>
    </row>
    <row r="26" spans="1:16">
      <c r="A26" s="606">
        <v>24</v>
      </c>
      <c r="B26" s="607" t="s">
        <v>1354</v>
      </c>
      <c r="C26" s="616" t="s">
        <v>29</v>
      </c>
      <c r="D26" s="369">
        <v>10031111126894</v>
      </c>
      <c r="E26" s="268">
        <v>5955895</v>
      </c>
      <c r="F26" s="615">
        <v>953.42</v>
      </c>
      <c r="G26" s="610">
        <f t="shared" si="5"/>
        <v>70.362396000000004</v>
      </c>
      <c r="H26" s="615">
        <v>117.59</v>
      </c>
      <c r="I26" s="612">
        <f t="shared" si="6"/>
        <v>765.46760399999994</v>
      </c>
      <c r="J26" s="623" t="s">
        <v>13</v>
      </c>
      <c r="K26" s="615" t="s">
        <v>17</v>
      </c>
      <c r="L26" s="612">
        <f t="shared" si="4"/>
        <v>114.82014059999999</v>
      </c>
      <c r="M26" s="612">
        <f t="shared" si="0"/>
        <v>30.618704159999997</v>
      </c>
      <c r="N26" s="613">
        <f t="shared" si="1"/>
        <v>15.309352079999998</v>
      </c>
      <c r="O26" s="613">
        <f t="shared" si="2"/>
        <v>15.309352079999998</v>
      </c>
      <c r="P26" s="610">
        <f t="shared" si="3"/>
        <v>53.582732280000002</v>
      </c>
    </row>
    <row r="27" spans="1:16">
      <c r="A27" s="606">
        <v>25</v>
      </c>
      <c r="B27" s="607" t="s">
        <v>1355</v>
      </c>
      <c r="C27" s="616" t="s">
        <v>54</v>
      </c>
      <c r="D27" s="254">
        <v>10031111126647</v>
      </c>
      <c r="E27" s="268">
        <v>5956611</v>
      </c>
      <c r="F27" s="615">
        <v>527.30999999999995</v>
      </c>
      <c r="G27" s="610">
        <f t="shared" si="5"/>
        <v>38.915478</v>
      </c>
      <c r="H27" s="615">
        <v>56.66</v>
      </c>
      <c r="I27" s="612">
        <f t="shared" si="6"/>
        <v>431.73452199999997</v>
      </c>
      <c r="J27" s="623" t="s">
        <v>13</v>
      </c>
      <c r="K27" s="615" t="s">
        <v>14</v>
      </c>
      <c r="L27" s="612">
        <f t="shared" si="4"/>
        <v>64.760178299999993</v>
      </c>
      <c r="M27" s="612">
        <f t="shared" si="0"/>
        <v>17.26938088</v>
      </c>
      <c r="N27" s="613">
        <f t="shared" si="1"/>
        <v>8.63469044</v>
      </c>
      <c r="O27" s="613">
        <f t="shared" si="2"/>
        <v>8.63469044</v>
      </c>
      <c r="P27" s="610">
        <f t="shared" si="3"/>
        <v>30.221416539999993</v>
      </c>
    </row>
    <row r="28" spans="1:16">
      <c r="A28" s="606">
        <v>26</v>
      </c>
      <c r="B28" s="607" t="s">
        <v>1356</v>
      </c>
      <c r="C28" s="616" t="s">
        <v>29</v>
      </c>
      <c r="D28" s="254">
        <v>10031111126758</v>
      </c>
      <c r="E28" s="268" t="s">
        <v>1357</v>
      </c>
      <c r="F28" s="615">
        <v>544.29999999999995</v>
      </c>
      <c r="G28" s="610">
        <f t="shared" si="5"/>
        <v>40.169339999999998</v>
      </c>
      <c r="H28" s="615">
        <v>67.13</v>
      </c>
      <c r="I28" s="612">
        <f t="shared" si="6"/>
        <v>437.00065999999998</v>
      </c>
      <c r="J28" s="623" t="s">
        <v>13</v>
      </c>
      <c r="K28" s="615" t="s">
        <v>1358</v>
      </c>
      <c r="L28" s="612">
        <f t="shared" si="4"/>
        <v>65.550098999999989</v>
      </c>
      <c r="M28" s="612">
        <f t="shared" si="0"/>
        <v>17.4800264</v>
      </c>
      <c r="N28" s="613">
        <f t="shared" si="1"/>
        <v>8.7400131999999999</v>
      </c>
      <c r="O28" s="613">
        <f t="shared" si="2"/>
        <v>8.7400131999999999</v>
      </c>
      <c r="P28" s="610">
        <f t="shared" si="3"/>
        <v>30.590046199999989</v>
      </c>
    </row>
    <row r="29" spans="1:16">
      <c r="A29" s="606">
        <v>27</v>
      </c>
      <c r="B29" s="339" t="s">
        <v>1359</v>
      </c>
      <c r="C29" s="327" t="s">
        <v>29</v>
      </c>
      <c r="D29" s="400">
        <v>36907155</v>
      </c>
      <c r="E29" s="495">
        <v>5955431</v>
      </c>
      <c r="F29" s="294">
        <v>775.56</v>
      </c>
      <c r="G29" s="294">
        <f t="shared" si="5"/>
        <v>57.236328</v>
      </c>
      <c r="H29" s="294">
        <v>64.63</v>
      </c>
      <c r="I29" s="293">
        <f t="shared" si="6"/>
        <v>653.69367199999999</v>
      </c>
      <c r="J29" s="329" t="s">
        <v>16</v>
      </c>
      <c r="K29" s="294" t="s">
        <v>14</v>
      </c>
      <c r="L29" s="293">
        <f t="shared" si="4"/>
        <v>98.054050799999999</v>
      </c>
      <c r="M29" s="293">
        <f t="shared" si="0"/>
        <v>26.14774688</v>
      </c>
      <c r="N29" s="296">
        <f t="shared" si="1"/>
        <v>13.07387344</v>
      </c>
      <c r="O29" s="296">
        <f t="shared" si="2"/>
        <v>13.07387344</v>
      </c>
      <c r="P29" s="294">
        <f t="shared" si="3"/>
        <v>45.758557039999999</v>
      </c>
    </row>
    <row r="30" spans="1:16">
      <c r="A30" s="606">
        <v>28</v>
      </c>
      <c r="B30" s="607" t="s">
        <v>1360</v>
      </c>
      <c r="C30" s="616" t="s">
        <v>469</v>
      </c>
      <c r="D30" s="254">
        <v>10031111125276</v>
      </c>
      <c r="E30" s="268">
        <v>5936230</v>
      </c>
      <c r="F30" s="615">
        <v>595.35</v>
      </c>
      <c r="G30" s="610">
        <f t="shared" si="5"/>
        <v>43.936830000000008</v>
      </c>
      <c r="H30" s="615">
        <v>110.45</v>
      </c>
      <c r="I30" s="612">
        <f t="shared" si="6"/>
        <v>440.96317000000005</v>
      </c>
      <c r="J30" s="623" t="s">
        <v>16</v>
      </c>
      <c r="K30" s="615" t="s">
        <v>53</v>
      </c>
      <c r="L30" s="612">
        <f t="shared" si="4"/>
        <v>66.144475499999999</v>
      </c>
      <c r="M30" s="612">
        <f t="shared" si="0"/>
        <v>17.638526800000001</v>
      </c>
      <c r="N30" s="613">
        <f t="shared" si="1"/>
        <v>8.8192634000000005</v>
      </c>
      <c r="O30" s="613">
        <f t="shared" si="2"/>
        <v>8.8192634000000005</v>
      </c>
      <c r="P30" s="610">
        <f t="shared" si="3"/>
        <v>30.867421899999993</v>
      </c>
    </row>
    <row r="31" spans="1:16">
      <c r="A31" s="606">
        <v>29</v>
      </c>
      <c r="B31" s="607" t="s">
        <v>1361</v>
      </c>
      <c r="C31" s="616" t="s">
        <v>475</v>
      </c>
      <c r="D31" s="254">
        <v>10031111123774</v>
      </c>
      <c r="E31" s="280">
        <v>5954247</v>
      </c>
      <c r="F31" s="615">
        <v>580.58000000000004</v>
      </c>
      <c r="G31" s="610">
        <f t="shared" si="5"/>
        <v>42.846804000000006</v>
      </c>
      <c r="H31" s="615">
        <v>0</v>
      </c>
      <c r="I31" s="612">
        <f t="shared" si="6"/>
        <v>537.73319600000002</v>
      </c>
      <c r="J31" s="623" t="s">
        <v>13</v>
      </c>
      <c r="K31" s="615" t="s">
        <v>211</v>
      </c>
      <c r="L31" s="612">
        <f t="shared" si="4"/>
        <v>80.659979399999997</v>
      </c>
      <c r="M31" s="612">
        <f t="shared" si="0"/>
        <v>21.509327840000001</v>
      </c>
      <c r="N31" s="613">
        <f t="shared" si="1"/>
        <v>10.75466392</v>
      </c>
      <c r="O31" s="613">
        <f t="shared" si="2"/>
        <v>10.75466392</v>
      </c>
      <c r="P31" s="610">
        <f t="shared" si="3"/>
        <v>37.641323720000003</v>
      </c>
    </row>
    <row r="32" spans="1:16">
      <c r="A32" s="606">
        <v>30</v>
      </c>
      <c r="B32" s="607" t="s">
        <v>1362</v>
      </c>
      <c r="C32" s="616" t="s">
        <v>173</v>
      </c>
      <c r="D32" s="254">
        <v>10031111123680</v>
      </c>
      <c r="E32" s="280">
        <v>5952559</v>
      </c>
      <c r="F32" s="615">
        <v>589.20000000000005</v>
      </c>
      <c r="G32" s="610">
        <f t="shared" si="5"/>
        <v>43.482960000000006</v>
      </c>
      <c r="H32" s="615">
        <v>63.61</v>
      </c>
      <c r="I32" s="612">
        <f t="shared" si="6"/>
        <v>482.10703999999998</v>
      </c>
      <c r="J32" s="623" t="s">
        <v>13</v>
      </c>
      <c r="K32" s="615" t="s">
        <v>216</v>
      </c>
      <c r="L32" s="612">
        <f t="shared" si="4"/>
        <v>72.316055999999989</v>
      </c>
      <c r="M32" s="612">
        <f t="shared" si="0"/>
        <v>19.2842816</v>
      </c>
      <c r="N32" s="613">
        <f t="shared" si="1"/>
        <v>9.6421408</v>
      </c>
      <c r="O32" s="613">
        <f t="shared" si="2"/>
        <v>9.6421408</v>
      </c>
      <c r="P32" s="610">
        <f t="shared" si="3"/>
        <v>33.747492799999989</v>
      </c>
    </row>
    <row r="33" spans="1:16">
      <c r="A33" s="606">
        <v>31</v>
      </c>
      <c r="B33" s="607" t="s">
        <v>1363</v>
      </c>
      <c r="C33" s="616" t="s">
        <v>52</v>
      </c>
      <c r="D33" s="254">
        <v>10031111135889</v>
      </c>
      <c r="E33" s="280">
        <v>5961004</v>
      </c>
      <c r="F33" s="615">
        <v>534.29999999999995</v>
      </c>
      <c r="G33" s="610">
        <f t="shared" si="5"/>
        <v>39.431339999999999</v>
      </c>
      <c r="H33" s="615">
        <v>141.13999999999999</v>
      </c>
      <c r="I33" s="612">
        <f t="shared" si="6"/>
        <v>353.72865999999999</v>
      </c>
      <c r="J33" s="623" t="s">
        <v>13</v>
      </c>
      <c r="K33" s="615" t="s">
        <v>207</v>
      </c>
      <c r="L33" s="612">
        <f t="shared" si="4"/>
        <v>53.059298999999996</v>
      </c>
      <c r="M33" s="612">
        <f t="shared" si="0"/>
        <v>14.149146399999999</v>
      </c>
      <c r="N33" s="613">
        <f t="shared" si="1"/>
        <v>7.0745731999999997</v>
      </c>
      <c r="O33" s="613">
        <f t="shared" si="2"/>
        <v>7.0745731999999997</v>
      </c>
      <c r="P33" s="610">
        <f t="shared" si="3"/>
        <v>24.761006199999997</v>
      </c>
    </row>
    <row r="34" spans="1:16">
      <c r="A34" s="606">
        <v>32</v>
      </c>
      <c r="B34" s="607" t="s">
        <v>1364</v>
      </c>
      <c r="C34" s="616" t="s">
        <v>475</v>
      </c>
      <c r="D34" s="437">
        <v>10031111130134</v>
      </c>
      <c r="E34" s="280">
        <v>5959188</v>
      </c>
      <c r="F34" s="615">
        <v>589.24</v>
      </c>
      <c r="G34" s="610">
        <f t="shared" si="5"/>
        <v>43.485912000000006</v>
      </c>
      <c r="H34" s="615">
        <v>72.680000000000007</v>
      </c>
      <c r="I34" s="612">
        <f t="shared" si="6"/>
        <v>473.07408800000002</v>
      </c>
      <c r="J34" s="623" t="s">
        <v>13</v>
      </c>
      <c r="K34" s="615" t="s">
        <v>330</v>
      </c>
      <c r="L34" s="612">
        <f t="shared" si="4"/>
        <v>70.9611132</v>
      </c>
      <c r="M34" s="612">
        <f t="shared" si="0"/>
        <v>18.92296352</v>
      </c>
      <c r="N34" s="613">
        <f t="shared" si="1"/>
        <v>9.4614817599999999</v>
      </c>
      <c r="O34" s="613">
        <f t="shared" si="2"/>
        <v>9.4614817599999999</v>
      </c>
      <c r="P34" s="610">
        <f t="shared" si="3"/>
        <v>33.115186160000007</v>
      </c>
    </row>
    <row r="35" spans="1:16">
      <c r="A35" s="606">
        <v>33</v>
      </c>
      <c r="B35" s="607" t="s">
        <v>1365</v>
      </c>
      <c r="C35" s="616" t="s">
        <v>475</v>
      </c>
      <c r="D35" s="254">
        <v>10031111130134</v>
      </c>
      <c r="E35" s="280" t="s">
        <v>1366</v>
      </c>
      <c r="F35" s="615">
        <v>481.31</v>
      </c>
      <c r="G35" s="610">
        <f t="shared" si="5"/>
        <v>35.520678000000004</v>
      </c>
      <c r="H35" s="615">
        <v>51.72</v>
      </c>
      <c r="I35" s="612">
        <f t="shared" si="6"/>
        <v>394.06932199999994</v>
      </c>
      <c r="J35" s="623" t="s">
        <v>13</v>
      </c>
      <c r="K35" s="615" t="s">
        <v>17</v>
      </c>
      <c r="L35" s="612">
        <f t="shared" si="4"/>
        <v>59.110398299999986</v>
      </c>
      <c r="M35" s="612">
        <f t="shared" si="0"/>
        <v>15.762772879999998</v>
      </c>
      <c r="N35" s="613">
        <f t="shared" si="1"/>
        <v>7.8813864399999991</v>
      </c>
      <c r="O35" s="613">
        <f t="shared" si="2"/>
        <v>7.8813864399999991</v>
      </c>
      <c r="P35" s="610">
        <f t="shared" si="3"/>
        <v>27.584852539999986</v>
      </c>
    </row>
    <row r="36" spans="1:16">
      <c r="A36" s="606">
        <v>34</v>
      </c>
      <c r="B36" s="607" t="s">
        <v>1367</v>
      </c>
      <c r="C36" s="616" t="s">
        <v>475</v>
      </c>
      <c r="D36" s="280">
        <v>1003111132950</v>
      </c>
      <c r="E36" s="280">
        <v>5924630</v>
      </c>
      <c r="F36" s="615">
        <v>526.34</v>
      </c>
      <c r="G36" s="610">
        <f t="shared" si="5"/>
        <v>38.843892000000004</v>
      </c>
      <c r="H36" s="615">
        <v>138.86000000000001</v>
      </c>
      <c r="I36" s="612">
        <f t="shared" si="6"/>
        <v>348.63610800000004</v>
      </c>
      <c r="J36" s="623" t="s">
        <v>13</v>
      </c>
      <c r="K36" s="615" t="s">
        <v>1368</v>
      </c>
      <c r="L36" s="612">
        <f t="shared" si="4"/>
        <v>52.295416200000005</v>
      </c>
      <c r="M36" s="612">
        <f t="shared" si="0"/>
        <v>13.945444320000002</v>
      </c>
      <c r="N36" s="613">
        <f t="shared" si="1"/>
        <v>6.9727221600000009</v>
      </c>
      <c r="O36" s="613">
        <f t="shared" si="2"/>
        <v>6.9727221600000009</v>
      </c>
      <c r="P36" s="610">
        <f t="shared" si="3"/>
        <v>24.404527560000005</v>
      </c>
    </row>
    <row r="37" spans="1:16">
      <c r="A37" s="606">
        <v>35</v>
      </c>
      <c r="B37" s="339" t="s">
        <v>1369</v>
      </c>
      <c r="C37" s="327" t="s">
        <v>475</v>
      </c>
      <c r="D37" s="400">
        <v>10031111129213</v>
      </c>
      <c r="E37" s="401">
        <v>5925209</v>
      </c>
      <c r="F37" s="294">
        <v>543.54999999999995</v>
      </c>
      <c r="G37" s="294">
        <f t="shared" si="5"/>
        <v>40.113990000000001</v>
      </c>
      <c r="H37" s="294">
        <v>66.95</v>
      </c>
      <c r="I37" s="293">
        <f t="shared" si="6"/>
        <v>436.48600999999996</v>
      </c>
      <c r="J37" s="329" t="s">
        <v>13</v>
      </c>
      <c r="K37" s="294" t="s">
        <v>79</v>
      </c>
      <c r="L37" s="293">
        <f t="shared" si="4"/>
        <v>65.472901499999992</v>
      </c>
      <c r="M37" s="293">
        <f t="shared" si="0"/>
        <v>17.459440399999998</v>
      </c>
      <c r="N37" s="296">
        <f t="shared" si="1"/>
        <v>8.7297201999999992</v>
      </c>
      <c r="O37" s="296">
        <f t="shared" si="2"/>
        <v>8.7297201999999992</v>
      </c>
      <c r="P37" s="294">
        <f t="shared" si="3"/>
        <v>30.554020699999999</v>
      </c>
    </row>
    <row r="38" spans="1:16">
      <c r="A38" s="606">
        <v>36</v>
      </c>
      <c r="B38" s="339" t="s">
        <v>1370</v>
      </c>
      <c r="C38" s="327" t="s">
        <v>475</v>
      </c>
      <c r="D38" s="400">
        <v>10031111129174</v>
      </c>
      <c r="E38" s="401">
        <v>5937762</v>
      </c>
      <c r="F38" s="294">
        <v>523.77</v>
      </c>
      <c r="G38" s="294">
        <f t="shared" si="5"/>
        <v>38.654226000000001</v>
      </c>
      <c r="H38" s="294">
        <v>138.36000000000001</v>
      </c>
      <c r="I38" s="293">
        <f t="shared" si="6"/>
        <v>346.75577399999997</v>
      </c>
      <c r="J38" s="329" t="s">
        <v>13</v>
      </c>
      <c r="K38" s="294" t="s">
        <v>211</v>
      </c>
      <c r="L38" s="293">
        <f t="shared" si="4"/>
        <v>52.013366099999992</v>
      </c>
      <c r="M38" s="293">
        <f t="shared" si="0"/>
        <v>13.870230959999999</v>
      </c>
      <c r="N38" s="296">
        <f t="shared" si="1"/>
        <v>6.9351154799999994</v>
      </c>
      <c r="O38" s="296">
        <f t="shared" si="2"/>
        <v>6.9351154799999994</v>
      </c>
      <c r="P38" s="294">
        <f t="shared" si="3"/>
        <v>24.272904179999991</v>
      </c>
    </row>
    <row r="39" spans="1:16">
      <c r="A39" s="606">
        <v>37</v>
      </c>
      <c r="B39" s="607" t="s">
        <v>1371</v>
      </c>
      <c r="C39" s="616" t="s">
        <v>29</v>
      </c>
      <c r="D39" s="254">
        <v>10031111140257</v>
      </c>
      <c r="E39" s="280" t="s">
        <v>1372</v>
      </c>
      <c r="F39" s="615">
        <v>628.79999999999995</v>
      </c>
      <c r="G39" s="610">
        <f t="shared" si="5"/>
        <v>46.405439999999999</v>
      </c>
      <c r="H39" s="615">
        <v>67.569999999999993</v>
      </c>
      <c r="I39" s="612">
        <f t="shared" si="6"/>
        <v>514.82456000000002</v>
      </c>
      <c r="J39" s="623" t="s">
        <v>13</v>
      </c>
      <c r="K39" s="615" t="s">
        <v>216</v>
      </c>
      <c r="L39" s="612">
        <f t="shared" si="4"/>
        <v>77.223684000000006</v>
      </c>
      <c r="M39" s="612">
        <f t="shared" si="0"/>
        <v>20.5929824</v>
      </c>
      <c r="N39" s="613">
        <f t="shared" si="1"/>
        <v>10.2964912</v>
      </c>
      <c r="O39" s="613">
        <f t="shared" si="2"/>
        <v>10.2964912</v>
      </c>
      <c r="P39" s="610">
        <f t="shared" si="3"/>
        <v>36.037719200000012</v>
      </c>
    </row>
    <row r="40" spans="1:16">
      <c r="A40" s="606">
        <v>38</v>
      </c>
      <c r="B40" s="607" t="s">
        <v>1373</v>
      </c>
      <c r="C40" s="616" t="s">
        <v>29</v>
      </c>
      <c r="D40" s="254">
        <v>36924312</v>
      </c>
      <c r="E40" s="280">
        <v>5964397</v>
      </c>
      <c r="F40" s="615">
        <v>1116.8399999999999</v>
      </c>
      <c r="G40" s="610">
        <f t="shared" si="5"/>
        <v>82.422792000000001</v>
      </c>
      <c r="H40" s="615">
        <v>145.81</v>
      </c>
      <c r="I40" s="612">
        <f t="shared" si="6"/>
        <v>888.6072079999999</v>
      </c>
      <c r="J40" s="623" t="s">
        <v>13</v>
      </c>
      <c r="K40" s="615" t="s">
        <v>238</v>
      </c>
      <c r="L40" s="612">
        <f t="shared" si="4"/>
        <v>133.29108119999998</v>
      </c>
      <c r="M40" s="612">
        <f t="shared" si="0"/>
        <v>35.54428832</v>
      </c>
      <c r="N40" s="613">
        <f t="shared" si="1"/>
        <v>17.77214416</v>
      </c>
      <c r="O40" s="613">
        <f t="shared" si="2"/>
        <v>17.77214416</v>
      </c>
      <c r="P40" s="610">
        <f t="shared" si="3"/>
        <v>62.202504559999994</v>
      </c>
    </row>
    <row r="41" spans="1:16">
      <c r="A41" s="606">
        <v>39</v>
      </c>
      <c r="B41" s="339" t="s">
        <v>1374</v>
      </c>
      <c r="C41" s="327" t="s">
        <v>12</v>
      </c>
      <c r="D41" s="400">
        <v>1003111139041</v>
      </c>
      <c r="E41" s="401">
        <v>5962363</v>
      </c>
      <c r="F41" s="294">
        <v>655.21</v>
      </c>
      <c r="G41" s="294">
        <f t="shared" si="5"/>
        <v>48.354498000000007</v>
      </c>
      <c r="H41" s="294">
        <v>70.400000000000006</v>
      </c>
      <c r="I41" s="293">
        <f t="shared" si="6"/>
        <v>536.45550200000002</v>
      </c>
      <c r="J41" s="329" t="s">
        <v>13</v>
      </c>
      <c r="K41" s="294" t="s">
        <v>14</v>
      </c>
      <c r="L41" s="293">
        <f t="shared" si="4"/>
        <v>80.468325300000004</v>
      </c>
      <c r="M41" s="293">
        <f t="shared" si="0"/>
        <v>21.45822008</v>
      </c>
      <c r="N41" s="296">
        <f t="shared" si="1"/>
        <v>10.72911004</v>
      </c>
      <c r="O41" s="296">
        <f t="shared" si="2"/>
        <v>10.72911004</v>
      </c>
      <c r="P41" s="294">
        <f t="shared" si="3"/>
        <v>37.551885139999996</v>
      </c>
    </row>
    <row r="42" spans="1:16">
      <c r="A42" s="606">
        <v>40</v>
      </c>
      <c r="B42" s="607" t="s">
        <v>1375</v>
      </c>
      <c r="C42" s="616" t="s">
        <v>475</v>
      </c>
      <c r="D42" s="254">
        <v>1003111148147</v>
      </c>
      <c r="E42" s="280">
        <v>5960870</v>
      </c>
      <c r="F42" s="615">
        <v>499.8</v>
      </c>
      <c r="G42" s="610">
        <f t="shared" si="5"/>
        <v>36.885240000000003</v>
      </c>
      <c r="H42" s="615">
        <v>53.71</v>
      </c>
      <c r="I42" s="612">
        <f t="shared" si="6"/>
        <v>409.20476000000002</v>
      </c>
      <c r="J42" s="623" t="s">
        <v>13</v>
      </c>
      <c r="K42" s="615" t="s">
        <v>211</v>
      </c>
      <c r="L42" s="612">
        <f t="shared" si="4"/>
        <v>61.380713999999998</v>
      </c>
      <c r="M42" s="612">
        <f t="shared" si="0"/>
        <v>16.3681904</v>
      </c>
      <c r="N42" s="613">
        <f t="shared" si="1"/>
        <v>8.1840951999999998</v>
      </c>
      <c r="O42" s="613">
        <f t="shared" si="2"/>
        <v>8.1840951999999998</v>
      </c>
      <c r="P42" s="610">
        <f t="shared" si="3"/>
        <v>28.644333199999991</v>
      </c>
    </row>
    <row r="43" spans="1:16">
      <c r="A43" s="606">
        <v>41</v>
      </c>
      <c r="B43" s="607" t="s">
        <v>1376</v>
      </c>
      <c r="C43" s="616" t="s">
        <v>397</v>
      </c>
      <c r="D43" s="254">
        <v>1003111145438</v>
      </c>
      <c r="E43" s="280">
        <v>5962575</v>
      </c>
      <c r="F43" s="615">
        <v>527.91</v>
      </c>
      <c r="G43" s="610">
        <f t="shared" si="5"/>
        <v>38.959758000000001</v>
      </c>
      <c r="H43" s="615">
        <v>77.790000000000006</v>
      </c>
      <c r="I43" s="612">
        <f t="shared" si="6"/>
        <v>411.16024199999993</v>
      </c>
      <c r="J43" s="623" t="s">
        <v>16</v>
      </c>
      <c r="K43" s="615" t="s">
        <v>14</v>
      </c>
      <c r="L43" s="612">
        <f t="shared" si="4"/>
        <v>61.674036299999983</v>
      </c>
      <c r="M43" s="612">
        <f t="shared" si="0"/>
        <v>16.446409679999999</v>
      </c>
      <c r="N43" s="613">
        <f t="shared" si="1"/>
        <v>8.2232048399999993</v>
      </c>
      <c r="O43" s="613">
        <f t="shared" si="2"/>
        <v>8.2232048399999993</v>
      </c>
      <c r="P43" s="610">
        <f t="shared" si="3"/>
        <v>28.781216939999979</v>
      </c>
    </row>
    <row r="44" spans="1:16">
      <c r="A44" s="606">
        <v>42</v>
      </c>
      <c r="B44" s="607" t="s">
        <v>552</v>
      </c>
      <c r="C44" s="616" t="s">
        <v>469</v>
      </c>
      <c r="D44" s="254">
        <v>10031111135712</v>
      </c>
      <c r="E44" s="280">
        <v>5962059</v>
      </c>
      <c r="F44" s="615">
        <v>555.27</v>
      </c>
      <c r="G44" s="610">
        <f t="shared" si="5"/>
        <v>40.978926000000001</v>
      </c>
      <c r="H44" s="615">
        <v>0</v>
      </c>
      <c r="I44" s="612">
        <f t="shared" si="6"/>
        <v>514.29107399999998</v>
      </c>
      <c r="J44" s="623" t="s">
        <v>13</v>
      </c>
      <c r="K44" s="615" t="s">
        <v>79</v>
      </c>
      <c r="L44" s="612">
        <f t="shared" si="4"/>
        <v>77.143661099999989</v>
      </c>
      <c r="M44" s="612">
        <f t="shared" si="0"/>
        <v>20.571642959999998</v>
      </c>
      <c r="N44" s="613">
        <f t="shared" si="1"/>
        <v>10.285821479999999</v>
      </c>
      <c r="O44" s="613">
        <f t="shared" si="2"/>
        <v>10.285821479999999</v>
      </c>
      <c r="P44" s="610">
        <f t="shared" si="3"/>
        <v>36.000375179999992</v>
      </c>
    </row>
    <row r="45" spans="1:16">
      <c r="A45" s="606">
        <v>43</v>
      </c>
      <c r="B45" s="607" t="s">
        <v>1377</v>
      </c>
      <c r="C45" s="616" t="s">
        <v>29</v>
      </c>
      <c r="D45" s="281">
        <v>517720254243</v>
      </c>
      <c r="E45" s="280">
        <v>5965355</v>
      </c>
      <c r="F45" s="615">
        <v>511.92</v>
      </c>
      <c r="G45" s="610">
        <f t="shared" si="5"/>
        <v>37.779696000000001</v>
      </c>
      <c r="H45" s="615">
        <v>51.15</v>
      </c>
      <c r="I45" s="612">
        <f t="shared" si="6"/>
        <v>422.99030400000004</v>
      </c>
      <c r="J45" s="623" t="s">
        <v>16</v>
      </c>
      <c r="K45" s="615" t="s">
        <v>211</v>
      </c>
      <c r="L45" s="612">
        <f t="shared" si="4"/>
        <v>63.448545600000003</v>
      </c>
      <c r="M45" s="612">
        <f t="shared" si="0"/>
        <v>16.919612160000003</v>
      </c>
      <c r="N45" s="613">
        <f t="shared" si="1"/>
        <v>8.4598060800000017</v>
      </c>
      <c r="O45" s="613">
        <f t="shared" si="2"/>
        <v>8.4598060800000017</v>
      </c>
      <c r="P45" s="610">
        <f t="shared" si="3"/>
        <v>29.609321280000003</v>
      </c>
    </row>
    <row r="46" spans="1:16">
      <c r="A46" s="606">
        <v>44</v>
      </c>
      <c r="B46" s="607" t="s">
        <v>1378</v>
      </c>
      <c r="C46" s="616" t="s">
        <v>475</v>
      </c>
      <c r="D46" s="254">
        <v>10031111141831</v>
      </c>
      <c r="E46" s="280">
        <v>5965463</v>
      </c>
      <c r="F46" s="615">
        <v>517.87</v>
      </c>
      <c r="G46" s="610">
        <f t="shared" si="5"/>
        <v>38.218806000000001</v>
      </c>
      <c r="H46" s="615">
        <v>136.80000000000001</v>
      </c>
      <c r="I46" s="612">
        <f t="shared" si="6"/>
        <v>342.85119400000002</v>
      </c>
      <c r="J46" s="623" t="s">
        <v>13</v>
      </c>
      <c r="K46" s="615" t="s">
        <v>211</v>
      </c>
      <c r="L46" s="612">
        <f t="shared" si="4"/>
        <v>51.427679099999999</v>
      </c>
      <c r="M46" s="612">
        <f t="shared" si="0"/>
        <v>13.714047760000001</v>
      </c>
      <c r="N46" s="613">
        <f t="shared" si="1"/>
        <v>6.8570238800000007</v>
      </c>
      <c r="O46" s="613">
        <f t="shared" si="2"/>
        <v>6.8570238800000007</v>
      </c>
      <c r="P46" s="610">
        <f t="shared" si="3"/>
        <v>23.999583579999999</v>
      </c>
    </row>
    <row r="47" spans="1:16">
      <c r="A47" s="606">
        <v>45</v>
      </c>
      <c r="B47" s="607" t="s">
        <v>1379</v>
      </c>
      <c r="C47" s="616" t="s">
        <v>29</v>
      </c>
      <c r="D47" s="254">
        <v>2794238</v>
      </c>
      <c r="E47" s="280">
        <v>5936485</v>
      </c>
      <c r="F47" s="615">
        <v>946.36</v>
      </c>
      <c r="G47" s="610">
        <f t="shared" si="5"/>
        <v>69.841368000000003</v>
      </c>
      <c r="H47" s="615">
        <v>0</v>
      </c>
      <c r="I47" s="612">
        <f t="shared" si="6"/>
        <v>876.51863200000003</v>
      </c>
      <c r="J47" s="623" t="s">
        <v>13</v>
      </c>
      <c r="K47" s="615" t="s">
        <v>14</v>
      </c>
      <c r="L47" s="612">
        <f t="shared" si="4"/>
        <v>131.4777948</v>
      </c>
      <c r="M47" s="612">
        <f t="shared" si="0"/>
        <v>35.060745279999999</v>
      </c>
      <c r="N47" s="613">
        <f t="shared" si="1"/>
        <v>17.53037264</v>
      </c>
      <c r="O47" s="613">
        <f t="shared" si="2"/>
        <v>17.53037264</v>
      </c>
      <c r="P47" s="610">
        <f t="shared" si="3"/>
        <v>61.356304240000014</v>
      </c>
    </row>
    <row r="48" spans="1:16">
      <c r="A48" s="606">
        <v>46</v>
      </c>
      <c r="B48" s="607" t="s">
        <v>1380</v>
      </c>
      <c r="C48" s="616" t="s">
        <v>559</v>
      </c>
      <c r="D48" s="254">
        <v>1311111111459</v>
      </c>
      <c r="E48" s="280">
        <v>5965511</v>
      </c>
      <c r="F48" s="615">
        <v>518.26</v>
      </c>
      <c r="G48" s="610">
        <f t="shared" si="5"/>
        <v>38.247588</v>
      </c>
      <c r="H48" s="615">
        <v>172.75</v>
      </c>
      <c r="I48" s="612">
        <f t="shared" si="6"/>
        <v>307.26241199999998</v>
      </c>
      <c r="J48" s="623" t="s">
        <v>13</v>
      </c>
      <c r="K48" s="615" t="s">
        <v>17</v>
      </c>
      <c r="L48" s="612">
        <f t="shared" si="4"/>
        <v>46.089361799999999</v>
      </c>
      <c r="M48" s="612">
        <f t="shared" si="0"/>
        <v>12.29049648</v>
      </c>
      <c r="N48" s="613">
        <f t="shared" si="1"/>
        <v>6.1452482399999999</v>
      </c>
      <c r="O48" s="613">
        <f t="shared" si="2"/>
        <v>6.1452482399999999</v>
      </c>
      <c r="P48" s="610">
        <f t="shared" si="3"/>
        <v>21.508368839999996</v>
      </c>
    </row>
    <row r="49" spans="1:16">
      <c r="A49" s="606">
        <v>47</v>
      </c>
      <c r="B49" s="607" t="s">
        <v>1381</v>
      </c>
      <c r="C49" s="616" t="s">
        <v>12</v>
      </c>
      <c r="D49" s="254">
        <v>1003111114292</v>
      </c>
      <c r="E49" s="280">
        <v>5965286</v>
      </c>
      <c r="F49" s="615">
        <v>609.27</v>
      </c>
      <c r="G49" s="610">
        <f t="shared" si="5"/>
        <v>44.964126</v>
      </c>
      <c r="H49" s="615">
        <v>65.47</v>
      </c>
      <c r="I49" s="612">
        <f t="shared" si="6"/>
        <v>498.83587399999999</v>
      </c>
      <c r="J49" s="623" t="s">
        <v>13</v>
      </c>
      <c r="K49" s="615" t="s">
        <v>1358</v>
      </c>
      <c r="L49" s="612">
        <f t="shared" si="4"/>
        <v>74.825381100000001</v>
      </c>
      <c r="M49" s="612">
        <f t="shared" si="0"/>
        <v>19.953434959999999</v>
      </c>
      <c r="N49" s="613">
        <f t="shared" si="1"/>
        <v>9.9767174799999996</v>
      </c>
      <c r="O49" s="613">
        <f t="shared" si="2"/>
        <v>9.9767174799999996</v>
      </c>
      <c r="P49" s="610">
        <f t="shared" si="3"/>
        <v>34.91851118000001</v>
      </c>
    </row>
    <row r="50" spans="1:16">
      <c r="A50" s="606">
        <v>48</v>
      </c>
      <c r="B50" s="607" t="s">
        <v>1382</v>
      </c>
      <c r="C50" s="616" t="s">
        <v>475</v>
      </c>
      <c r="D50" s="254">
        <v>2785255</v>
      </c>
      <c r="E50" s="280">
        <v>5945139</v>
      </c>
      <c r="F50" s="615">
        <v>556.96</v>
      </c>
      <c r="G50" s="610">
        <f t="shared" si="5"/>
        <v>41.103648000000007</v>
      </c>
      <c r="H50" s="615">
        <v>48.71</v>
      </c>
      <c r="I50" s="612">
        <f t="shared" si="6"/>
        <v>467.14635200000004</v>
      </c>
      <c r="J50" s="623" t="s">
        <v>16</v>
      </c>
      <c r="K50" s="615" t="s">
        <v>330</v>
      </c>
      <c r="L50" s="612">
        <f t="shared" si="4"/>
        <v>70.071952800000005</v>
      </c>
      <c r="M50" s="612">
        <f t="shared" si="0"/>
        <v>18.685854080000002</v>
      </c>
      <c r="N50" s="613">
        <f t="shared" si="1"/>
        <v>9.3429270400000011</v>
      </c>
      <c r="O50" s="613">
        <f t="shared" si="2"/>
        <v>9.3429270400000011</v>
      </c>
      <c r="P50" s="610">
        <f t="shared" si="3"/>
        <v>32.700244640000008</v>
      </c>
    </row>
    <row r="51" spans="1:16">
      <c r="A51" s="606">
        <v>49</v>
      </c>
      <c r="B51" s="607" t="s">
        <v>1383</v>
      </c>
      <c r="C51" s="616" t="s">
        <v>475</v>
      </c>
      <c r="D51" s="254">
        <v>3693712</v>
      </c>
      <c r="E51" s="280" t="s">
        <v>1384</v>
      </c>
      <c r="F51" s="615">
        <v>446.04</v>
      </c>
      <c r="G51" s="610">
        <f t="shared" si="5"/>
        <v>32.917752</v>
      </c>
      <c r="H51" s="615">
        <v>39.090000000000003</v>
      </c>
      <c r="I51" s="612">
        <f t="shared" si="6"/>
        <v>374.03224799999998</v>
      </c>
      <c r="J51" s="623" t="s">
        <v>16</v>
      </c>
      <c r="K51" s="615" t="s">
        <v>14</v>
      </c>
      <c r="L51" s="612">
        <f t="shared" si="4"/>
        <v>56.104837199999999</v>
      </c>
      <c r="M51" s="612">
        <f t="shared" si="0"/>
        <v>14.961289919999999</v>
      </c>
      <c r="N51" s="613">
        <f t="shared" si="1"/>
        <v>7.4806449599999993</v>
      </c>
      <c r="O51" s="613">
        <f t="shared" si="2"/>
        <v>7.4806449599999993</v>
      </c>
      <c r="P51" s="610">
        <f t="shared" si="3"/>
        <v>26.182257360000001</v>
      </c>
    </row>
    <row r="52" spans="1:16">
      <c r="A52" s="606">
        <v>50</v>
      </c>
      <c r="B52" s="339" t="s">
        <v>1385</v>
      </c>
      <c r="C52" s="327" t="s">
        <v>12</v>
      </c>
      <c r="D52" s="400">
        <v>1003111146751</v>
      </c>
      <c r="E52" s="401">
        <v>5973146</v>
      </c>
      <c r="F52" s="294">
        <v>655.97</v>
      </c>
      <c r="G52" s="294">
        <f t="shared" si="5"/>
        <v>48.410586000000002</v>
      </c>
      <c r="H52" s="294">
        <v>70.489999999999995</v>
      </c>
      <c r="I52" s="293">
        <f t="shared" si="6"/>
        <v>537.06941400000005</v>
      </c>
      <c r="J52" s="329" t="s">
        <v>13</v>
      </c>
      <c r="K52" s="294" t="s">
        <v>17</v>
      </c>
      <c r="L52" s="293">
        <f t="shared" si="4"/>
        <v>80.560412100000008</v>
      </c>
      <c r="M52" s="293">
        <f t="shared" si="0"/>
        <v>21.482776560000001</v>
      </c>
      <c r="N52" s="296">
        <f t="shared" si="1"/>
        <v>10.741388280000001</v>
      </c>
      <c r="O52" s="296">
        <f t="shared" si="2"/>
        <v>10.741388280000001</v>
      </c>
      <c r="P52" s="294">
        <f t="shared" si="3"/>
        <v>37.594858979999998</v>
      </c>
    </row>
    <row r="53" spans="1:16">
      <c r="A53" s="606">
        <v>51</v>
      </c>
      <c r="B53" s="607" t="s">
        <v>1386</v>
      </c>
      <c r="C53" s="616" t="s">
        <v>29</v>
      </c>
      <c r="D53" s="254">
        <v>1003111146305</v>
      </c>
      <c r="E53" s="280">
        <v>5958240</v>
      </c>
      <c r="F53" s="615">
        <v>724.31</v>
      </c>
      <c r="G53" s="610">
        <f t="shared" si="5"/>
        <v>53.454078000000003</v>
      </c>
      <c r="H53" s="615">
        <v>191.33</v>
      </c>
      <c r="I53" s="612">
        <f t="shared" si="6"/>
        <v>479.52592199999992</v>
      </c>
      <c r="J53" s="623" t="s">
        <v>13</v>
      </c>
      <c r="K53" s="615" t="s">
        <v>211</v>
      </c>
      <c r="L53" s="612">
        <f t="shared" si="4"/>
        <v>71.928888299999983</v>
      </c>
      <c r="M53" s="612">
        <f t="shared" si="0"/>
        <v>19.181036879999997</v>
      </c>
      <c r="N53" s="613">
        <f t="shared" si="1"/>
        <v>9.5905184399999985</v>
      </c>
      <c r="O53" s="613">
        <f t="shared" si="2"/>
        <v>9.5905184399999985</v>
      </c>
      <c r="P53" s="610">
        <f t="shared" si="3"/>
        <v>33.566814539999996</v>
      </c>
    </row>
    <row r="54" spans="1:16">
      <c r="A54" s="606">
        <v>52</v>
      </c>
      <c r="B54" s="407" t="s">
        <v>1387</v>
      </c>
      <c r="C54" s="327" t="s">
        <v>234</v>
      </c>
      <c r="D54" s="741">
        <v>1003111146104</v>
      </c>
      <c r="E54" s="401">
        <v>5954954</v>
      </c>
      <c r="F54" s="294">
        <v>567.1</v>
      </c>
      <c r="G54" s="294">
        <f t="shared" si="5"/>
        <v>41.851980000000005</v>
      </c>
      <c r="H54" s="294">
        <v>60.94</v>
      </c>
      <c r="I54" s="293">
        <f t="shared" si="6"/>
        <v>464.30802</v>
      </c>
      <c r="J54" s="329" t="s">
        <v>13</v>
      </c>
      <c r="K54" s="294" t="s">
        <v>216</v>
      </c>
      <c r="L54" s="293">
        <f t="shared" si="4"/>
        <v>69.646203</v>
      </c>
      <c r="M54" s="293">
        <f t="shared" si="0"/>
        <v>18.5723208</v>
      </c>
      <c r="N54" s="296">
        <f t="shared" si="1"/>
        <v>9.2861604</v>
      </c>
      <c r="O54" s="296">
        <f t="shared" si="2"/>
        <v>9.2861604</v>
      </c>
      <c r="P54" s="294">
        <f t="shared" si="3"/>
        <v>32.5015614</v>
      </c>
    </row>
    <row r="55" spans="1:16">
      <c r="A55" s="606">
        <v>53</v>
      </c>
      <c r="B55" s="607" t="s">
        <v>1388</v>
      </c>
      <c r="C55" s="616" t="s">
        <v>475</v>
      </c>
      <c r="D55" s="254">
        <v>1003111153132</v>
      </c>
      <c r="E55" s="280">
        <v>5974762</v>
      </c>
      <c r="F55" s="615">
        <v>496.13</v>
      </c>
      <c r="G55" s="610">
        <f t="shared" si="5"/>
        <v>36.614394000000004</v>
      </c>
      <c r="H55" s="615">
        <v>131.05000000000001</v>
      </c>
      <c r="I55" s="612">
        <f t="shared" si="6"/>
        <v>328.46560599999998</v>
      </c>
      <c r="J55" s="623" t="s">
        <v>13</v>
      </c>
      <c r="K55" s="615" t="s">
        <v>211</v>
      </c>
      <c r="L55" s="612">
        <f t="shared" si="4"/>
        <v>49.269840899999998</v>
      </c>
      <c r="M55" s="612">
        <f t="shared" si="0"/>
        <v>13.138624239999999</v>
      </c>
      <c r="N55" s="613">
        <f t="shared" si="1"/>
        <v>6.5693121199999993</v>
      </c>
      <c r="O55" s="613">
        <f t="shared" si="2"/>
        <v>6.5693121199999993</v>
      </c>
      <c r="P55" s="610">
        <f t="shared" si="3"/>
        <v>22.992592420000001</v>
      </c>
    </row>
    <row r="56" spans="1:16">
      <c r="A56" s="606">
        <v>54</v>
      </c>
      <c r="B56" s="339" t="s">
        <v>1389</v>
      </c>
      <c r="C56" s="327" t="s">
        <v>475</v>
      </c>
      <c r="D56" s="400">
        <v>517720254231</v>
      </c>
      <c r="E56" s="401">
        <v>5974594</v>
      </c>
      <c r="F56" s="294">
        <v>677.75</v>
      </c>
      <c r="G56" s="294">
        <f t="shared" si="5"/>
        <v>50.017950000000006</v>
      </c>
      <c r="H56" s="294">
        <v>169.44</v>
      </c>
      <c r="I56" s="293">
        <f t="shared" si="6"/>
        <v>458.29204999999996</v>
      </c>
      <c r="J56" s="329" t="s">
        <v>13</v>
      </c>
      <c r="K56" s="294" t="s">
        <v>211</v>
      </c>
      <c r="L56" s="293">
        <f t="shared" si="4"/>
        <v>68.743807499999988</v>
      </c>
      <c r="M56" s="293">
        <f t="shared" si="0"/>
        <v>18.331681999999997</v>
      </c>
      <c r="N56" s="296">
        <f t="shared" si="1"/>
        <v>9.1658409999999986</v>
      </c>
      <c r="O56" s="296">
        <f t="shared" si="2"/>
        <v>9.1658409999999986</v>
      </c>
      <c r="P56" s="294">
        <f t="shared" si="3"/>
        <v>32.080443499999987</v>
      </c>
    </row>
    <row r="57" spans="1:16">
      <c r="A57" s="606">
        <v>55</v>
      </c>
      <c r="B57" s="339" t="s">
        <v>1390</v>
      </c>
      <c r="C57" s="327" t="s">
        <v>475</v>
      </c>
      <c r="D57" s="400">
        <v>1003111153621</v>
      </c>
      <c r="E57" s="401">
        <v>5974699</v>
      </c>
      <c r="F57" s="294">
        <v>533.08000000000004</v>
      </c>
      <c r="G57" s="294">
        <f t="shared" si="5"/>
        <v>39.341304000000008</v>
      </c>
      <c r="H57" s="294">
        <v>140.81</v>
      </c>
      <c r="I57" s="293">
        <f t="shared" si="6"/>
        <v>352.928696</v>
      </c>
      <c r="J57" s="329" t="s">
        <v>16</v>
      </c>
      <c r="K57" s="294" t="s">
        <v>211</v>
      </c>
      <c r="L57" s="293">
        <f t="shared" si="4"/>
        <v>52.939304399999997</v>
      </c>
      <c r="M57" s="293">
        <f t="shared" si="0"/>
        <v>14.117147840000001</v>
      </c>
      <c r="N57" s="296">
        <f t="shared" si="1"/>
        <v>7.0585739200000006</v>
      </c>
      <c r="O57" s="296">
        <f t="shared" si="2"/>
        <v>7.0585739200000006</v>
      </c>
      <c r="P57" s="294">
        <f t="shared" si="3"/>
        <v>24.705008719999995</v>
      </c>
    </row>
    <row r="58" spans="1:16">
      <c r="A58" s="606">
        <v>56</v>
      </c>
      <c r="B58" s="607" t="s">
        <v>1391</v>
      </c>
      <c r="C58" s="616" t="s">
        <v>234</v>
      </c>
      <c r="D58" s="283">
        <v>1003111152784</v>
      </c>
      <c r="E58" s="280">
        <v>5976457</v>
      </c>
      <c r="F58" s="615">
        <v>591.42999999999995</v>
      </c>
      <c r="G58" s="610">
        <f t="shared" si="5"/>
        <v>43.647534</v>
      </c>
      <c r="H58" s="615">
        <v>295.72000000000003</v>
      </c>
      <c r="I58" s="612">
        <f t="shared" si="6"/>
        <v>252.06246599999997</v>
      </c>
      <c r="J58" s="623" t="s">
        <v>13</v>
      </c>
      <c r="K58" s="615" t="s">
        <v>50</v>
      </c>
      <c r="L58" s="612">
        <f t="shared" si="4"/>
        <v>37.809369899999993</v>
      </c>
      <c r="M58" s="612">
        <f t="shared" si="0"/>
        <v>10.082498639999999</v>
      </c>
      <c r="N58" s="613">
        <f t="shared" si="1"/>
        <v>5.0412493199999995</v>
      </c>
      <c r="O58" s="613">
        <f t="shared" si="2"/>
        <v>5.0412493199999995</v>
      </c>
      <c r="P58" s="610">
        <f t="shared" si="3"/>
        <v>17.644372619999999</v>
      </c>
    </row>
    <row r="59" spans="1:16">
      <c r="A59" s="606">
        <v>57</v>
      </c>
      <c r="B59" s="339" t="s">
        <v>1316</v>
      </c>
      <c r="C59" s="327" t="s">
        <v>29</v>
      </c>
      <c r="D59" s="643">
        <v>1003111152470</v>
      </c>
      <c r="E59" s="401">
        <v>5975412</v>
      </c>
      <c r="F59" s="294">
        <v>955.5</v>
      </c>
      <c r="G59" s="294">
        <f t="shared" si="5"/>
        <v>70.515900000000002</v>
      </c>
      <c r="H59" s="294">
        <v>94.66</v>
      </c>
      <c r="I59" s="293">
        <f t="shared" si="6"/>
        <v>790.32410000000004</v>
      </c>
      <c r="J59" s="329" t="s">
        <v>13</v>
      </c>
      <c r="K59" s="294" t="s">
        <v>14</v>
      </c>
      <c r="L59" s="293">
        <f t="shared" si="4"/>
        <v>118.548615</v>
      </c>
      <c r="M59" s="293">
        <f t="shared" si="0"/>
        <v>31.612964000000002</v>
      </c>
      <c r="N59" s="296">
        <f t="shared" si="1"/>
        <v>15.806482000000001</v>
      </c>
      <c r="O59" s="296">
        <f t="shared" si="2"/>
        <v>15.806482000000001</v>
      </c>
      <c r="P59" s="294">
        <f t="shared" si="3"/>
        <v>55.322686999999988</v>
      </c>
    </row>
    <row r="60" spans="1:16">
      <c r="A60" s="606">
        <v>58</v>
      </c>
      <c r="B60" s="339" t="s">
        <v>1392</v>
      </c>
      <c r="C60" s="327" t="s">
        <v>475</v>
      </c>
      <c r="D60" s="400">
        <v>1003111152173</v>
      </c>
      <c r="E60" s="401">
        <v>5936302</v>
      </c>
      <c r="F60" s="294">
        <v>494.77</v>
      </c>
      <c r="G60" s="294">
        <f t="shared" si="5"/>
        <v>36.514026000000001</v>
      </c>
      <c r="H60" s="294">
        <v>130.69999999999999</v>
      </c>
      <c r="I60" s="293">
        <f t="shared" si="6"/>
        <v>327.55597399999999</v>
      </c>
      <c r="J60" s="329" t="s">
        <v>13</v>
      </c>
      <c r="K60" s="294" t="s">
        <v>33</v>
      </c>
      <c r="L60" s="293">
        <f t="shared" si="4"/>
        <v>49.133396099999999</v>
      </c>
      <c r="M60" s="293">
        <f t="shared" si="0"/>
        <v>13.102238959999999</v>
      </c>
      <c r="N60" s="296">
        <f t="shared" si="1"/>
        <v>6.5511194799999997</v>
      </c>
      <c r="O60" s="296">
        <f t="shared" si="2"/>
        <v>6.5511194799999997</v>
      </c>
      <c r="P60" s="294">
        <f t="shared" si="3"/>
        <v>22.928918179999997</v>
      </c>
    </row>
    <row r="61" spans="1:16">
      <c r="A61" s="606">
        <v>59</v>
      </c>
      <c r="B61" s="607" t="s">
        <v>1393</v>
      </c>
      <c r="C61" s="616" t="s">
        <v>475</v>
      </c>
      <c r="D61" s="254">
        <v>1003111152010</v>
      </c>
      <c r="E61" s="280">
        <v>5937120</v>
      </c>
      <c r="F61" s="615">
        <v>530.75</v>
      </c>
      <c r="G61" s="610">
        <f t="shared" si="5"/>
        <v>39.169350000000001</v>
      </c>
      <c r="H61" s="615">
        <v>65.459999999999994</v>
      </c>
      <c r="I61" s="612">
        <f t="shared" si="6"/>
        <v>426.12065000000001</v>
      </c>
      <c r="J61" s="623" t="s">
        <v>13</v>
      </c>
      <c r="K61" s="615" t="s">
        <v>266</v>
      </c>
      <c r="L61" s="612">
        <f t="shared" si="4"/>
        <v>63.918097500000002</v>
      </c>
      <c r="M61" s="612">
        <f t="shared" si="0"/>
        <v>17.044826</v>
      </c>
      <c r="N61" s="613">
        <f t="shared" si="1"/>
        <v>8.5224130000000002</v>
      </c>
      <c r="O61" s="613">
        <f t="shared" si="2"/>
        <v>8.5224130000000002</v>
      </c>
      <c r="P61" s="610">
        <f t="shared" si="3"/>
        <v>29.828445500000001</v>
      </c>
    </row>
    <row r="62" spans="1:16">
      <c r="A62" s="606">
        <v>60</v>
      </c>
      <c r="B62" s="339" t="s">
        <v>1394</v>
      </c>
      <c r="C62" s="327" t="s">
        <v>475</v>
      </c>
      <c r="D62" s="400">
        <v>2028306671</v>
      </c>
      <c r="E62" s="401">
        <v>5936358</v>
      </c>
      <c r="F62" s="294">
        <v>459.7</v>
      </c>
      <c r="G62" s="294">
        <f t="shared" si="5"/>
        <v>33.92586</v>
      </c>
      <c r="H62" s="294">
        <v>123.59</v>
      </c>
      <c r="I62" s="293">
        <f t="shared" si="6"/>
        <v>302.18413999999996</v>
      </c>
      <c r="J62" s="329" t="s">
        <v>13</v>
      </c>
      <c r="K62" s="294" t="s">
        <v>211</v>
      </c>
      <c r="L62" s="293">
        <f t="shared" si="4"/>
        <v>45.327620999999994</v>
      </c>
      <c r="M62" s="293">
        <f t="shared" si="0"/>
        <v>12.087365599999998</v>
      </c>
      <c r="N62" s="296">
        <f t="shared" si="1"/>
        <v>6.0436827999999991</v>
      </c>
      <c r="O62" s="296">
        <f t="shared" si="2"/>
        <v>6.0436827999999991</v>
      </c>
      <c r="P62" s="294">
        <f t="shared" si="3"/>
        <v>21.152889799999997</v>
      </c>
    </row>
    <row r="63" spans="1:16">
      <c r="A63" s="606">
        <v>61</v>
      </c>
      <c r="B63" s="607" t="s">
        <v>1395</v>
      </c>
      <c r="C63" s="616" t="s">
        <v>475</v>
      </c>
      <c r="D63" s="254">
        <v>1003111158867</v>
      </c>
      <c r="E63" s="280">
        <v>5979632</v>
      </c>
      <c r="F63" s="615">
        <v>517</v>
      </c>
      <c r="G63" s="610">
        <f t="shared" si="5"/>
        <v>38.154600000000002</v>
      </c>
      <c r="H63" s="615">
        <v>63.77</v>
      </c>
      <c r="I63" s="612">
        <f t="shared" si="6"/>
        <v>415.0754</v>
      </c>
      <c r="J63" s="623" t="s">
        <v>13</v>
      </c>
      <c r="K63" s="615" t="s">
        <v>216</v>
      </c>
      <c r="L63" s="612">
        <f t="shared" si="4"/>
        <v>62.261309999999995</v>
      </c>
      <c r="M63" s="612">
        <f t="shared" si="0"/>
        <v>16.603016</v>
      </c>
      <c r="N63" s="613">
        <f t="shared" si="1"/>
        <v>8.3015080000000001</v>
      </c>
      <c r="O63" s="613">
        <f t="shared" si="2"/>
        <v>8.3015080000000001</v>
      </c>
      <c r="P63" s="610">
        <f t="shared" si="3"/>
        <v>29.055278000000001</v>
      </c>
    </row>
    <row r="64" spans="1:16">
      <c r="A64" s="606">
        <v>62</v>
      </c>
      <c r="B64" s="607" t="s">
        <v>1396</v>
      </c>
      <c r="C64" s="616" t="s">
        <v>475</v>
      </c>
      <c r="D64" s="282">
        <v>10031111557860</v>
      </c>
      <c r="E64" s="280">
        <v>5963816</v>
      </c>
      <c r="F64" s="615">
        <v>490.59</v>
      </c>
      <c r="G64" s="610">
        <f t="shared" si="5"/>
        <v>36.205542000000001</v>
      </c>
      <c r="H64" s="615">
        <v>130.13999999999999</v>
      </c>
      <c r="I64" s="612">
        <f t="shared" si="6"/>
        <v>324.24445800000001</v>
      </c>
      <c r="J64" s="623" t="s">
        <v>13</v>
      </c>
      <c r="K64" s="615" t="s">
        <v>211</v>
      </c>
      <c r="L64" s="612">
        <f t="shared" si="4"/>
        <v>48.636668700000001</v>
      </c>
      <c r="M64" s="612">
        <f t="shared" si="0"/>
        <v>12.969778320000001</v>
      </c>
      <c r="N64" s="613">
        <f t="shared" si="1"/>
        <v>6.4848891600000007</v>
      </c>
      <c r="O64" s="613">
        <f t="shared" si="2"/>
        <v>6.4848891600000007</v>
      </c>
      <c r="P64" s="610">
        <f t="shared" si="3"/>
        <v>22.697112059999995</v>
      </c>
    </row>
    <row r="65" spans="1:16">
      <c r="A65" s="606">
        <v>63</v>
      </c>
      <c r="B65" s="607" t="s">
        <v>1396</v>
      </c>
      <c r="C65" s="616" t="s">
        <v>29</v>
      </c>
      <c r="D65" s="437">
        <v>1003111115730</v>
      </c>
      <c r="E65" s="280">
        <v>5963218</v>
      </c>
      <c r="F65" s="615">
        <v>561.84</v>
      </c>
      <c r="G65" s="610">
        <f t="shared" si="5"/>
        <v>41.463792000000005</v>
      </c>
      <c r="H65" s="615">
        <v>152.97</v>
      </c>
      <c r="I65" s="612">
        <f t="shared" si="6"/>
        <v>367.40620799999999</v>
      </c>
      <c r="J65" s="623" t="s">
        <v>13</v>
      </c>
      <c r="K65" s="615" t="s">
        <v>211</v>
      </c>
      <c r="L65" s="612">
        <f t="shared" si="4"/>
        <v>55.110931199999996</v>
      </c>
      <c r="M65" s="612">
        <f t="shared" si="0"/>
        <v>14.69624832</v>
      </c>
      <c r="N65" s="613">
        <f t="shared" si="1"/>
        <v>7.3481241600000002</v>
      </c>
      <c r="O65" s="613">
        <f t="shared" si="2"/>
        <v>7.3481241600000002</v>
      </c>
      <c r="P65" s="610">
        <f t="shared" si="3"/>
        <v>25.718434559999995</v>
      </c>
    </row>
    <row r="66" spans="1:16">
      <c r="A66" s="606">
        <v>64</v>
      </c>
      <c r="B66" s="607" t="s">
        <v>1397</v>
      </c>
      <c r="C66" s="616" t="s">
        <v>29</v>
      </c>
      <c r="D66" s="254">
        <v>36962693</v>
      </c>
      <c r="E66" s="280">
        <v>5954282</v>
      </c>
      <c r="F66" s="615">
        <v>702.69</v>
      </c>
      <c r="G66" s="610">
        <f t="shared" si="5"/>
        <v>51.858522000000008</v>
      </c>
      <c r="H66" s="615">
        <v>175.63</v>
      </c>
      <c r="I66" s="612">
        <f t="shared" si="6"/>
        <v>475.20147800000007</v>
      </c>
      <c r="J66" s="623" t="s">
        <v>13</v>
      </c>
      <c r="K66" s="615" t="s">
        <v>211</v>
      </c>
      <c r="L66" s="612">
        <f t="shared" si="4"/>
        <v>71.280221700000013</v>
      </c>
      <c r="M66" s="612">
        <f t="shared" si="0"/>
        <v>19.008059120000002</v>
      </c>
      <c r="N66" s="613">
        <f t="shared" si="1"/>
        <v>9.5040295600000011</v>
      </c>
      <c r="O66" s="613">
        <f t="shared" si="2"/>
        <v>9.5040295600000011</v>
      </c>
      <c r="P66" s="610">
        <f t="shared" si="3"/>
        <v>33.264103460000015</v>
      </c>
    </row>
    <row r="67" spans="1:16">
      <c r="A67" s="606">
        <v>65</v>
      </c>
      <c r="B67" s="339" t="s">
        <v>1398</v>
      </c>
      <c r="C67" s="327" t="s">
        <v>475</v>
      </c>
      <c r="D67" s="400">
        <v>1003111191118</v>
      </c>
      <c r="E67" s="401">
        <v>5938438</v>
      </c>
      <c r="F67" s="294">
        <v>533.04999999999995</v>
      </c>
      <c r="G67" s="294">
        <f t="shared" si="5"/>
        <v>39.339089999999999</v>
      </c>
      <c r="H67" s="294">
        <v>66</v>
      </c>
      <c r="I67" s="293">
        <f t="shared" si="6"/>
        <v>427.71090999999996</v>
      </c>
      <c r="J67" s="329" t="s">
        <v>13</v>
      </c>
      <c r="K67" s="294" t="s">
        <v>216</v>
      </c>
      <c r="L67" s="293">
        <f t="shared" si="4"/>
        <v>64.156636499999991</v>
      </c>
      <c r="M67" s="293">
        <f t="shared" ref="M67:M149" si="7">I67*4%</f>
        <v>17.108436399999999</v>
      </c>
      <c r="N67" s="296">
        <f t="shared" ref="N67:N149" si="8">I67*2%</f>
        <v>8.5542181999999993</v>
      </c>
      <c r="O67" s="296">
        <f t="shared" ref="O67:O149" si="9">I67*2%</f>
        <v>8.5542181999999993</v>
      </c>
      <c r="P67" s="294">
        <f t="shared" ref="P67:P149" si="10">L67-M67-N67-O67</f>
        <v>29.939763699999986</v>
      </c>
    </row>
    <row r="68" spans="1:16">
      <c r="A68" s="606">
        <v>66</v>
      </c>
      <c r="B68" s="607" t="s">
        <v>1399</v>
      </c>
      <c r="C68" s="616" t="s">
        <v>29</v>
      </c>
      <c r="D68" s="254">
        <v>1003111164082</v>
      </c>
      <c r="E68" s="280">
        <v>5982199</v>
      </c>
      <c r="F68" s="615">
        <v>712.23</v>
      </c>
      <c r="G68" s="635">
        <f t="shared" si="5"/>
        <v>52.562574000000005</v>
      </c>
      <c r="H68" s="615">
        <v>237.41</v>
      </c>
      <c r="I68" s="636">
        <f t="shared" si="6"/>
        <v>422.25742600000001</v>
      </c>
      <c r="J68" s="623" t="s">
        <v>16</v>
      </c>
      <c r="K68" s="615" t="s">
        <v>14</v>
      </c>
      <c r="L68" s="612">
        <f t="shared" ref="L68:L149" si="11">I68*15%</f>
        <v>63.338613899999999</v>
      </c>
      <c r="M68" s="612">
        <f t="shared" si="7"/>
        <v>16.89029704</v>
      </c>
      <c r="N68" s="634">
        <f t="shared" si="8"/>
        <v>8.44514852</v>
      </c>
      <c r="O68" s="634">
        <f t="shared" si="9"/>
        <v>8.44514852</v>
      </c>
      <c r="P68" s="635">
        <f t="shared" si="10"/>
        <v>29.558019820000002</v>
      </c>
    </row>
    <row r="69" spans="1:16">
      <c r="A69" s="606">
        <v>67</v>
      </c>
      <c r="B69" s="339" t="s">
        <v>1400</v>
      </c>
      <c r="C69" s="327" t="s">
        <v>173</v>
      </c>
      <c r="D69" s="400">
        <v>1003111165574</v>
      </c>
      <c r="E69" s="401">
        <v>5981659</v>
      </c>
      <c r="F69" s="294">
        <v>545.11</v>
      </c>
      <c r="G69" s="294">
        <f t="shared" ref="G69:G149" si="12">F69*7.38%</f>
        <v>40.229118000000007</v>
      </c>
      <c r="H69" s="294">
        <v>58.57</v>
      </c>
      <c r="I69" s="293">
        <f t="shared" ref="I69:I149" si="13">F69-G69-H69</f>
        <v>446.31088199999999</v>
      </c>
      <c r="J69" s="329" t="s">
        <v>13</v>
      </c>
      <c r="K69" s="294" t="s">
        <v>36</v>
      </c>
      <c r="L69" s="293">
        <f t="shared" si="11"/>
        <v>66.94663229999999</v>
      </c>
      <c r="M69" s="293">
        <f t="shared" si="7"/>
        <v>17.852435280000002</v>
      </c>
      <c r="N69" s="296">
        <f t="shared" si="8"/>
        <v>8.9262176400000008</v>
      </c>
      <c r="O69" s="296">
        <f t="shared" si="9"/>
        <v>8.9262176400000008</v>
      </c>
      <c r="P69" s="294">
        <f t="shared" si="10"/>
        <v>31.241761739999991</v>
      </c>
    </row>
    <row r="70" spans="1:16">
      <c r="A70" s="606">
        <v>68</v>
      </c>
      <c r="B70" s="607" t="s">
        <v>1401</v>
      </c>
      <c r="C70" s="616" t="s">
        <v>475</v>
      </c>
      <c r="D70" s="254">
        <v>51772025423</v>
      </c>
      <c r="E70" s="280">
        <v>5981173</v>
      </c>
      <c r="F70" s="615">
        <v>551.88</v>
      </c>
      <c r="G70" s="610">
        <f t="shared" si="12"/>
        <v>40.728743999999999</v>
      </c>
      <c r="H70" s="615">
        <v>137.97</v>
      </c>
      <c r="I70" s="612">
        <f t="shared" si="13"/>
        <v>373.18125599999996</v>
      </c>
      <c r="J70" s="623" t="s">
        <v>13</v>
      </c>
      <c r="K70" s="615" t="s">
        <v>23</v>
      </c>
      <c r="L70" s="612">
        <f t="shared" si="11"/>
        <v>55.977188399999996</v>
      </c>
      <c r="M70" s="612">
        <f t="shared" si="7"/>
        <v>14.927250239999999</v>
      </c>
      <c r="N70" s="613">
        <f t="shared" si="8"/>
        <v>7.4636251199999997</v>
      </c>
      <c r="O70" s="613">
        <f t="shared" si="9"/>
        <v>7.4636251199999997</v>
      </c>
      <c r="P70" s="610">
        <f t="shared" si="10"/>
        <v>26.122687919999994</v>
      </c>
    </row>
    <row r="71" spans="1:16">
      <c r="A71" s="606">
        <v>69</v>
      </c>
      <c r="B71" s="607" t="s">
        <v>1402</v>
      </c>
      <c r="C71" s="616" t="s">
        <v>475</v>
      </c>
      <c r="D71" s="254">
        <v>10031111161649</v>
      </c>
      <c r="E71" s="280">
        <v>5981459</v>
      </c>
      <c r="F71" s="615">
        <v>563.16999999999996</v>
      </c>
      <c r="G71" s="610">
        <f t="shared" si="12"/>
        <v>41.561945999999999</v>
      </c>
      <c r="H71" s="615">
        <v>69.459999999999994</v>
      </c>
      <c r="I71" s="612">
        <f t="shared" si="13"/>
        <v>452.14805399999995</v>
      </c>
      <c r="J71" s="623" t="s">
        <v>16</v>
      </c>
      <c r="K71" s="615" t="s">
        <v>51</v>
      </c>
      <c r="L71" s="612">
        <f t="shared" si="11"/>
        <v>67.822208099999983</v>
      </c>
      <c r="M71" s="612">
        <f t="shared" si="7"/>
        <v>18.085922159999999</v>
      </c>
      <c r="N71" s="613">
        <f t="shared" si="8"/>
        <v>9.0429610799999995</v>
      </c>
      <c r="O71" s="613">
        <f t="shared" si="9"/>
        <v>9.0429610799999995</v>
      </c>
      <c r="P71" s="610">
        <f t="shared" si="10"/>
        <v>31.650363779999992</v>
      </c>
    </row>
    <row r="72" spans="1:16">
      <c r="A72" s="606">
        <v>70</v>
      </c>
      <c r="B72" s="607" t="s">
        <v>1403</v>
      </c>
      <c r="C72" s="616" t="s">
        <v>475</v>
      </c>
      <c r="D72" s="254">
        <v>10031111160864</v>
      </c>
      <c r="E72" s="280">
        <v>5975483</v>
      </c>
      <c r="F72" s="615">
        <v>510.81</v>
      </c>
      <c r="G72" s="610">
        <f t="shared" si="12"/>
        <v>37.697778</v>
      </c>
      <c r="H72" s="615">
        <v>63.25</v>
      </c>
      <c r="I72" s="612">
        <f t="shared" si="13"/>
        <v>409.86222199999997</v>
      </c>
      <c r="J72" s="623" t="s">
        <v>13</v>
      </c>
      <c r="K72" s="615" t="s">
        <v>211</v>
      </c>
      <c r="L72" s="612">
        <f t="shared" si="11"/>
        <v>61.479333299999993</v>
      </c>
      <c r="M72" s="612">
        <f t="shared" si="7"/>
        <v>16.394488880000001</v>
      </c>
      <c r="N72" s="613">
        <f t="shared" si="8"/>
        <v>8.1972444400000004</v>
      </c>
      <c r="O72" s="613">
        <f t="shared" si="9"/>
        <v>8.1972444400000004</v>
      </c>
      <c r="P72" s="610">
        <f t="shared" si="10"/>
        <v>28.690355539999999</v>
      </c>
    </row>
    <row r="73" spans="1:16">
      <c r="A73" s="606">
        <v>71</v>
      </c>
      <c r="B73" s="339" t="s">
        <v>1404</v>
      </c>
      <c r="C73" s="327" t="s">
        <v>12</v>
      </c>
      <c r="D73" s="401">
        <v>10031111168506</v>
      </c>
      <c r="E73" s="401">
        <v>5984049</v>
      </c>
      <c r="F73" s="294">
        <v>689.51</v>
      </c>
      <c r="G73" s="294">
        <f t="shared" si="12"/>
        <v>50.885838</v>
      </c>
      <c r="H73" s="294">
        <v>74.09</v>
      </c>
      <c r="I73" s="293">
        <f t="shared" si="13"/>
        <v>564.53416199999992</v>
      </c>
      <c r="J73" s="329" t="s">
        <v>13</v>
      </c>
      <c r="K73" s="294" t="s">
        <v>14</v>
      </c>
      <c r="L73" s="293">
        <f t="shared" si="11"/>
        <v>84.680124299999989</v>
      </c>
      <c r="M73" s="293">
        <f t="shared" si="7"/>
        <v>22.581366479999996</v>
      </c>
      <c r="N73" s="296">
        <f t="shared" si="8"/>
        <v>11.290683239999998</v>
      </c>
      <c r="O73" s="296">
        <f t="shared" si="9"/>
        <v>11.290683239999998</v>
      </c>
      <c r="P73" s="294">
        <f t="shared" si="10"/>
        <v>39.517391339999989</v>
      </c>
    </row>
    <row r="74" spans="1:16">
      <c r="A74" s="606">
        <v>72</v>
      </c>
      <c r="B74" s="607" t="s">
        <v>1405</v>
      </c>
      <c r="C74" s="616" t="s">
        <v>29</v>
      </c>
      <c r="D74" s="254">
        <v>1003111167309</v>
      </c>
      <c r="E74" s="280">
        <v>5984006</v>
      </c>
      <c r="F74" s="615">
        <v>836.08</v>
      </c>
      <c r="G74" s="610">
        <f t="shared" si="12"/>
        <v>61.702704000000004</v>
      </c>
      <c r="H74" s="615">
        <v>89.84</v>
      </c>
      <c r="I74" s="612">
        <f t="shared" si="13"/>
        <v>684.53729599999997</v>
      </c>
      <c r="J74" s="623" t="s">
        <v>13</v>
      </c>
      <c r="K74" s="615" t="s">
        <v>14</v>
      </c>
      <c r="L74" s="612">
        <f t="shared" si="11"/>
        <v>102.68059439999999</v>
      </c>
      <c r="M74" s="612">
        <f t="shared" si="7"/>
        <v>27.381491839999999</v>
      </c>
      <c r="N74" s="613">
        <f t="shared" si="8"/>
        <v>13.690745919999999</v>
      </c>
      <c r="O74" s="613">
        <f t="shared" si="9"/>
        <v>13.690745919999999</v>
      </c>
      <c r="P74" s="610">
        <f t="shared" si="10"/>
        <v>47.917610719999999</v>
      </c>
    </row>
    <row r="75" spans="1:16">
      <c r="A75" s="606">
        <v>73</v>
      </c>
      <c r="B75" s="607" t="s">
        <v>1406</v>
      </c>
      <c r="C75" s="616" t="s">
        <v>29</v>
      </c>
      <c r="D75" s="482">
        <v>1003111166139</v>
      </c>
      <c r="E75" s="280">
        <v>5984636</v>
      </c>
      <c r="F75" s="615">
        <v>705.67</v>
      </c>
      <c r="G75" s="610">
        <f t="shared" si="12"/>
        <v>52.078446</v>
      </c>
      <c r="H75" s="615">
        <v>186.41</v>
      </c>
      <c r="I75" s="612">
        <f t="shared" si="13"/>
        <v>467.18155400000001</v>
      </c>
      <c r="J75" s="623" t="s">
        <v>13</v>
      </c>
      <c r="K75" s="615" t="s">
        <v>17</v>
      </c>
      <c r="L75" s="612">
        <f t="shared" si="11"/>
        <v>70.077233100000001</v>
      </c>
      <c r="M75" s="612">
        <f t="shared" si="7"/>
        <v>18.68726216</v>
      </c>
      <c r="N75" s="613">
        <f t="shared" si="8"/>
        <v>9.3436310799999998</v>
      </c>
      <c r="O75" s="613">
        <f t="shared" si="9"/>
        <v>9.3436310799999998</v>
      </c>
      <c r="P75" s="610">
        <f t="shared" si="10"/>
        <v>32.702708779999995</v>
      </c>
    </row>
    <row r="76" spans="1:16">
      <c r="A76" s="606">
        <v>74</v>
      </c>
      <c r="B76" s="339" t="s">
        <v>1407</v>
      </c>
      <c r="C76" s="327" t="s">
        <v>475</v>
      </c>
      <c r="D76" s="400">
        <v>100311117725</v>
      </c>
      <c r="E76" s="401">
        <v>5963060</v>
      </c>
      <c r="F76" s="294">
        <v>604.67999999999995</v>
      </c>
      <c r="G76" s="294">
        <f t="shared" si="12"/>
        <v>44.625383999999997</v>
      </c>
      <c r="H76" s="294">
        <v>64.97</v>
      </c>
      <c r="I76" s="293">
        <f t="shared" si="13"/>
        <v>495.08461599999987</v>
      </c>
      <c r="J76" s="329" t="s">
        <v>13</v>
      </c>
      <c r="K76" s="294" t="s">
        <v>211</v>
      </c>
      <c r="L76" s="293">
        <f t="shared" si="11"/>
        <v>74.262692399999978</v>
      </c>
      <c r="M76" s="293">
        <f t="shared" si="7"/>
        <v>19.803384639999994</v>
      </c>
      <c r="N76" s="296">
        <f t="shared" si="8"/>
        <v>9.9016923199999969</v>
      </c>
      <c r="O76" s="296">
        <f t="shared" si="9"/>
        <v>9.9016923199999969</v>
      </c>
      <c r="P76" s="294">
        <f t="shared" si="10"/>
        <v>34.655923119999997</v>
      </c>
    </row>
    <row r="77" spans="1:16">
      <c r="A77" s="606">
        <v>75</v>
      </c>
      <c r="B77" s="607" t="s">
        <v>1408</v>
      </c>
      <c r="C77" s="616" t="s">
        <v>173</v>
      </c>
      <c r="D77" s="254">
        <v>1003111171808</v>
      </c>
      <c r="E77" s="280" t="s">
        <v>1409</v>
      </c>
      <c r="F77" s="615">
        <v>465.91</v>
      </c>
      <c r="G77" s="610">
        <f t="shared" si="12"/>
        <v>34.384158000000006</v>
      </c>
      <c r="H77" s="615">
        <v>49.72</v>
      </c>
      <c r="I77" s="612">
        <f t="shared" si="13"/>
        <v>381.80584199999998</v>
      </c>
      <c r="J77" s="623" t="s">
        <v>16</v>
      </c>
      <c r="K77" s="615" t="s">
        <v>1410</v>
      </c>
      <c r="L77" s="612">
        <f t="shared" si="11"/>
        <v>57.270876299999998</v>
      </c>
      <c r="M77" s="612">
        <f t="shared" si="7"/>
        <v>15.272233679999999</v>
      </c>
      <c r="N77" s="613">
        <f t="shared" si="8"/>
        <v>7.6361168399999997</v>
      </c>
      <c r="O77" s="613">
        <f t="shared" si="9"/>
        <v>7.6361168399999997</v>
      </c>
      <c r="P77" s="610">
        <f t="shared" si="10"/>
        <v>26.726408939999999</v>
      </c>
    </row>
    <row r="78" spans="1:16">
      <c r="A78" s="606">
        <v>76</v>
      </c>
      <c r="B78" s="339" t="s">
        <v>1411</v>
      </c>
      <c r="C78" s="327" t="s">
        <v>475</v>
      </c>
      <c r="D78" s="400">
        <v>1003111171716</v>
      </c>
      <c r="E78" s="401">
        <v>5954489</v>
      </c>
      <c r="F78" s="294">
        <v>552.24</v>
      </c>
      <c r="G78" s="294">
        <f t="shared" si="12"/>
        <v>40.755312000000004</v>
      </c>
      <c r="H78" s="294">
        <v>145.88</v>
      </c>
      <c r="I78" s="293">
        <f t="shared" si="13"/>
        <v>365.60468800000001</v>
      </c>
      <c r="J78" s="329" t="s">
        <v>13</v>
      </c>
      <c r="K78" s="294" t="s">
        <v>53</v>
      </c>
      <c r="L78" s="293">
        <f t="shared" si="11"/>
        <v>54.8407032</v>
      </c>
      <c r="M78" s="293">
        <f t="shared" si="7"/>
        <v>14.624187520000001</v>
      </c>
      <c r="N78" s="296">
        <f t="shared" si="8"/>
        <v>7.3120937600000007</v>
      </c>
      <c r="O78" s="296">
        <f t="shared" si="9"/>
        <v>7.3120937600000007</v>
      </c>
      <c r="P78" s="294">
        <f t="shared" si="10"/>
        <v>25.592328159999997</v>
      </c>
    </row>
    <row r="79" spans="1:16">
      <c r="A79" s="606">
        <v>77</v>
      </c>
      <c r="B79" s="339" t="s">
        <v>1412</v>
      </c>
      <c r="C79" s="327" t="s">
        <v>475</v>
      </c>
      <c r="D79" s="400">
        <v>1003111175511</v>
      </c>
      <c r="E79" s="401">
        <v>5954539</v>
      </c>
      <c r="F79" s="294">
        <v>557.21</v>
      </c>
      <c r="G79" s="294">
        <f t="shared" si="12"/>
        <v>41.122098000000008</v>
      </c>
      <c r="H79" s="294">
        <v>147.19</v>
      </c>
      <c r="I79" s="293">
        <f t="shared" si="13"/>
        <v>368.89790199999999</v>
      </c>
      <c r="J79" s="329" t="s">
        <v>13</v>
      </c>
      <c r="K79" s="294" t="s">
        <v>53</v>
      </c>
      <c r="L79" s="293">
        <f t="shared" si="11"/>
        <v>55.334685299999997</v>
      </c>
      <c r="M79" s="293">
        <f t="shared" si="7"/>
        <v>14.75591608</v>
      </c>
      <c r="N79" s="296">
        <f t="shared" si="8"/>
        <v>7.3779580400000002</v>
      </c>
      <c r="O79" s="296">
        <f t="shared" si="9"/>
        <v>7.3779580400000002</v>
      </c>
      <c r="P79" s="294">
        <f t="shared" si="10"/>
        <v>25.822853139999996</v>
      </c>
    </row>
    <row r="80" spans="1:16">
      <c r="A80" s="606">
        <v>78</v>
      </c>
      <c r="B80" s="339" t="s">
        <v>1413</v>
      </c>
      <c r="C80" s="327" t="s">
        <v>475</v>
      </c>
      <c r="D80" s="400">
        <v>1003111175661</v>
      </c>
      <c r="E80" s="401">
        <v>5938395</v>
      </c>
      <c r="F80" s="294">
        <v>576.53</v>
      </c>
      <c r="G80" s="294">
        <f t="shared" si="12"/>
        <v>42.547913999999999</v>
      </c>
      <c r="H80" s="294">
        <v>71.569999999999993</v>
      </c>
      <c r="I80" s="293">
        <f t="shared" si="13"/>
        <v>462.41208599999999</v>
      </c>
      <c r="J80" s="329" t="s">
        <v>13</v>
      </c>
      <c r="K80" s="294" t="s">
        <v>410</v>
      </c>
      <c r="L80" s="293">
        <f t="shared" si="11"/>
        <v>69.36181289999999</v>
      </c>
      <c r="M80" s="293">
        <f t="shared" si="7"/>
        <v>18.496483439999999</v>
      </c>
      <c r="N80" s="296">
        <f t="shared" si="8"/>
        <v>9.2482417199999993</v>
      </c>
      <c r="O80" s="296">
        <f t="shared" si="9"/>
        <v>9.2482417199999993</v>
      </c>
      <c r="P80" s="294">
        <f t="shared" si="10"/>
        <v>32.368846019999992</v>
      </c>
    </row>
    <row r="81" spans="1:16">
      <c r="A81" s="606">
        <v>79</v>
      </c>
      <c r="B81" s="339" t="s">
        <v>1414</v>
      </c>
      <c r="C81" s="327" t="s">
        <v>559</v>
      </c>
      <c r="D81" s="400">
        <v>1003111175446</v>
      </c>
      <c r="E81" s="401">
        <v>5983913</v>
      </c>
      <c r="F81" s="294">
        <v>497.15</v>
      </c>
      <c r="G81" s="294">
        <f t="shared" si="12"/>
        <v>36.68967</v>
      </c>
      <c r="H81" s="294">
        <v>131.52000000000001</v>
      </c>
      <c r="I81" s="293">
        <f t="shared" si="13"/>
        <v>328.94033000000002</v>
      </c>
      <c r="J81" s="329" t="s">
        <v>13</v>
      </c>
      <c r="K81" s="294" t="s">
        <v>211</v>
      </c>
      <c r="L81" s="293">
        <f t="shared" si="11"/>
        <v>49.341049500000004</v>
      </c>
      <c r="M81" s="293">
        <f t="shared" si="7"/>
        <v>13.1576132</v>
      </c>
      <c r="N81" s="296">
        <f t="shared" si="8"/>
        <v>6.5788066000000001</v>
      </c>
      <c r="O81" s="296">
        <f t="shared" si="9"/>
        <v>6.5788066000000001</v>
      </c>
      <c r="P81" s="294">
        <f t="shared" si="10"/>
        <v>23.025823100000004</v>
      </c>
    </row>
    <row r="82" spans="1:16">
      <c r="A82" s="606">
        <v>80</v>
      </c>
      <c r="B82" s="607" t="s">
        <v>1415</v>
      </c>
      <c r="C82" s="616" t="s">
        <v>475</v>
      </c>
      <c r="D82" s="254">
        <v>1003111174187</v>
      </c>
      <c r="E82" s="280">
        <v>5983067</v>
      </c>
      <c r="F82" s="615">
        <v>513.79999999999995</v>
      </c>
      <c r="G82" s="610">
        <f t="shared" si="12"/>
        <v>37.918439999999997</v>
      </c>
      <c r="H82" s="615">
        <v>55.21</v>
      </c>
      <c r="I82" s="612">
        <f t="shared" si="13"/>
        <v>420.67156</v>
      </c>
      <c r="J82" s="623" t="s">
        <v>13</v>
      </c>
      <c r="K82" s="615" t="s">
        <v>17</v>
      </c>
      <c r="L82" s="612">
        <f t="shared" si="11"/>
        <v>63.100733999999996</v>
      </c>
      <c r="M82" s="612">
        <f t="shared" si="7"/>
        <v>16.8268624</v>
      </c>
      <c r="N82" s="613">
        <f t="shared" si="8"/>
        <v>8.4134311999999998</v>
      </c>
      <c r="O82" s="613">
        <f t="shared" si="9"/>
        <v>8.4134311999999998</v>
      </c>
      <c r="P82" s="610">
        <f t="shared" si="10"/>
        <v>29.447009199999997</v>
      </c>
    </row>
    <row r="83" spans="1:16">
      <c r="A83" s="606">
        <v>81</v>
      </c>
      <c r="B83" s="607" t="s">
        <v>1416</v>
      </c>
      <c r="C83" s="616" t="s">
        <v>475</v>
      </c>
      <c r="D83" s="254">
        <v>312273</v>
      </c>
      <c r="E83" s="280" t="s">
        <v>1417</v>
      </c>
      <c r="F83" s="615">
        <v>290.73</v>
      </c>
      <c r="G83" s="610">
        <f t="shared" si="12"/>
        <v>21.455874000000001</v>
      </c>
      <c r="H83" s="615">
        <v>96.91</v>
      </c>
      <c r="I83" s="612">
        <f t="shared" si="13"/>
        <v>172.36412600000003</v>
      </c>
      <c r="J83" s="623" t="s">
        <v>16</v>
      </c>
      <c r="K83" s="615" t="s">
        <v>17</v>
      </c>
      <c r="L83" s="612">
        <f t="shared" si="11"/>
        <v>25.854618900000002</v>
      </c>
      <c r="M83" s="612">
        <f t="shared" si="7"/>
        <v>6.8945650400000016</v>
      </c>
      <c r="N83" s="613">
        <f t="shared" si="8"/>
        <v>3.4472825200000008</v>
      </c>
      <c r="O83" s="613">
        <f t="shared" si="9"/>
        <v>3.4472825200000008</v>
      </c>
      <c r="P83" s="610">
        <f t="shared" si="10"/>
        <v>12.065488819999999</v>
      </c>
    </row>
    <row r="84" spans="1:16">
      <c r="A84" s="606">
        <v>82</v>
      </c>
      <c r="B84" s="607" t="s">
        <v>1418</v>
      </c>
      <c r="C84" s="616" t="s">
        <v>29</v>
      </c>
      <c r="D84" s="254">
        <v>312273039</v>
      </c>
      <c r="E84" s="280">
        <v>5985509</v>
      </c>
      <c r="F84" s="615">
        <v>721.23</v>
      </c>
      <c r="G84" s="610">
        <f t="shared" si="12"/>
        <v>53.226774000000006</v>
      </c>
      <c r="H84" s="615">
        <v>0</v>
      </c>
      <c r="I84" s="612">
        <f t="shared" si="13"/>
        <v>668.00322600000004</v>
      </c>
      <c r="J84" s="623" t="s">
        <v>13</v>
      </c>
      <c r="K84" s="615" t="s">
        <v>14</v>
      </c>
      <c r="L84" s="612">
        <f t="shared" si="11"/>
        <v>100.20048390000001</v>
      </c>
      <c r="M84" s="612">
        <f t="shared" si="7"/>
        <v>26.720129040000003</v>
      </c>
      <c r="N84" s="613">
        <f t="shared" si="8"/>
        <v>13.360064520000002</v>
      </c>
      <c r="O84" s="613">
        <f t="shared" si="9"/>
        <v>13.360064520000002</v>
      </c>
      <c r="P84" s="610">
        <f t="shared" si="10"/>
        <v>46.760225820000002</v>
      </c>
    </row>
    <row r="85" spans="1:16">
      <c r="A85" s="606">
        <v>83</v>
      </c>
      <c r="B85" s="607" t="s">
        <v>1419</v>
      </c>
      <c r="C85" s="616" t="s">
        <v>475</v>
      </c>
      <c r="D85" s="254">
        <v>36970038</v>
      </c>
      <c r="E85" s="280">
        <v>5994853</v>
      </c>
      <c r="F85" s="615">
        <v>576.33000000000004</v>
      </c>
      <c r="G85" s="610">
        <f t="shared" si="12"/>
        <v>42.533154000000003</v>
      </c>
      <c r="H85" s="615">
        <v>0</v>
      </c>
      <c r="I85" s="612">
        <f t="shared" si="13"/>
        <v>533.79684600000007</v>
      </c>
      <c r="J85" s="623" t="s">
        <v>13</v>
      </c>
      <c r="K85" s="615" t="s">
        <v>17</v>
      </c>
      <c r="L85" s="612">
        <f t="shared" si="11"/>
        <v>80.069526900000014</v>
      </c>
      <c r="M85" s="612">
        <f t="shared" si="7"/>
        <v>21.351873840000003</v>
      </c>
      <c r="N85" s="613">
        <f t="shared" si="8"/>
        <v>10.675936920000002</v>
      </c>
      <c r="O85" s="613">
        <f t="shared" si="9"/>
        <v>10.675936920000002</v>
      </c>
      <c r="P85" s="610">
        <f t="shared" si="10"/>
        <v>37.365779220000007</v>
      </c>
    </row>
    <row r="86" spans="1:16">
      <c r="A86" s="606">
        <v>84</v>
      </c>
      <c r="B86" s="607" t="s">
        <v>1420</v>
      </c>
      <c r="C86" s="616" t="s">
        <v>475</v>
      </c>
      <c r="D86" s="254">
        <v>1003111178834</v>
      </c>
      <c r="E86" s="280">
        <v>5994569</v>
      </c>
      <c r="F86" s="615">
        <v>509.26</v>
      </c>
      <c r="G86" s="610">
        <f t="shared" si="12"/>
        <v>37.583387999999999</v>
      </c>
      <c r="H86" s="615">
        <v>54.72</v>
      </c>
      <c r="I86" s="612">
        <f t="shared" si="13"/>
        <v>416.95661199999995</v>
      </c>
      <c r="J86" s="623" t="s">
        <v>13</v>
      </c>
      <c r="K86" s="615" t="s">
        <v>17</v>
      </c>
      <c r="L86" s="612">
        <f t="shared" si="11"/>
        <v>62.543491799999991</v>
      </c>
      <c r="M86" s="612">
        <f t="shared" si="7"/>
        <v>16.678264479999999</v>
      </c>
      <c r="N86" s="613">
        <f t="shared" si="8"/>
        <v>8.3391322399999996</v>
      </c>
      <c r="O86" s="613">
        <f t="shared" si="9"/>
        <v>8.3391322399999996</v>
      </c>
      <c r="P86" s="610">
        <f t="shared" si="10"/>
        <v>29.186962839999993</v>
      </c>
    </row>
    <row r="87" spans="1:16">
      <c r="A87" s="606">
        <v>85</v>
      </c>
      <c r="B87" s="607" t="s">
        <v>1421</v>
      </c>
      <c r="C87" s="616" t="s">
        <v>29</v>
      </c>
      <c r="D87" s="254">
        <v>51772025423</v>
      </c>
      <c r="E87" s="280">
        <v>5963153</v>
      </c>
      <c r="F87" s="615">
        <v>1428.38</v>
      </c>
      <c r="G87" s="610">
        <f t="shared" si="12"/>
        <v>105.41444400000002</v>
      </c>
      <c r="H87" s="615">
        <v>176.17</v>
      </c>
      <c r="I87" s="612">
        <f t="shared" si="13"/>
        <v>1146.795556</v>
      </c>
      <c r="J87" s="623" t="s">
        <v>13</v>
      </c>
      <c r="K87" s="615" t="s">
        <v>207</v>
      </c>
      <c r="L87" s="612">
        <f t="shared" si="11"/>
        <v>172.01933339999999</v>
      </c>
      <c r="M87" s="612">
        <f t="shared" si="7"/>
        <v>45.87182224</v>
      </c>
      <c r="N87" s="613">
        <f t="shared" si="8"/>
        <v>22.93591112</v>
      </c>
      <c r="O87" s="613">
        <f t="shared" si="9"/>
        <v>22.93591112</v>
      </c>
      <c r="P87" s="610">
        <f t="shared" si="10"/>
        <v>80.275688919999993</v>
      </c>
    </row>
    <row r="88" spans="1:16" ht="15.6" customHeight="1">
      <c r="A88" s="606">
        <v>86</v>
      </c>
      <c r="B88" s="607" t="s">
        <v>1422</v>
      </c>
      <c r="C88" s="616" t="s">
        <v>234</v>
      </c>
      <c r="D88" s="254">
        <v>10031111178098</v>
      </c>
      <c r="E88" s="280">
        <v>5986477</v>
      </c>
      <c r="F88" s="615">
        <v>660.53</v>
      </c>
      <c r="G88" s="610">
        <f t="shared" si="12"/>
        <v>48.747114000000003</v>
      </c>
      <c r="H88" s="615">
        <v>70.98</v>
      </c>
      <c r="I88" s="612">
        <f t="shared" si="13"/>
        <v>540.80288599999994</v>
      </c>
      <c r="J88" s="623" t="s">
        <v>13</v>
      </c>
      <c r="K88" s="615" t="s">
        <v>25</v>
      </c>
      <c r="L88" s="612">
        <f t="shared" si="11"/>
        <v>81.120432899999983</v>
      </c>
      <c r="M88" s="612">
        <f t="shared" si="7"/>
        <v>21.63211544</v>
      </c>
      <c r="N88" s="613">
        <f t="shared" si="8"/>
        <v>10.81605772</v>
      </c>
      <c r="O88" s="613">
        <f t="shared" si="9"/>
        <v>10.81605772</v>
      </c>
      <c r="P88" s="610">
        <f t="shared" si="10"/>
        <v>37.856202019999984</v>
      </c>
    </row>
    <row r="89" spans="1:16">
      <c r="A89" s="606">
        <v>87</v>
      </c>
      <c r="B89" s="607" t="s">
        <v>1423</v>
      </c>
      <c r="C89" s="616" t="s">
        <v>29</v>
      </c>
      <c r="D89" s="254">
        <v>1003111188003</v>
      </c>
      <c r="E89" s="280">
        <v>5991526</v>
      </c>
      <c r="F89" s="615">
        <v>700.51</v>
      </c>
      <c r="G89" s="610">
        <f t="shared" si="12"/>
        <v>51.697638000000005</v>
      </c>
      <c r="H89" s="615">
        <v>185.04</v>
      </c>
      <c r="I89" s="612">
        <f t="shared" si="13"/>
        <v>463.77236200000004</v>
      </c>
      <c r="J89" s="623" t="s">
        <v>13</v>
      </c>
      <c r="K89" s="615" t="s">
        <v>14</v>
      </c>
      <c r="L89" s="612">
        <f t="shared" si="11"/>
        <v>69.565854299999998</v>
      </c>
      <c r="M89" s="612">
        <f t="shared" si="7"/>
        <v>18.550894480000004</v>
      </c>
      <c r="N89" s="613">
        <f t="shared" si="8"/>
        <v>9.2754472400000019</v>
      </c>
      <c r="O89" s="613">
        <f t="shared" si="9"/>
        <v>9.2754472400000019</v>
      </c>
      <c r="P89" s="610">
        <f t="shared" si="10"/>
        <v>32.464065339999991</v>
      </c>
    </row>
    <row r="90" spans="1:16">
      <c r="A90" s="606">
        <v>88</v>
      </c>
      <c r="B90" s="607" t="s">
        <v>1424</v>
      </c>
      <c r="C90" s="616" t="s">
        <v>397</v>
      </c>
      <c r="D90" s="254">
        <v>10031111230571</v>
      </c>
      <c r="E90" s="280">
        <v>5963754</v>
      </c>
      <c r="F90" s="615">
        <v>508.87</v>
      </c>
      <c r="G90" s="610">
        <f t="shared" si="12"/>
        <v>37.554606</v>
      </c>
      <c r="H90" s="615">
        <v>134.81</v>
      </c>
      <c r="I90" s="612">
        <f t="shared" si="13"/>
        <v>336.50539400000002</v>
      </c>
      <c r="J90" s="623" t="s">
        <v>13</v>
      </c>
      <c r="K90" s="615" t="s">
        <v>40</v>
      </c>
      <c r="L90" s="612">
        <f t="shared" si="11"/>
        <v>50.475809099999999</v>
      </c>
      <c r="M90" s="612">
        <f t="shared" si="7"/>
        <v>13.460215760000001</v>
      </c>
      <c r="N90" s="613">
        <f t="shared" si="8"/>
        <v>6.7301078800000003</v>
      </c>
      <c r="O90" s="613">
        <f t="shared" si="9"/>
        <v>6.7301078800000003</v>
      </c>
      <c r="P90" s="610">
        <f t="shared" si="10"/>
        <v>23.555377579999998</v>
      </c>
    </row>
    <row r="91" spans="1:16">
      <c r="A91" s="606">
        <v>89</v>
      </c>
      <c r="B91" s="607" t="s">
        <v>1425</v>
      </c>
      <c r="C91" s="616" t="s">
        <v>368</v>
      </c>
      <c r="D91" s="254">
        <v>10031111187257</v>
      </c>
      <c r="E91" s="280">
        <v>5996809</v>
      </c>
      <c r="F91" s="615">
        <v>550.45000000000005</v>
      </c>
      <c r="G91" s="610">
        <f t="shared" si="12"/>
        <v>40.623210000000007</v>
      </c>
      <c r="H91" s="615">
        <v>183.49</v>
      </c>
      <c r="I91" s="612">
        <f t="shared" si="13"/>
        <v>326.33679000000001</v>
      </c>
      <c r="J91" s="623" t="s">
        <v>16</v>
      </c>
      <c r="K91" s="615" t="s">
        <v>211</v>
      </c>
      <c r="L91" s="612">
        <f t="shared" si="11"/>
        <v>48.950518500000001</v>
      </c>
      <c r="M91" s="612">
        <f t="shared" si="7"/>
        <v>13.0534716</v>
      </c>
      <c r="N91" s="613">
        <f t="shared" si="8"/>
        <v>6.5267358</v>
      </c>
      <c r="O91" s="613">
        <f t="shared" si="9"/>
        <v>6.5267358</v>
      </c>
      <c r="P91" s="610">
        <f t="shared" si="10"/>
        <v>22.843575299999998</v>
      </c>
    </row>
    <row r="92" spans="1:16">
      <c r="A92" s="606">
        <v>90</v>
      </c>
      <c r="B92" s="607" t="s">
        <v>1426</v>
      </c>
      <c r="C92" s="616" t="s">
        <v>12</v>
      </c>
      <c r="D92" s="254">
        <v>2794459</v>
      </c>
      <c r="E92" s="280">
        <v>5998040</v>
      </c>
      <c r="F92" s="615">
        <v>760.82</v>
      </c>
      <c r="G92" s="610">
        <f t="shared" si="12"/>
        <v>56.148516000000008</v>
      </c>
      <c r="H92" s="615">
        <v>100.11</v>
      </c>
      <c r="I92" s="612">
        <f t="shared" si="13"/>
        <v>604.56148400000006</v>
      </c>
      <c r="J92" s="623" t="s">
        <v>16</v>
      </c>
      <c r="K92" s="615" t="s">
        <v>50</v>
      </c>
      <c r="L92" s="612">
        <f t="shared" si="11"/>
        <v>90.684222600000012</v>
      </c>
      <c r="M92" s="612">
        <f t="shared" si="7"/>
        <v>24.182459360000003</v>
      </c>
      <c r="N92" s="613">
        <f t="shared" si="8"/>
        <v>12.091229680000001</v>
      </c>
      <c r="O92" s="613">
        <f t="shared" si="9"/>
        <v>12.091229680000001</v>
      </c>
      <c r="P92" s="610">
        <f t="shared" si="10"/>
        <v>42.319303880000007</v>
      </c>
    </row>
    <row r="93" spans="1:16">
      <c r="A93" s="606">
        <v>91</v>
      </c>
      <c r="B93" s="607" t="s">
        <v>1427</v>
      </c>
      <c r="C93" s="616" t="s">
        <v>29</v>
      </c>
      <c r="D93" s="254">
        <v>36975368</v>
      </c>
      <c r="E93" s="280">
        <v>5992481</v>
      </c>
      <c r="F93" s="615">
        <v>779.12</v>
      </c>
      <c r="G93" s="610">
        <f t="shared" si="12"/>
        <v>57.499056000000003</v>
      </c>
      <c r="H93" s="615">
        <v>77.88</v>
      </c>
      <c r="I93" s="612">
        <f t="shared" si="13"/>
        <v>643.74094400000001</v>
      </c>
      <c r="J93" s="623" t="s">
        <v>16</v>
      </c>
      <c r="K93" s="615" t="s">
        <v>238</v>
      </c>
      <c r="L93" s="612">
        <f t="shared" si="11"/>
        <v>96.561141599999999</v>
      </c>
      <c r="M93" s="612">
        <f t="shared" si="7"/>
        <v>25.749637760000002</v>
      </c>
      <c r="N93" s="613">
        <f t="shared" si="8"/>
        <v>12.874818880000001</v>
      </c>
      <c r="O93" s="613">
        <f t="shared" si="9"/>
        <v>12.874818880000001</v>
      </c>
      <c r="P93" s="610">
        <f t="shared" si="10"/>
        <v>45.061866080000001</v>
      </c>
    </row>
    <row r="94" spans="1:16">
      <c r="A94" s="606">
        <v>92</v>
      </c>
      <c r="B94" s="627" t="s">
        <v>1428</v>
      </c>
      <c r="C94" s="616" t="s">
        <v>1429</v>
      </c>
      <c r="D94" s="254">
        <v>36975002</v>
      </c>
      <c r="E94" s="280">
        <v>5995638</v>
      </c>
      <c r="F94" s="615">
        <v>740.68</v>
      </c>
      <c r="G94" s="610">
        <f t="shared" si="12"/>
        <v>54.662183999999996</v>
      </c>
      <c r="H94" s="615">
        <v>91.35</v>
      </c>
      <c r="I94" s="612">
        <f t="shared" si="13"/>
        <v>594.6678159999999</v>
      </c>
      <c r="J94" s="623" t="s">
        <v>13</v>
      </c>
      <c r="K94" s="615" t="s">
        <v>211</v>
      </c>
      <c r="L94" s="612">
        <f t="shared" si="11"/>
        <v>89.200172399999985</v>
      </c>
      <c r="M94" s="612">
        <f t="shared" si="7"/>
        <v>23.786712639999998</v>
      </c>
      <c r="N94" s="613">
        <f t="shared" si="8"/>
        <v>11.893356319999999</v>
      </c>
      <c r="O94" s="613">
        <f t="shared" si="9"/>
        <v>11.893356319999999</v>
      </c>
      <c r="P94" s="610">
        <f t="shared" si="10"/>
        <v>41.626747120000005</v>
      </c>
    </row>
    <row r="95" spans="1:16">
      <c r="A95" s="606">
        <v>93</v>
      </c>
      <c r="B95" s="607" t="s">
        <v>1430</v>
      </c>
      <c r="C95" s="616" t="s">
        <v>475</v>
      </c>
      <c r="D95" s="254">
        <v>36975002</v>
      </c>
      <c r="E95" s="280">
        <v>5989672</v>
      </c>
      <c r="F95" s="615">
        <v>417</v>
      </c>
      <c r="G95" s="610">
        <f t="shared" si="12"/>
        <v>30.774600000000003</v>
      </c>
      <c r="H95" s="615">
        <v>34.75</v>
      </c>
      <c r="I95" s="612">
        <f t="shared" si="13"/>
        <v>351.47539999999998</v>
      </c>
      <c r="J95" s="623" t="s">
        <v>16</v>
      </c>
      <c r="K95" s="615" t="s">
        <v>14</v>
      </c>
      <c r="L95" s="612">
        <f t="shared" si="11"/>
        <v>52.721309999999995</v>
      </c>
      <c r="M95" s="612">
        <f t="shared" si="7"/>
        <v>14.059016</v>
      </c>
      <c r="N95" s="613">
        <f t="shared" si="8"/>
        <v>7.0295079999999999</v>
      </c>
      <c r="O95" s="613">
        <f t="shared" si="9"/>
        <v>7.0295079999999999</v>
      </c>
      <c r="P95" s="610">
        <f t="shared" si="10"/>
        <v>24.603277999999996</v>
      </c>
    </row>
    <row r="96" spans="1:16">
      <c r="A96" s="606">
        <v>94</v>
      </c>
      <c r="B96" s="339" t="s">
        <v>1431</v>
      </c>
      <c r="C96" s="327" t="s">
        <v>593</v>
      </c>
      <c r="D96" s="400">
        <v>212304587</v>
      </c>
      <c r="E96" s="401">
        <v>600132</v>
      </c>
      <c r="F96" s="294">
        <v>1535.6</v>
      </c>
      <c r="G96" s="294">
        <f t="shared" si="12"/>
        <v>113.32728</v>
      </c>
      <c r="H96" s="294">
        <v>153.56</v>
      </c>
      <c r="I96" s="293">
        <f t="shared" si="13"/>
        <v>1268.71272</v>
      </c>
      <c r="J96" s="329" t="s">
        <v>16</v>
      </c>
      <c r="K96" s="294" t="s">
        <v>207</v>
      </c>
      <c r="L96" s="293">
        <f t="shared" si="11"/>
        <v>190.30690799999999</v>
      </c>
      <c r="M96" s="293">
        <f t="shared" si="7"/>
        <v>50.748508800000003</v>
      </c>
      <c r="N96" s="296">
        <f t="shared" si="8"/>
        <v>25.374254400000002</v>
      </c>
      <c r="O96" s="296">
        <f t="shared" si="9"/>
        <v>25.374254400000002</v>
      </c>
      <c r="P96" s="294">
        <f t="shared" si="10"/>
        <v>88.8098904</v>
      </c>
    </row>
    <row r="97" spans="1:16">
      <c r="A97" s="606">
        <v>95</v>
      </c>
      <c r="B97" s="607" t="s">
        <v>1432</v>
      </c>
      <c r="C97" s="616" t="s">
        <v>475</v>
      </c>
      <c r="D97" s="254">
        <v>10031111193138</v>
      </c>
      <c r="E97" s="280">
        <v>5994299</v>
      </c>
      <c r="F97" s="615">
        <v>581.6</v>
      </c>
      <c r="G97" s="610">
        <f t="shared" si="12"/>
        <v>42.922080000000001</v>
      </c>
      <c r="H97" s="615">
        <v>62.49</v>
      </c>
      <c r="I97" s="612">
        <f t="shared" si="13"/>
        <v>476.18791999999996</v>
      </c>
      <c r="J97" s="623" t="s">
        <v>13</v>
      </c>
      <c r="K97" s="615" t="s">
        <v>238</v>
      </c>
      <c r="L97" s="612">
        <f t="shared" si="11"/>
        <v>71.428187999999992</v>
      </c>
      <c r="M97" s="612">
        <f t="shared" si="7"/>
        <v>19.0475168</v>
      </c>
      <c r="N97" s="613">
        <f t="shared" si="8"/>
        <v>9.5237584000000002</v>
      </c>
      <c r="O97" s="613">
        <f t="shared" si="9"/>
        <v>9.5237584000000002</v>
      </c>
      <c r="P97" s="610">
        <f t="shared" si="10"/>
        <v>33.333154399999998</v>
      </c>
    </row>
    <row r="98" spans="1:16">
      <c r="A98" s="606">
        <v>96</v>
      </c>
      <c r="B98" s="607" t="s">
        <v>1433</v>
      </c>
      <c r="C98" s="616" t="s">
        <v>18</v>
      </c>
      <c r="D98" s="254">
        <v>10031111192927</v>
      </c>
      <c r="E98" s="280">
        <v>5975162</v>
      </c>
      <c r="F98" s="615">
        <v>598.5</v>
      </c>
      <c r="G98" s="610">
        <f t="shared" si="12"/>
        <v>44.1693</v>
      </c>
      <c r="H98" s="615">
        <v>0</v>
      </c>
      <c r="I98" s="612">
        <f t="shared" si="13"/>
        <v>554.33069999999998</v>
      </c>
      <c r="J98" s="623" t="s">
        <v>13</v>
      </c>
      <c r="K98" s="615" t="s">
        <v>14</v>
      </c>
      <c r="L98" s="612">
        <f t="shared" si="11"/>
        <v>83.149604999999994</v>
      </c>
      <c r="M98" s="612">
        <f t="shared" si="7"/>
        <v>22.173227999999998</v>
      </c>
      <c r="N98" s="613">
        <f t="shared" si="8"/>
        <v>11.086613999999999</v>
      </c>
      <c r="O98" s="613">
        <f t="shared" si="9"/>
        <v>11.086613999999999</v>
      </c>
      <c r="P98" s="610">
        <f t="shared" si="10"/>
        <v>38.803149000000005</v>
      </c>
    </row>
    <row r="99" spans="1:16">
      <c r="A99" s="606">
        <v>97</v>
      </c>
      <c r="B99" s="607" t="s">
        <v>1434</v>
      </c>
      <c r="C99" s="616" t="s">
        <v>12</v>
      </c>
      <c r="D99" s="254">
        <v>10031111192801</v>
      </c>
      <c r="E99" s="280">
        <v>5975295</v>
      </c>
      <c r="F99" s="615">
        <v>579.86</v>
      </c>
      <c r="G99" s="610">
        <f t="shared" si="12"/>
        <v>42.793668000000004</v>
      </c>
      <c r="H99" s="615">
        <v>0</v>
      </c>
      <c r="I99" s="612">
        <f t="shared" si="13"/>
        <v>537.06633199999999</v>
      </c>
      <c r="J99" s="623" t="s">
        <v>13</v>
      </c>
      <c r="K99" s="615" t="s">
        <v>330</v>
      </c>
      <c r="L99" s="612">
        <f t="shared" si="11"/>
        <v>80.559949799999998</v>
      </c>
      <c r="M99" s="612">
        <f t="shared" si="7"/>
        <v>21.482653280000001</v>
      </c>
      <c r="N99" s="613">
        <f t="shared" si="8"/>
        <v>10.74132664</v>
      </c>
      <c r="O99" s="613">
        <f t="shared" si="9"/>
        <v>10.74132664</v>
      </c>
      <c r="P99" s="610">
        <f t="shared" si="10"/>
        <v>37.594643239999996</v>
      </c>
    </row>
    <row r="100" spans="1:16">
      <c r="A100" s="606">
        <v>98</v>
      </c>
      <c r="B100" s="607" t="s">
        <v>1435</v>
      </c>
      <c r="C100" s="616" t="s">
        <v>475</v>
      </c>
      <c r="D100" s="254">
        <v>10031111192644</v>
      </c>
      <c r="E100" s="280">
        <v>5994361</v>
      </c>
      <c r="F100" s="615">
        <v>577.45000000000005</v>
      </c>
      <c r="G100" s="610">
        <f t="shared" si="12"/>
        <v>42.615810000000003</v>
      </c>
      <c r="H100" s="615">
        <v>62.05</v>
      </c>
      <c r="I100" s="612">
        <f t="shared" si="13"/>
        <v>472.78419000000002</v>
      </c>
      <c r="J100" s="623" t="s">
        <v>13</v>
      </c>
      <c r="K100" s="615" t="s">
        <v>40</v>
      </c>
      <c r="L100" s="612">
        <f t="shared" si="11"/>
        <v>70.917628500000006</v>
      </c>
      <c r="M100" s="612">
        <f t="shared" si="7"/>
        <v>18.911367600000002</v>
      </c>
      <c r="N100" s="613">
        <f t="shared" si="8"/>
        <v>9.455683800000001</v>
      </c>
      <c r="O100" s="613">
        <f t="shared" si="9"/>
        <v>9.455683800000001</v>
      </c>
      <c r="P100" s="610">
        <f t="shared" si="10"/>
        <v>33.094893299999995</v>
      </c>
    </row>
    <row r="101" spans="1:16">
      <c r="A101" s="606">
        <v>99</v>
      </c>
      <c r="B101" s="339" t="s">
        <v>1436</v>
      </c>
      <c r="C101" s="327" t="s">
        <v>475</v>
      </c>
      <c r="D101" s="400">
        <v>10031111192561</v>
      </c>
      <c r="E101" s="401">
        <v>5978583</v>
      </c>
      <c r="F101" s="294">
        <v>514.33000000000004</v>
      </c>
      <c r="G101" s="294">
        <f t="shared" si="12"/>
        <v>37.957554000000002</v>
      </c>
      <c r="H101" s="294">
        <v>135.86000000000001</v>
      </c>
      <c r="I101" s="293">
        <f t="shared" si="13"/>
        <v>340.51244600000001</v>
      </c>
      <c r="J101" s="329" t="s">
        <v>13</v>
      </c>
      <c r="K101" s="294" t="s">
        <v>353</v>
      </c>
      <c r="L101" s="293">
        <f t="shared" si="11"/>
        <v>51.076866899999999</v>
      </c>
      <c r="M101" s="293">
        <f t="shared" si="7"/>
        <v>13.620497840000001</v>
      </c>
      <c r="N101" s="296">
        <f t="shared" si="8"/>
        <v>6.8102489200000003</v>
      </c>
      <c r="O101" s="296">
        <f t="shared" si="9"/>
        <v>6.8102489200000003</v>
      </c>
      <c r="P101" s="294">
        <f t="shared" si="10"/>
        <v>23.835871220000001</v>
      </c>
    </row>
    <row r="102" spans="1:16">
      <c r="A102" s="606">
        <v>100</v>
      </c>
      <c r="B102" s="607" t="s">
        <v>1437</v>
      </c>
      <c r="C102" s="616" t="s">
        <v>559</v>
      </c>
      <c r="D102" s="254">
        <v>37008570</v>
      </c>
      <c r="E102" s="280" t="s">
        <v>1438</v>
      </c>
      <c r="F102" s="615">
        <v>869.28</v>
      </c>
      <c r="G102" s="610">
        <f t="shared" si="12"/>
        <v>64.152864000000008</v>
      </c>
      <c r="H102" s="615">
        <v>72.41</v>
      </c>
      <c r="I102" s="612">
        <f t="shared" si="13"/>
        <v>732.71713599999998</v>
      </c>
      <c r="J102" s="623" t="s">
        <v>16</v>
      </c>
      <c r="K102" s="615" t="s">
        <v>17</v>
      </c>
      <c r="L102" s="612">
        <f t="shared" si="11"/>
        <v>109.9075704</v>
      </c>
      <c r="M102" s="612">
        <f t="shared" si="7"/>
        <v>29.308685440000001</v>
      </c>
      <c r="N102" s="613">
        <f t="shared" si="8"/>
        <v>14.654342720000001</v>
      </c>
      <c r="O102" s="613">
        <f t="shared" si="9"/>
        <v>14.654342720000001</v>
      </c>
      <c r="P102" s="610">
        <f t="shared" si="10"/>
        <v>51.290199519999987</v>
      </c>
    </row>
    <row r="103" spans="1:16">
      <c r="A103" s="606">
        <v>101</v>
      </c>
      <c r="B103" s="607" t="s">
        <v>333</v>
      </c>
      <c r="C103" s="616" t="s">
        <v>18</v>
      </c>
      <c r="D103" s="254">
        <v>37026899</v>
      </c>
      <c r="E103" s="280" t="s">
        <v>1439</v>
      </c>
      <c r="F103" s="615">
        <v>789.72</v>
      </c>
      <c r="G103" s="610">
        <f t="shared" si="12"/>
        <v>58.281336000000003</v>
      </c>
      <c r="H103" s="615">
        <v>65.81</v>
      </c>
      <c r="I103" s="612">
        <f t="shared" si="13"/>
        <v>665.62866400000007</v>
      </c>
      <c r="J103" s="623" t="s">
        <v>16</v>
      </c>
      <c r="K103" s="615" t="s">
        <v>17</v>
      </c>
      <c r="L103" s="612">
        <f t="shared" si="11"/>
        <v>99.844299600000014</v>
      </c>
      <c r="M103" s="612">
        <f t="shared" si="7"/>
        <v>26.625146560000005</v>
      </c>
      <c r="N103" s="613">
        <f t="shared" si="8"/>
        <v>13.312573280000002</v>
      </c>
      <c r="O103" s="613">
        <f t="shared" si="9"/>
        <v>13.312573280000002</v>
      </c>
      <c r="P103" s="610">
        <f t="shared" si="10"/>
        <v>46.594006480000004</v>
      </c>
    </row>
    <row r="104" spans="1:16">
      <c r="A104" s="606">
        <v>102</v>
      </c>
      <c r="B104" s="607" t="s">
        <v>1440</v>
      </c>
      <c r="C104" s="616" t="s">
        <v>475</v>
      </c>
      <c r="D104" s="254">
        <v>2808409</v>
      </c>
      <c r="E104" s="280">
        <v>6003910</v>
      </c>
      <c r="F104" s="615">
        <v>459.73</v>
      </c>
      <c r="G104" s="610">
        <f t="shared" si="12"/>
        <v>33.928074000000002</v>
      </c>
      <c r="H104" s="615">
        <v>56.87</v>
      </c>
      <c r="I104" s="612">
        <f t="shared" si="13"/>
        <v>368.93192600000003</v>
      </c>
      <c r="J104" s="623" t="s">
        <v>13</v>
      </c>
      <c r="K104" s="615" t="s">
        <v>17</v>
      </c>
      <c r="L104" s="612">
        <f t="shared" si="11"/>
        <v>55.339788900000002</v>
      </c>
      <c r="M104" s="612">
        <f t="shared" si="7"/>
        <v>14.757277040000002</v>
      </c>
      <c r="N104" s="613">
        <f t="shared" si="8"/>
        <v>7.3786385200000009</v>
      </c>
      <c r="O104" s="613">
        <f t="shared" si="9"/>
        <v>7.3786385200000009</v>
      </c>
      <c r="P104" s="610">
        <f t="shared" si="10"/>
        <v>25.825234819999991</v>
      </c>
    </row>
    <row r="105" spans="1:16">
      <c r="A105" s="606">
        <v>103</v>
      </c>
      <c r="B105" s="607" t="s">
        <v>1441</v>
      </c>
      <c r="C105" s="616" t="s">
        <v>475</v>
      </c>
      <c r="D105" s="254">
        <v>1003111189402</v>
      </c>
      <c r="E105" s="280" t="s">
        <v>1442</v>
      </c>
      <c r="F105" s="615">
        <v>457.5</v>
      </c>
      <c r="G105" s="610">
        <f t="shared" si="12"/>
        <v>33.763500000000001</v>
      </c>
      <c r="H105" s="615">
        <v>120.85</v>
      </c>
      <c r="I105" s="612">
        <f t="shared" si="13"/>
        <v>302.88649999999996</v>
      </c>
      <c r="J105" s="623" t="s">
        <v>13</v>
      </c>
      <c r="K105" s="615" t="s">
        <v>17</v>
      </c>
      <c r="L105" s="612">
        <f t="shared" si="11"/>
        <v>45.432974999999992</v>
      </c>
      <c r="M105" s="612">
        <f t="shared" si="7"/>
        <v>12.115459999999999</v>
      </c>
      <c r="N105" s="613">
        <f t="shared" si="8"/>
        <v>6.0577299999999994</v>
      </c>
      <c r="O105" s="613">
        <f t="shared" si="9"/>
        <v>6.0577299999999994</v>
      </c>
      <c r="P105" s="610">
        <f t="shared" si="10"/>
        <v>21.202054999999994</v>
      </c>
    </row>
    <row r="106" spans="1:16">
      <c r="A106" s="606">
        <v>104</v>
      </c>
      <c r="B106" s="607" t="s">
        <v>1443</v>
      </c>
      <c r="C106" s="616" t="s">
        <v>29</v>
      </c>
      <c r="D106" s="254">
        <v>100311112220311</v>
      </c>
      <c r="E106" s="280">
        <v>5999460</v>
      </c>
      <c r="F106" s="615">
        <v>768.13</v>
      </c>
      <c r="G106" s="610">
        <f t="shared" si="12"/>
        <v>56.687994000000003</v>
      </c>
      <c r="H106" s="615">
        <v>82.54</v>
      </c>
      <c r="I106" s="612">
        <f t="shared" si="13"/>
        <v>628.90200600000003</v>
      </c>
      <c r="J106" s="623" t="s">
        <v>13</v>
      </c>
      <c r="K106" s="615" t="s">
        <v>330</v>
      </c>
      <c r="L106" s="612">
        <f t="shared" si="11"/>
        <v>94.335300900000007</v>
      </c>
      <c r="M106" s="612">
        <f t="shared" si="7"/>
        <v>25.156080240000001</v>
      </c>
      <c r="N106" s="613">
        <f t="shared" si="8"/>
        <v>12.578040120000001</v>
      </c>
      <c r="O106" s="613">
        <f t="shared" si="9"/>
        <v>12.578040120000001</v>
      </c>
      <c r="P106" s="610">
        <f t="shared" si="10"/>
        <v>44.023140420000004</v>
      </c>
    </row>
    <row r="107" spans="1:16">
      <c r="A107" s="606">
        <v>105</v>
      </c>
      <c r="B107" s="607" t="s">
        <v>1444</v>
      </c>
      <c r="C107" s="616" t="s">
        <v>12</v>
      </c>
      <c r="D107" s="254">
        <v>1003111195471</v>
      </c>
      <c r="E107" s="280" t="s">
        <v>1445</v>
      </c>
      <c r="F107" s="615">
        <v>540.24</v>
      </c>
      <c r="G107" s="610">
        <f t="shared" si="12"/>
        <v>39.869712</v>
      </c>
      <c r="H107" s="615">
        <v>66.63</v>
      </c>
      <c r="I107" s="612">
        <f t="shared" si="13"/>
        <v>433.74028800000002</v>
      </c>
      <c r="J107" s="623" t="s">
        <v>13</v>
      </c>
      <c r="K107" s="615" t="s">
        <v>17</v>
      </c>
      <c r="L107" s="612">
        <f t="shared" si="11"/>
        <v>65.0610432</v>
      </c>
      <c r="M107" s="612">
        <f t="shared" si="7"/>
        <v>17.34961152</v>
      </c>
      <c r="N107" s="613">
        <f t="shared" si="8"/>
        <v>8.6748057599999999</v>
      </c>
      <c r="O107" s="613">
        <f t="shared" si="9"/>
        <v>8.6748057599999999</v>
      </c>
      <c r="P107" s="610">
        <f t="shared" si="10"/>
        <v>30.361820160000008</v>
      </c>
    </row>
    <row r="108" spans="1:16">
      <c r="A108" s="606">
        <v>106</v>
      </c>
      <c r="B108" s="607" t="s">
        <v>1446</v>
      </c>
      <c r="C108" s="616" t="s">
        <v>475</v>
      </c>
      <c r="D108" s="254">
        <v>10031111201155</v>
      </c>
      <c r="E108" s="280">
        <v>6009117</v>
      </c>
      <c r="F108" s="615">
        <v>622.73</v>
      </c>
      <c r="G108" s="610">
        <f t="shared" si="12"/>
        <v>45.957474000000005</v>
      </c>
      <c r="H108" s="615">
        <v>76.81</v>
      </c>
      <c r="I108" s="612">
        <f t="shared" si="13"/>
        <v>499.96252599999997</v>
      </c>
      <c r="J108" s="623" t="s">
        <v>13</v>
      </c>
      <c r="K108" s="615" t="s">
        <v>17</v>
      </c>
      <c r="L108" s="612">
        <f t="shared" si="11"/>
        <v>74.994378899999987</v>
      </c>
      <c r="M108" s="612">
        <f t="shared" si="7"/>
        <v>19.998501040000001</v>
      </c>
      <c r="N108" s="613">
        <f t="shared" si="8"/>
        <v>9.9992505200000004</v>
      </c>
      <c r="O108" s="613">
        <f t="shared" si="9"/>
        <v>9.9992505200000004</v>
      </c>
      <c r="P108" s="610">
        <f t="shared" si="10"/>
        <v>34.997376819999985</v>
      </c>
    </row>
    <row r="109" spans="1:16">
      <c r="A109" s="606">
        <v>107</v>
      </c>
      <c r="B109" s="607" t="s">
        <v>1447</v>
      </c>
      <c r="C109" s="616" t="s">
        <v>29</v>
      </c>
      <c r="D109" s="254">
        <v>10031111201361</v>
      </c>
      <c r="E109" s="280">
        <v>6009333</v>
      </c>
      <c r="F109" s="615">
        <v>835.07</v>
      </c>
      <c r="G109" s="610">
        <f t="shared" si="12"/>
        <v>61.628166000000007</v>
      </c>
      <c r="H109" s="615">
        <v>220.59</v>
      </c>
      <c r="I109" s="612">
        <f t="shared" si="13"/>
        <v>552.85183400000005</v>
      </c>
      <c r="J109" s="623" t="s">
        <v>13</v>
      </c>
      <c r="K109" s="615" t="s">
        <v>50</v>
      </c>
      <c r="L109" s="612">
        <f t="shared" si="11"/>
        <v>82.927775100000005</v>
      </c>
      <c r="M109" s="612">
        <f t="shared" si="7"/>
        <v>22.114073360000003</v>
      </c>
      <c r="N109" s="613">
        <f t="shared" si="8"/>
        <v>11.057036680000001</v>
      </c>
      <c r="O109" s="613">
        <f t="shared" si="9"/>
        <v>11.057036680000001</v>
      </c>
      <c r="P109" s="610">
        <f t="shared" si="10"/>
        <v>38.699628379999993</v>
      </c>
    </row>
    <row r="110" spans="1:16">
      <c r="A110" s="606">
        <v>108</v>
      </c>
      <c r="B110" s="607" t="s">
        <v>1448</v>
      </c>
      <c r="C110" s="616" t="s">
        <v>475</v>
      </c>
      <c r="D110" s="254">
        <v>10031111201052</v>
      </c>
      <c r="E110" s="280">
        <v>6009186</v>
      </c>
      <c r="F110" s="615">
        <v>587.36</v>
      </c>
      <c r="G110" s="610">
        <f t="shared" si="12"/>
        <v>43.347168000000003</v>
      </c>
      <c r="H110" s="615">
        <v>63.11</v>
      </c>
      <c r="I110" s="612">
        <f t="shared" si="13"/>
        <v>480.90283199999999</v>
      </c>
      <c r="J110" s="623" t="s">
        <v>13</v>
      </c>
      <c r="K110" s="615" t="s">
        <v>17</v>
      </c>
      <c r="L110" s="612">
        <f t="shared" si="11"/>
        <v>72.135424799999996</v>
      </c>
      <c r="M110" s="612">
        <f t="shared" si="7"/>
        <v>19.236113280000001</v>
      </c>
      <c r="N110" s="613">
        <f t="shared" si="8"/>
        <v>9.6180566400000007</v>
      </c>
      <c r="O110" s="613">
        <f t="shared" si="9"/>
        <v>9.6180566400000007</v>
      </c>
      <c r="P110" s="610">
        <f t="shared" si="10"/>
        <v>33.66319824</v>
      </c>
    </row>
    <row r="111" spans="1:16">
      <c r="A111" s="606">
        <v>109</v>
      </c>
      <c r="B111" s="607" t="s">
        <v>1449</v>
      </c>
      <c r="C111" s="616" t="s">
        <v>29</v>
      </c>
      <c r="D111" s="254">
        <v>2798888</v>
      </c>
      <c r="E111" s="280">
        <v>6008624</v>
      </c>
      <c r="F111" s="615">
        <v>1065.31</v>
      </c>
      <c r="G111" s="610">
        <f t="shared" si="12"/>
        <v>78.619878</v>
      </c>
      <c r="H111" s="615">
        <v>88.78</v>
      </c>
      <c r="I111" s="612">
        <f t="shared" si="13"/>
        <v>897.910122</v>
      </c>
      <c r="J111" s="623" t="s">
        <v>16</v>
      </c>
      <c r="K111" s="615" t="s">
        <v>1349</v>
      </c>
      <c r="L111" s="612">
        <f t="shared" si="11"/>
        <v>134.68651829999999</v>
      </c>
      <c r="M111" s="612">
        <f t="shared" si="7"/>
        <v>35.916404880000002</v>
      </c>
      <c r="N111" s="613">
        <f t="shared" si="8"/>
        <v>17.958202440000001</v>
      </c>
      <c r="O111" s="613">
        <f t="shared" si="9"/>
        <v>17.958202440000001</v>
      </c>
      <c r="P111" s="610">
        <f t="shared" si="10"/>
        <v>62.853708539999992</v>
      </c>
    </row>
    <row r="112" spans="1:16">
      <c r="A112" s="606">
        <v>110</v>
      </c>
      <c r="B112" s="607" t="s">
        <v>1450</v>
      </c>
      <c r="C112" s="616" t="s">
        <v>29</v>
      </c>
      <c r="D112" s="254">
        <v>100311111200822</v>
      </c>
      <c r="E112" s="280">
        <v>6008124</v>
      </c>
      <c r="F112" s="615">
        <v>666.46</v>
      </c>
      <c r="G112" s="610">
        <f t="shared" si="12"/>
        <v>49.184748000000006</v>
      </c>
      <c r="H112" s="615">
        <v>71.61</v>
      </c>
      <c r="I112" s="612">
        <f t="shared" si="13"/>
        <v>545.66525200000001</v>
      </c>
      <c r="J112" s="623" t="s">
        <v>13</v>
      </c>
      <c r="K112" s="615" t="s">
        <v>25</v>
      </c>
      <c r="L112" s="612">
        <f t="shared" si="11"/>
        <v>81.849787800000001</v>
      </c>
      <c r="M112" s="612">
        <f t="shared" si="7"/>
        <v>21.826610080000002</v>
      </c>
      <c r="N112" s="613">
        <f t="shared" si="8"/>
        <v>10.913305040000001</v>
      </c>
      <c r="O112" s="613">
        <f t="shared" si="9"/>
        <v>10.913305040000001</v>
      </c>
      <c r="P112" s="610">
        <f t="shared" si="10"/>
        <v>38.196567639999998</v>
      </c>
    </row>
    <row r="113" spans="1:16">
      <c r="A113" s="606">
        <v>111</v>
      </c>
      <c r="B113" s="607" t="s">
        <v>1451</v>
      </c>
      <c r="C113" s="616" t="s">
        <v>18</v>
      </c>
      <c r="D113" s="254">
        <v>100311111201157</v>
      </c>
      <c r="E113" s="280" t="s">
        <v>1452</v>
      </c>
      <c r="F113" s="615">
        <v>547.92999999999995</v>
      </c>
      <c r="G113" s="610">
        <f t="shared" si="12"/>
        <v>40.437233999999997</v>
      </c>
      <c r="H113" s="615">
        <v>67.58</v>
      </c>
      <c r="I113" s="612">
        <f t="shared" si="13"/>
        <v>439.91276599999998</v>
      </c>
      <c r="J113" s="623" t="s">
        <v>16</v>
      </c>
      <c r="K113" s="615" t="s">
        <v>17</v>
      </c>
      <c r="L113" s="612">
        <f t="shared" si="11"/>
        <v>65.986914899999988</v>
      </c>
      <c r="M113" s="612">
        <f t="shared" si="7"/>
        <v>17.596510639999998</v>
      </c>
      <c r="N113" s="613">
        <f t="shared" si="8"/>
        <v>8.7982553199999991</v>
      </c>
      <c r="O113" s="613">
        <f t="shared" si="9"/>
        <v>8.7982553199999991</v>
      </c>
      <c r="P113" s="610">
        <f t="shared" si="10"/>
        <v>30.793893619999988</v>
      </c>
    </row>
    <row r="114" spans="1:16">
      <c r="A114" s="606">
        <v>112</v>
      </c>
      <c r="B114" s="607" t="s">
        <v>1453</v>
      </c>
      <c r="C114" s="616" t="s">
        <v>29</v>
      </c>
      <c r="D114" s="254">
        <v>100311111882269</v>
      </c>
      <c r="E114" s="280">
        <v>5998392</v>
      </c>
      <c r="F114" s="615">
        <v>650.98</v>
      </c>
      <c r="G114" s="610">
        <f t="shared" si="12"/>
        <v>48.042324000000008</v>
      </c>
      <c r="H114" s="615">
        <v>69.650000000000006</v>
      </c>
      <c r="I114" s="612">
        <f t="shared" si="13"/>
        <v>533.28767600000003</v>
      </c>
      <c r="J114" s="623" t="s">
        <v>13</v>
      </c>
      <c r="K114" s="615" t="s">
        <v>50</v>
      </c>
      <c r="L114" s="612">
        <f t="shared" si="11"/>
        <v>79.993151400000002</v>
      </c>
      <c r="M114" s="612">
        <f t="shared" si="7"/>
        <v>21.331507040000002</v>
      </c>
      <c r="N114" s="613">
        <f t="shared" si="8"/>
        <v>10.665753520000001</v>
      </c>
      <c r="O114" s="613">
        <f t="shared" si="9"/>
        <v>10.665753520000001</v>
      </c>
      <c r="P114" s="610">
        <f t="shared" si="10"/>
        <v>37.330137319999992</v>
      </c>
    </row>
    <row r="115" spans="1:16">
      <c r="A115" s="606">
        <v>113</v>
      </c>
      <c r="B115" s="607" t="s">
        <v>1454</v>
      </c>
      <c r="C115" s="616" t="s">
        <v>29</v>
      </c>
      <c r="D115" s="254">
        <v>1003111202696</v>
      </c>
      <c r="E115" s="280">
        <v>6003071</v>
      </c>
      <c r="F115" s="615">
        <v>872.55</v>
      </c>
      <c r="G115" s="610">
        <f t="shared" si="12"/>
        <v>64.394189999999995</v>
      </c>
      <c r="H115" s="615">
        <v>0</v>
      </c>
      <c r="I115" s="612">
        <f t="shared" si="13"/>
        <v>808.15580999999997</v>
      </c>
      <c r="J115" s="623" t="s">
        <v>13</v>
      </c>
      <c r="K115" s="615" t="s">
        <v>53</v>
      </c>
      <c r="L115" s="612">
        <f t="shared" si="11"/>
        <v>121.22337149999998</v>
      </c>
      <c r="M115" s="612">
        <f t="shared" si="7"/>
        <v>32.326232400000002</v>
      </c>
      <c r="N115" s="613">
        <f t="shared" si="8"/>
        <v>16.163116200000001</v>
      </c>
      <c r="O115" s="613">
        <f t="shared" si="9"/>
        <v>16.163116200000001</v>
      </c>
      <c r="P115" s="610">
        <f t="shared" si="10"/>
        <v>56.570906699999966</v>
      </c>
    </row>
    <row r="116" spans="1:16">
      <c r="A116" s="606">
        <v>114</v>
      </c>
      <c r="B116" s="607" t="s">
        <v>1455</v>
      </c>
      <c r="C116" s="616" t="s">
        <v>475</v>
      </c>
      <c r="D116" s="254">
        <v>10031111202832</v>
      </c>
      <c r="E116" s="280" t="s">
        <v>1456</v>
      </c>
      <c r="F116" s="615">
        <v>500.93</v>
      </c>
      <c r="G116" s="610">
        <f t="shared" si="12"/>
        <v>36.968634000000002</v>
      </c>
      <c r="H116" s="615">
        <v>94.37</v>
      </c>
      <c r="I116" s="612">
        <f t="shared" si="13"/>
        <v>369.59136599999999</v>
      </c>
      <c r="J116" s="623" t="s">
        <v>13</v>
      </c>
      <c r="K116" s="615" t="s">
        <v>17</v>
      </c>
      <c r="L116" s="612">
        <f t="shared" si="11"/>
        <v>55.438704899999998</v>
      </c>
      <c r="M116" s="612">
        <f t="shared" si="7"/>
        <v>14.78365464</v>
      </c>
      <c r="N116" s="613">
        <f t="shared" si="8"/>
        <v>7.39182732</v>
      </c>
      <c r="O116" s="613">
        <f t="shared" si="9"/>
        <v>7.39182732</v>
      </c>
      <c r="P116" s="610">
        <f t="shared" si="10"/>
        <v>25.871395619999998</v>
      </c>
    </row>
    <row r="117" spans="1:16">
      <c r="A117" s="606">
        <v>115</v>
      </c>
      <c r="B117" s="607" t="s">
        <v>1457</v>
      </c>
      <c r="C117" s="616" t="s">
        <v>234</v>
      </c>
      <c r="D117" s="254">
        <v>10031111202195</v>
      </c>
      <c r="E117" s="280">
        <v>5978507</v>
      </c>
      <c r="F117" s="615">
        <v>556.58000000000004</v>
      </c>
      <c r="G117" s="610">
        <f t="shared" si="12"/>
        <v>41.075604000000006</v>
      </c>
      <c r="H117" s="615">
        <v>0</v>
      </c>
      <c r="I117" s="612">
        <f t="shared" si="13"/>
        <v>515.50439600000004</v>
      </c>
      <c r="J117" s="623" t="s">
        <v>13</v>
      </c>
      <c r="K117" s="615" t="s">
        <v>330</v>
      </c>
      <c r="L117" s="612">
        <f t="shared" si="11"/>
        <v>77.325659400000006</v>
      </c>
      <c r="M117" s="612">
        <f t="shared" si="7"/>
        <v>20.620175840000002</v>
      </c>
      <c r="N117" s="613">
        <f t="shared" si="8"/>
        <v>10.310087920000001</v>
      </c>
      <c r="O117" s="613">
        <f t="shared" si="9"/>
        <v>10.310087920000001</v>
      </c>
      <c r="P117" s="610">
        <f t="shared" si="10"/>
        <v>36.085307720000003</v>
      </c>
    </row>
    <row r="118" spans="1:16">
      <c r="A118" s="606">
        <v>116</v>
      </c>
      <c r="B118" s="339" t="s">
        <v>1458</v>
      </c>
      <c r="C118" s="327" t="s">
        <v>475</v>
      </c>
      <c r="D118" s="400">
        <v>10031111202161</v>
      </c>
      <c r="E118" s="401">
        <v>5986360</v>
      </c>
      <c r="F118" s="294">
        <v>560.27</v>
      </c>
      <c r="G118" s="294">
        <f t="shared" si="12"/>
        <v>41.347926000000001</v>
      </c>
      <c r="H118" s="294">
        <v>69.099999999999994</v>
      </c>
      <c r="I118" s="293">
        <f t="shared" si="13"/>
        <v>449.82207399999993</v>
      </c>
      <c r="J118" s="329" t="s">
        <v>13</v>
      </c>
      <c r="K118" s="294" t="s">
        <v>14</v>
      </c>
      <c r="L118" s="293">
        <f t="shared" si="11"/>
        <v>67.473311099999989</v>
      </c>
      <c r="M118" s="293">
        <f t="shared" si="7"/>
        <v>17.992882959999999</v>
      </c>
      <c r="N118" s="296">
        <f t="shared" si="8"/>
        <v>8.9964414799999997</v>
      </c>
      <c r="O118" s="296">
        <f t="shared" si="9"/>
        <v>8.9964414799999997</v>
      </c>
      <c r="P118" s="294">
        <f t="shared" si="10"/>
        <v>31.487545179999984</v>
      </c>
    </row>
    <row r="119" spans="1:16">
      <c r="A119" s="606">
        <v>117</v>
      </c>
      <c r="B119" s="339" t="s">
        <v>1459</v>
      </c>
      <c r="C119" s="327" t="s">
        <v>475</v>
      </c>
      <c r="D119" s="400">
        <v>10031111202137</v>
      </c>
      <c r="E119" s="401">
        <v>5986414</v>
      </c>
      <c r="F119" s="294">
        <v>614.34</v>
      </c>
      <c r="G119" s="294">
        <f t="shared" si="12"/>
        <v>45.338292000000003</v>
      </c>
      <c r="H119" s="294">
        <v>66.010000000000005</v>
      </c>
      <c r="I119" s="293">
        <f t="shared" si="13"/>
        <v>502.99170800000002</v>
      </c>
      <c r="J119" s="329" t="s">
        <v>13</v>
      </c>
      <c r="K119" s="294" t="s">
        <v>23</v>
      </c>
      <c r="L119" s="293">
        <f t="shared" si="11"/>
        <v>75.448756200000005</v>
      </c>
      <c r="M119" s="293">
        <f t="shared" si="7"/>
        <v>20.119668320000002</v>
      </c>
      <c r="N119" s="296">
        <f t="shared" si="8"/>
        <v>10.059834160000001</v>
      </c>
      <c r="O119" s="296">
        <f t="shared" si="9"/>
        <v>10.059834160000001</v>
      </c>
      <c r="P119" s="294">
        <f t="shared" si="10"/>
        <v>35.209419560000001</v>
      </c>
    </row>
    <row r="120" spans="1:16">
      <c r="A120" s="606">
        <v>118</v>
      </c>
      <c r="B120" s="607" t="s">
        <v>1460</v>
      </c>
      <c r="C120" s="616" t="s">
        <v>1461</v>
      </c>
      <c r="D120" s="254">
        <v>10031111212685</v>
      </c>
      <c r="E120" s="280">
        <v>6017017</v>
      </c>
      <c r="F120" s="615">
        <v>588.67999999999995</v>
      </c>
      <c r="G120" s="610">
        <f t="shared" si="12"/>
        <v>43.444583999999999</v>
      </c>
      <c r="H120" s="615">
        <v>0</v>
      </c>
      <c r="I120" s="612">
        <f t="shared" si="13"/>
        <v>545.23541599999999</v>
      </c>
      <c r="J120" s="623" t="s">
        <v>13</v>
      </c>
      <c r="K120" s="615" t="s">
        <v>1358</v>
      </c>
      <c r="L120" s="610">
        <f t="shared" si="11"/>
        <v>81.785312399999995</v>
      </c>
      <c r="M120" s="612">
        <f t="shared" si="7"/>
        <v>21.809416639999998</v>
      </c>
      <c r="N120" s="613">
        <f t="shared" si="8"/>
        <v>10.904708319999999</v>
      </c>
      <c r="O120" s="613">
        <f t="shared" si="9"/>
        <v>10.904708319999999</v>
      </c>
      <c r="P120" s="610">
        <f t="shared" si="10"/>
        <v>38.166479120000005</v>
      </c>
    </row>
    <row r="121" spans="1:16">
      <c r="A121" s="606">
        <v>119</v>
      </c>
      <c r="B121" s="607" t="s">
        <v>1462</v>
      </c>
      <c r="C121" s="616" t="s">
        <v>29</v>
      </c>
      <c r="D121" s="254">
        <v>10031111121943</v>
      </c>
      <c r="E121" s="280">
        <v>6014685</v>
      </c>
      <c r="F121" s="615">
        <v>734.03</v>
      </c>
      <c r="G121" s="610">
        <f t="shared" si="12"/>
        <v>54.171413999999999</v>
      </c>
      <c r="H121" s="615">
        <v>0</v>
      </c>
      <c r="I121" s="612">
        <f t="shared" si="13"/>
        <v>679.85858599999995</v>
      </c>
      <c r="J121" s="623" t="s">
        <v>13</v>
      </c>
      <c r="K121" s="615" t="s">
        <v>211</v>
      </c>
      <c r="L121" s="610">
        <f t="shared" si="11"/>
        <v>101.97878789999999</v>
      </c>
      <c r="M121" s="612">
        <f t="shared" si="7"/>
        <v>27.194343439999997</v>
      </c>
      <c r="N121" s="613">
        <f t="shared" si="8"/>
        <v>13.597171719999999</v>
      </c>
      <c r="O121" s="613">
        <f t="shared" si="9"/>
        <v>13.597171719999999</v>
      </c>
      <c r="P121" s="610">
        <f t="shared" si="10"/>
        <v>47.590101019999992</v>
      </c>
    </row>
    <row r="122" spans="1:16">
      <c r="A122" s="606">
        <v>120</v>
      </c>
      <c r="B122" s="339" t="s">
        <v>1463</v>
      </c>
      <c r="C122" s="327" t="s">
        <v>29</v>
      </c>
      <c r="D122" s="400">
        <v>10031111211400</v>
      </c>
      <c r="E122" s="401">
        <v>6016288</v>
      </c>
      <c r="F122" s="294">
        <v>908.61</v>
      </c>
      <c r="G122" s="294">
        <f t="shared" si="12"/>
        <v>67.055418000000003</v>
      </c>
      <c r="H122" s="294">
        <v>97.63</v>
      </c>
      <c r="I122" s="293">
        <f t="shared" si="13"/>
        <v>743.92458199999999</v>
      </c>
      <c r="J122" s="329" t="s">
        <v>13</v>
      </c>
      <c r="K122" s="294" t="s">
        <v>238</v>
      </c>
      <c r="L122" s="294">
        <f t="shared" si="11"/>
        <v>111.58868729999999</v>
      </c>
      <c r="M122" s="293">
        <f t="shared" si="7"/>
        <v>29.75698328</v>
      </c>
      <c r="N122" s="296">
        <f t="shared" si="8"/>
        <v>14.87849164</v>
      </c>
      <c r="O122" s="296">
        <f t="shared" si="9"/>
        <v>14.87849164</v>
      </c>
      <c r="P122" s="294">
        <f t="shared" si="10"/>
        <v>52.074720739999997</v>
      </c>
    </row>
    <row r="123" spans="1:16">
      <c r="A123" s="606">
        <v>121</v>
      </c>
      <c r="B123" s="607" t="s">
        <v>1464</v>
      </c>
      <c r="C123" s="616" t="s">
        <v>29</v>
      </c>
      <c r="D123" s="254">
        <v>10031111211174</v>
      </c>
      <c r="E123" s="280">
        <v>6014863</v>
      </c>
      <c r="F123" s="615">
        <v>669.51</v>
      </c>
      <c r="G123" s="610">
        <f t="shared" si="12"/>
        <v>49.409838000000001</v>
      </c>
      <c r="H123" s="615">
        <v>0</v>
      </c>
      <c r="I123" s="612">
        <f t="shared" si="13"/>
        <v>620.10016199999995</v>
      </c>
      <c r="J123" s="623" t="s">
        <v>13</v>
      </c>
      <c r="K123" s="615" t="s">
        <v>211</v>
      </c>
      <c r="L123" s="610">
        <f t="shared" si="11"/>
        <v>93.015024299999993</v>
      </c>
      <c r="M123" s="612">
        <f t="shared" si="7"/>
        <v>24.804006479999998</v>
      </c>
      <c r="N123" s="613">
        <f t="shared" si="8"/>
        <v>12.402003239999999</v>
      </c>
      <c r="O123" s="613">
        <f t="shared" si="9"/>
        <v>12.402003239999999</v>
      </c>
      <c r="P123" s="610">
        <f t="shared" si="10"/>
        <v>43.407011339999997</v>
      </c>
    </row>
    <row r="124" spans="1:16">
      <c r="A124" s="606">
        <v>122</v>
      </c>
      <c r="B124" s="607" t="s">
        <v>1465</v>
      </c>
      <c r="C124" s="616" t="s">
        <v>1466</v>
      </c>
      <c r="D124" s="254">
        <v>1003111189402</v>
      </c>
      <c r="E124" s="280">
        <v>6013782</v>
      </c>
      <c r="F124" s="615">
        <v>449.19</v>
      </c>
      <c r="G124" s="610">
        <f t="shared" si="12"/>
        <v>33.150221999999999</v>
      </c>
      <c r="H124" s="615">
        <v>0</v>
      </c>
      <c r="I124" s="612">
        <f t="shared" si="13"/>
        <v>416.03977800000001</v>
      </c>
      <c r="J124" s="623" t="s">
        <v>13</v>
      </c>
      <c r="K124" s="615" t="s">
        <v>14</v>
      </c>
      <c r="L124" s="610">
        <f t="shared" si="11"/>
        <v>62.4059667</v>
      </c>
      <c r="M124" s="612">
        <f t="shared" si="7"/>
        <v>16.641591120000001</v>
      </c>
      <c r="N124" s="613">
        <f t="shared" si="8"/>
        <v>8.3207955600000005</v>
      </c>
      <c r="O124" s="613">
        <f t="shared" si="9"/>
        <v>8.3207955600000005</v>
      </c>
      <c r="P124" s="610">
        <f t="shared" si="10"/>
        <v>29.122784459999998</v>
      </c>
    </row>
    <row r="125" spans="1:16">
      <c r="A125" s="606">
        <v>123</v>
      </c>
      <c r="B125" s="607" t="s">
        <v>1467</v>
      </c>
      <c r="C125" s="616" t="s">
        <v>475</v>
      </c>
      <c r="D125" s="254">
        <v>280377</v>
      </c>
      <c r="E125" s="280">
        <v>6020359</v>
      </c>
      <c r="F125" s="615">
        <v>459.72</v>
      </c>
      <c r="G125" s="610">
        <f t="shared" si="12"/>
        <v>33.927336000000004</v>
      </c>
      <c r="H125" s="615">
        <v>45.97</v>
      </c>
      <c r="I125" s="612">
        <f t="shared" si="13"/>
        <v>379.82266400000003</v>
      </c>
      <c r="J125" s="623" t="s">
        <v>16</v>
      </c>
      <c r="K125" s="615" t="s">
        <v>17</v>
      </c>
      <c r="L125" s="610">
        <f t="shared" si="11"/>
        <v>56.9733996</v>
      </c>
      <c r="M125" s="612">
        <f t="shared" si="7"/>
        <v>15.192906560000001</v>
      </c>
      <c r="N125" s="613">
        <f t="shared" si="8"/>
        <v>7.5964532800000004</v>
      </c>
      <c r="O125" s="613">
        <f t="shared" si="9"/>
        <v>7.5964532800000004</v>
      </c>
      <c r="P125" s="610">
        <f t="shared" si="10"/>
        <v>26.587586479999999</v>
      </c>
    </row>
    <row r="126" spans="1:16">
      <c r="A126" s="606">
        <v>124</v>
      </c>
      <c r="B126" s="607" t="s">
        <v>1468</v>
      </c>
      <c r="C126" s="616" t="s">
        <v>173</v>
      </c>
      <c r="D126" s="254">
        <v>10031111218807</v>
      </c>
      <c r="E126" s="280">
        <v>6020531</v>
      </c>
      <c r="F126" s="615">
        <v>615.24</v>
      </c>
      <c r="G126" s="610">
        <f t="shared" si="12"/>
        <v>45.404712000000004</v>
      </c>
      <c r="H126" s="615">
        <v>205.08</v>
      </c>
      <c r="I126" s="612">
        <f t="shared" si="13"/>
        <v>364.75528799999995</v>
      </c>
      <c r="J126" s="623" t="s">
        <v>13</v>
      </c>
      <c r="K126" s="615" t="s">
        <v>17</v>
      </c>
      <c r="L126" s="610">
        <f t="shared" si="11"/>
        <v>54.713293199999988</v>
      </c>
      <c r="M126" s="612">
        <f t="shared" si="7"/>
        <v>14.590211519999999</v>
      </c>
      <c r="N126" s="613">
        <f t="shared" si="8"/>
        <v>7.2951057599999993</v>
      </c>
      <c r="O126" s="613">
        <f t="shared" si="9"/>
        <v>7.2951057599999993</v>
      </c>
      <c r="P126" s="610">
        <f t="shared" si="10"/>
        <v>25.532870159999995</v>
      </c>
    </row>
    <row r="127" spans="1:16">
      <c r="A127" s="606">
        <v>125</v>
      </c>
      <c r="B127" s="607" t="s">
        <v>1469</v>
      </c>
      <c r="C127" s="616" t="s">
        <v>475</v>
      </c>
      <c r="D127" s="254">
        <v>37009869</v>
      </c>
      <c r="E127" s="280">
        <v>6018119</v>
      </c>
      <c r="F127" s="615">
        <v>523.57000000000005</v>
      </c>
      <c r="G127" s="610">
        <f t="shared" si="12"/>
        <v>38.639466000000006</v>
      </c>
      <c r="H127" s="615">
        <v>43.6</v>
      </c>
      <c r="I127" s="612">
        <f t="shared" si="13"/>
        <v>441.330534</v>
      </c>
      <c r="J127" s="623" t="s">
        <v>16</v>
      </c>
      <c r="K127" s="615" t="s">
        <v>14</v>
      </c>
      <c r="L127" s="610">
        <f t="shared" si="11"/>
        <v>66.199580099999991</v>
      </c>
      <c r="M127" s="612">
        <f t="shared" si="7"/>
        <v>17.65322136</v>
      </c>
      <c r="N127" s="613">
        <f t="shared" si="8"/>
        <v>8.8266106799999999</v>
      </c>
      <c r="O127" s="613">
        <f t="shared" si="9"/>
        <v>8.8266106799999999</v>
      </c>
      <c r="P127" s="610">
        <f t="shared" si="10"/>
        <v>30.893137379999985</v>
      </c>
    </row>
    <row r="128" spans="1:16">
      <c r="A128" s="606">
        <v>126</v>
      </c>
      <c r="B128" s="607" t="s">
        <v>1470</v>
      </c>
      <c r="C128" s="616" t="s">
        <v>29</v>
      </c>
      <c r="D128" s="254">
        <v>37009869</v>
      </c>
      <c r="E128" s="280">
        <v>6018119</v>
      </c>
      <c r="F128" s="615">
        <v>770.55</v>
      </c>
      <c r="G128" s="610">
        <f t="shared" si="12"/>
        <v>56.866590000000002</v>
      </c>
      <c r="H128" s="615">
        <v>82.8</v>
      </c>
      <c r="I128" s="612">
        <f t="shared" si="13"/>
        <v>630.88341000000003</v>
      </c>
      <c r="J128" s="623" t="s">
        <v>13</v>
      </c>
      <c r="K128" s="615" t="s">
        <v>17</v>
      </c>
      <c r="L128" s="610">
        <f t="shared" si="11"/>
        <v>94.632511500000007</v>
      </c>
      <c r="M128" s="612">
        <f t="shared" si="7"/>
        <v>25.235336400000001</v>
      </c>
      <c r="N128" s="613">
        <f t="shared" si="8"/>
        <v>12.617668200000001</v>
      </c>
      <c r="O128" s="613">
        <f t="shared" si="9"/>
        <v>12.617668200000001</v>
      </c>
      <c r="P128" s="610">
        <f t="shared" si="10"/>
        <v>44.161838700000004</v>
      </c>
    </row>
    <row r="129" spans="1:16">
      <c r="A129" s="606">
        <v>127</v>
      </c>
      <c r="B129" s="607" t="s">
        <v>1471</v>
      </c>
      <c r="C129" s="616" t="s">
        <v>173</v>
      </c>
      <c r="D129" s="254">
        <v>1003111112214670</v>
      </c>
      <c r="E129" s="280">
        <v>6017885</v>
      </c>
      <c r="F129" s="615">
        <v>559.41999999999996</v>
      </c>
      <c r="G129" s="610">
        <f t="shared" si="12"/>
        <v>41.285195999999999</v>
      </c>
      <c r="H129" s="615">
        <v>60.11</v>
      </c>
      <c r="I129" s="612">
        <f t="shared" si="13"/>
        <v>458.0248039999999</v>
      </c>
      <c r="J129" s="623" t="s">
        <v>13</v>
      </c>
      <c r="K129" s="615" t="s">
        <v>211</v>
      </c>
      <c r="L129" s="610">
        <f t="shared" si="11"/>
        <v>68.703720599999983</v>
      </c>
      <c r="M129" s="612">
        <f t="shared" si="7"/>
        <v>18.320992159999996</v>
      </c>
      <c r="N129" s="613">
        <f t="shared" si="8"/>
        <v>9.1604960799999979</v>
      </c>
      <c r="O129" s="613">
        <f t="shared" si="9"/>
        <v>9.1604960799999979</v>
      </c>
      <c r="P129" s="610">
        <f t="shared" si="10"/>
        <v>32.061736279999991</v>
      </c>
    </row>
    <row r="130" spans="1:16">
      <c r="A130" s="606">
        <v>128</v>
      </c>
      <c r="B130" s="607" t="s">
        <v>1472</v>
      </c>
      <c r="C130" s="616" t="s">
        <v>475</v>
      </c>
      <c r="D130" s="254">
        <v>10031111224481</v>
      </c>
      <c r="E130" s="280">
        <v>6002959</v>
      </c>
      <c r="F130" s="615">
        <v>548.71</v>
      </c>
      <c r="G130" s="610">
        <f t="shared" si="12"/>
        <v>40.494798000000003</v>
      </c>
      <c r="H130" s="615">
        <v>67.680000000000007</v>
      </c>
      <c r="I130" s="612">
        <f t="shared" si="13"/>
        <v>440.53520200000003</v>
      </c>
      <c r="J130" s="623" t="s">
        <v>13</v>
      </c>
      <c r="K130" s="615" t="s">
        <v>53</v>
      </c>
      <c r="L130" s="610">
        <f t="shared" si="11"/>
        <v>66.080280299999998</v>
      </c>
      <c r="M130" s="612">
        <f t="shared" si="7"/>
        <v>17.621408080000002</v>
      </c>
      <c r="N130" s="613">
        <f t="shared" si="8"/>
        <v>8.810704040000001</v>
      </c>
      <c r="O130" s="613">
        <f t="shared" si="9"/>
        <v>8.810704040000001</v>
      </c>
      <c r="P130" s="610">
        <f t="shared" si="10"/>
        <v>30.837464139999998</v>
      </c>
    </row>
    <row r="131" spans="1:16">
      <c r="A131" s="606">
        <v>129</v>
      </c>
      <c r="B131" s="339" t="s">
        <v>1473</v>
      </c>
      <c r="C131" s="327" t="s">
        <v>475</v>
      </c>
      <c r="D131" s="400">
        <v>10031111224787</v>
      </c>
      <c r="E131" s="401">
        <v>6003034</v>
      </c>
      <c r="F131" s="294">
        <v>588.09</v>
      </c>
      <c r="G131" s="294">
        <f t="shared" si="12"/>
        <v>43.401042000000004</v>
      </c>
      <c r="H131" s="294">
        <v>155.51</v>
      </c>
      <c r="I131" s="293">
        <f t="shared" si="13"/>
        <v>389.17895800000008</v>
      </c>
      <c r="J131" s="329" t="s">
        <v>13</v>
      </c>
      <c r="K131" s="294" t="s">
        <v>164</v>
      </c>
      <c r="L131" s="294">
        <f t="shared" si="11"/>
        <v>58.376843700000009</v>
      </c>
      <c r="M131" s="293">
        <f t="shared" si="7"/>
        <v>15.567158320000004</v>
      </c>
      <c r="N131" s="296">
        <f t="shared" si="8"/>
        <v>7.7835791600000022</v>
      </c>
      <c r="O131" s="296">
        <f t="shared" si="9"/>
        <v>7.7835791600000022</v>
      </c>
      <c r="P131" s="294">
        <f t="shared" si="10"/>
        <v>27.24252706</v>
      </c>
    </row>
    <row r="132" spans="1:16">
      <c r="A132" s="606">
        <v>130</v>
      </c>
      <c r="B132" s="339" t="s">
        <v>1474</v>
      </c>
      <c r="C132" s="327" t="s">
        <v>1021</v>
      </c>
      <c r="D132" s="400">
        <v>1003111224727</v>
      </c>
      <c r="E132" s="401">
        <v>6006702</v>
      </c>
      <c r="F132" s="294">
        <v>550.41999999999996</v>
      </c>
      <c r="G132" s="294">
        <f t="shared" si="12"/>
        <v>40.620995999999998</v>
      </c>
      <c r="H132" s="294">
        <v>67.89</v>
      </c>
      <c r="I132" s="293">
        <f t="shared" si="13"/>
        <v>441.90900399999998</v>
      </c>
      <c r="J132" s="329" t="s">
        <v>13</v>
      </c>
      <c r="K132" s="294" t="s">
        <v>266</v>
      </c>
      <c r="L132" s="294">
        <f t="shared" si="11"/>
        <v>66.286350599999992</v>
      </c>
      <c r="M132" s="293">
        <f t="shared" si="7"/>
        <v>17.676360159999998</v>
      </c>
      <c r="N132" s="296">
        <f t="shared" si="8"/>
        <v>8.838180079999999</v>
      </c>
      <c r="O132" s="296">
        <f t="shared" si="9"/>
        <v>8.838180079999999</v>
      </c>
      <c r="P132" s="294">
        <f t="shared" si="10"/>
        <v>30.933630279999988</v>
      </c>
    </row>
    <row r="133" spans="1:16">
      <c r="A133" s="606">
        <v>131</v>
      </c>
      <c r="B133" s="339" t="s">
        <v>1475</v>
      </c>
      <c r="C133" s="327" t="s">
        <v>475</v>
      </c>
      <c r="D133" s="400">
        <v>10031111224356</v>
      </c>
      <c r="E133" s="401">
        <v>6003003</v>
      </c>
      <c r="F133" s="294">
        <v>540.29999999999995</v>
      </c>
      <c r="G133" s="294">
        <f t="shared" si="12"/>
        <v>39.874139999999997</v>
      </c>
      <c r="H133" s="294">
        <v>66.64</v>
      </c>
      <c r="I133" s="293">
        <f t="shared" si="13"/>
        <v>433.78585999999996</v>
      </c>
      <c r="J133" s="329" t="s">
        <v>13</v>
      </c>
      <c r="K133" s="294" t="s">
        <v>1054</v>
      </c>
      <c r="L133" s="294">
        <f t="shared" si="11"/>
        <v>65.067878999999991</v>
      </c>
      <c r="M133" s="293">
        <f t="shared" si="7"/>
        <v>17.351434399999999</v>
      </c>
      <c r="N133" s="296">
        <f t="shared" si="8"/>
        <v>8.6757171999999994</v>
      </c>
      <c r="O133" s="296">
        <f t="shared" si="9"/>
        <v>8.6757171999999994</v>
      </c>
      <c r="P133" s="294">
        <f t="shared" si="10"/>
        <v>30.365010199999986</v>
      </c>
    </row>
    <row r="134" spans="1:16">
      <c r="A134" s="606">
        <v>132</v>
      </c>
      <c r="B134" s="607" t="s">
        <v>1476</v>
      </c>
      <c r="C134" s="616" t="s">
        <v>559</v>
      </c>
      <c r="D134" s="254">
        <v>10031111224137</v>
      </c>
      <c r="E134" s="280">
        <v>6022786</v>
      </c>
      <c r="F134" s="615">
        <v>586.71</v>
      </c>
      <c r="G134" s="610">
        <f t="shared" si="12"/>
        <v>43.299198000000004</v>
      </c>
      <c r="H134" s="615">
        <v>0</v>
      </c>
      <c r="I134" s="612">
        <f t="shared" si="13"/>
        <v>543.41080199999999</v>
      </c>
      <c r="J134" s="623" t="s">
        <v>13</v>
      </c>
      <c r="K134" s="615" t="s">
        <v>216</v>
      </c>
      <c r="L134" s="610">
        <f t="shared" si="11"/>
        <v>81.51162029999999</v>
      </c>
      <c r="M134" s="612">
        <f t="shared" si="7"/>
        <v>21.73643208</v>
      </c>
      <c r="N134" s="613">
        <f t="shared" si="8"/>
        <v>10.86821604</v>
      </c>
      <c r="O134" s="613">
        <f t="shared" si="9"/>
        <v>10.86821604</v>
      </c>
      <c r="P134" s="610">
        <f t="shared" si="10"/>
        <v>38.03875613999999</v>
      </c>
    </row>
    <row r="135" spans="1:16">
      <c r="A135" s="606">
        <v>133</v>
      </c>
      <c r="B135" s="607" t="s">
        <v>1477</v>
      </c>
      <c r="C135" s="616" t="s">
        <v>475</v>
      </c>
      <c r="D135" s="254">
        <v>1003111222861</v>
      </c>
      <c r="E135" s="280">
        <v>6020019</v>
      </c>
      <c r="F135" s="615">
        <v>503.26</v>
      </c>
      <c r="G135" s="610">
        <f t="shared" si="12"/>
        <v>37.140588000000001</v>
      </c>
      <c r="H135" s="615">
        <v>132.94</v>
      </c>
      <c r="I135" s="612">
        <f t="shared" si="13"/>
        <v>333.17941200000001</v>
      </c>
      <c r="J135" s="623" t="s">
        <v>13</v>
      </c>
      <c r="K135" s="615" t="s">
        <v>211</v>
      </c>
      <c r="L135" s="610">
        <f t="shared" si="11"/>
        <v>49.976911800000003</v>
      </c>
      <c r="M135" s="612">
        <f t="shared" si="7"/>
        <v>13.32717648</v>
      </c>
      <c r="N135" s="613">
        <f t="shared" si="8"/>
        <v>6.6635882400000002</v>
      </c>
      <c r="O135" s="613">
        <f t="shared" si="9"/>
        <v>6.6635882400000002</v>
      </c>
      <c r="P135" s="610">
        <f t="shared" si="10"/>
        <v>23.322558840000006</v>
      </c>
    </row>
    <row r="136" spans="1:16">
      <c r="A136" s="606">
        <v>134</v>
      </c>
      <c r="B136" s="607" t="s">
        <v>1478</v>
      </c>
      <c r="C136" s="616" t="s">
        <v>173</v>
      </c>
      <c r="D136" s="254">
        <v>51772025423</v>
      </c>
      <c r="E136" s="280">
        <v>6021775</v>
      </c>
      <c r="F136" s="615">
        <v>964.2</v>
      </c>
      <c r="G136" s="610">
        <f t="shared" si="12"/>
        <v>71.157960000000003</v>
      </c>
      <c r="H136" s="615">
        <v>118.92</v>
      </c>
      <c r="I136" s="612">
        <f t="shared" si="13"/>
        <v>774.12204000000008</v>
      </c>
      <c r="J136" s="623" t="s">
        <v>13</v>
      </c>
      <c r="K136" s="615" t="s">
        <v>17</v>
      </c>
      <c r="L136" s="610">
        <f t="shared" si="11"/>
        <v>116.118306</v>
      </c>
      <c r="M136" s="612">
        <f t="shared" si="7"/>
        <v>30.964881600000005</v>
      </c>
      <c r="N136" s="613">
        <f t="shared" si="8"/>
        <v>15.482440800000003</v>
      </c>
      <c r="O136" s="613">
        <f t="shared" si="9"/>
        <v>15.482440800000003</v>
      </c>
      <c r="P136" s="610">
        <f t="shared" si="10"/>
        <v>54.188542799999993</v>
      </c>
    </row>
    <row r="137" spans="1:16">
      <c r="A137" s="606">
        <v>135</v>
      </c>
      <c r="B137" s="607" t="s">
        <v>1479</v>
      </c>
      <c r="C137" s="616" t="s">
        <v>234</v>
      </c>
      <c r="D137" s="254">
        <v>100311111221983</v>
      </c>
      <c r="E137" s="280">
        <v>5938055</v>
      </c>
      <c r="F137" s="615">
        <v>575.20000000000005</v>
      </c>
      <c r="G137" s="610">
        <f t="shared" si="12"/>
        <v>42.449760000000005</v>
      </c>
      <c r="H137" s="615">
        <v>191.74</v>
      </c>
      <c r="I137" s="612">
        <f t="shared" si="13"/>
        <v>341.01024000000007</v>
      </c>
      <c r="J137" s="623" t="s">
        <v>16</v>
      </c>
      <c r="K137" s="615" t="s">
        <v>50</v>
      </c>
      <c r="L137" s="610">
        <f t="shared" si="11"/>
        <v>51.151536000000007</v>
      </c>
      <c r="M137" s="612">
        <f t="shared" si="7"/>
        <v>13.640409600000003</v>
      </c>
      <c r="N137" s="613">
        <f t="shared" si="8"/>
        <v>6.8202048000000017</v>
      </c>
      <c r="O137" s="613">
        <f t="shared" si="9"/>
        <v>6.8202048000000017</v>
      </c>
      <c r="P137" s="610">
        <f t="shared" si="10"/>
        <v>23.870716799999997</v>
      </c>
    </row>
    <row r="138" spans="1:16">
      <c r="A138" s="606">
        <v>136</v>
      </c>
      <c r="B138" s="607" t="s">
        <v>1480</v>
      </c>
      <c r="C138" s="616" t="s">
        <v>475</v>
      </c>
      <c r="D138" s="254">
        <v>100311111219768</v>
      </c>
      <c r="E138" s="280">
        <v>6017865</v>
      </c>
      <c r="F138" s="615">
        <v>519.14</v>
      </c>
      <c r="G138" s="610">
        <f t="shared" si="12"/>
        <v>38.312532000000004</v>
      </c>
      <c r="H138" s="615">
        <v>55.78</v>
      </c>
      <c r="I138" s="612">
        <f t="shared" si="13"/>
        <v>425.04746799999998</v>
      </c>
      <c r="J138" s="623" t="s">
        <v>13</v>
      </c>
      <c r="K138" s="615" t="s">
        <v>14</v>
      </c>
      <c r="L138" s="610">
        <f t="shared" si="11"/>
        <v>63.757120199999996</v>
      </c>
      <c r="M138" s="612">
        <f t="shared" si="7"/>
        <v>17.00189872</v>
      </c>
      <c r="N138" s="613">
        <f t="shared" si="8"/>
        <v>8.5009493599999999</v>
      </c>
      <c r="O138" s="613">
        <f t="shared" si="9"/>
        <v>8.5009493599999999</v>
      </c>
      <c r="P138" s="610">
        <f t="shared" si="10"/>
        <v>29.753322759999996</v>
      </c>
    </row>
    <row r="139" spans="1:16">
      <c r="A139" s="606">
        <v>137</v>
      </c>
      <c r="B139" s="607" t="s">
        <v>1481</v>
      </c>
      <c r="C139" s="616" t="s">
        <v>475</v>
      </c>
      <c r="D139" s="254">
        <v>10031111221916</v>
      </c>
      <c r="E139" s="280">
        <v>5938774</v>
      </c>
      <c r="F139" s="615">
        <v>562.54</v>
      </c>
      <c r="G139" s="610">
        <f t="shared" si="12"/>
        <v>41.515452000000003</v>
      </c>
      <c r="H139" s="615">
        <v>187.54</v>
      </c>
      <c r="I139" s="612">
        <f t="shared" si="13"/>
        <v>333.48454800000002</v>
      </c>
      <c r="J139" s="623" t="s">
        <v>13</v>
      </c>
      <c r="K139" s="615" t="s">
        <v>17</v>
      </c>
      <c r="L139" s="610">
        <f t="shared" si="11"/>
        <v>50.022682199999998</v>
      </c>
      <c r="M139" s="612">
        <f t="shared" si="7"/>
        <v>13.339381920000001</v>
      </c>
      <c r="N139" s="613">
        <f t="shared" si="8"/>
        <v>6.6696909600000005</v>
      </c>
      <c r="O139" s="613">
        <f t="shared" si="9"/>
        <v>6.6696909600000005</v>
      </c>
      <c r="P139" s="610">
        <f t="shared" si="10"/>
        <v>23.343918359999996</v>
      </c>
    </row>
    <row r="140" spans="1:16">
      <c r="A140" s="606">
        <v>138</v>
      </c>
      <c r="B140" s="607" t="s">
        <v>1482</v>
      </c>
      <c r="C140" s="616" t="s">
        <v>559</v>
      </c>
      <c r="D140" s="254">
        <v>2804853</v>
      </c>
      <c r="E140" s="280">
        <v>6023714</v>
      </c>
      <c r="F140" s="615">
        <v>571.79</v>
      </c>
      <c r="G140" s="610">
        <f t="shared" si="12"/>
        <v>42.198101999999999</v>
      </c>
      <c r="H140" s="615">
        <v>50.16</v>
      </c>
      <c r="I140" s="612">
        <f t="shared" si="13"/>
        <v>479.43189800000005</v>
      </c>
      <c r="J140" s="623" t="s">
        <v>16</v>
      </c>
      <c r="K140" s="615" t="s">
        <v>164</v>
      </c>
      <c r="L140" s="610">
        <f t="shared" si="11"/>
        <v>71.914784699999998</v>
      </c>
      <c r="M140" s="612">
        <f t="shared" si="7"/>
        <v>19.177275920000003</v>
      </c>
      <c r="N140" s="613">
        <f t="shared" si="8"/>
        <v>9.5886379600000016</v>
      </c>
      <c r="O140" s="613">
        <f t="shared" si="9"/>
        <v>9.5886379600000016</v>
      </c>
      <c r="P140" s="610">
        <f t="shared" si="10"/>
        <v>33.560232859999999</v>
      </c>
    </row>
    <row r="141" spans="1:16">
      <c r="A141" s="606">
        <v>139</v>
      </c>
      <c r="B141" s="607" t="s">
        <v>1483</v>
      </c>
      <c r="C141" s="616" t="s">
        <v>170</v>
      </c>
      <c r="D141" s="254">
        <v>10031111229700</v>
      </c>
      <c r="E141" s="280" t="s">
        <v>1484</v>
      </c>
      <c r="F141" s="615">
        <v>495.22</v>
      </c>
      <c r="G141" s="610">
        <f t="shared" si="12"/>
        <v>36.547236000000005</v>
      </c>
      <c r="H141" s="615">
        <v>130.81</v>
      </c>
      <c r="I141" s="612">
        <f t="shared" si="13"/>
        <v>327.86276400000003</v>
      </c>
      <c r="J141" s="623" t="s">
        <v>13</v>
      </c>
      <c r="K141" s="615" t="s">
        <v>17</v>
      </c>
      <c r="L141" s="610">
        <f t="shared" si="11"/>
        <v>49.179414600000001</v>
      </c>
      <c r="M141" s="612">
        <f t="shared" si="7"/>
        <v>13.114510560000001</v>
      </c>
      <c r="N141" s="613">
        <f t="shared" si="8"/>
        <v>6.5572552800000006</v>
      </c>
      <c r="O141" s="613">
        <f t="shared" si="9"/>
        <v>6.5572552800000006</v>
      </c>
      <c r="P141" s="610">
        <f t="shared" si="10"/>
        <v>22.950393480000002</v>
      </c>
    </row>
    <row r="142" spans="1:16">
      <c r="A142" s="606">
        <v>140</v>
      </c>
      <c r="B142" s="727" t="s">
        <v>1485</v>
      </c>
      <c r="C142" s="728" t="s">
        <v>173</v>
      </c>
      <c r="D142" s="254">
        <v>100311112234520</v>
      </c>
      <c r="E142" s="280">
        <v>5983928</v>
      </c>
      <c r="F142" s="615">
        <v>524.6</v>
      </c>
      <c r="G142" s="610">
        <f t="shared" si="12"/>
        <v>38.715480000000007</v>
      </c>
      <c r="H142" s="615">
        <v>0</v>
      </c>
      <c r="I142" s="612">
        <f t="shared" si="13"/>
        <v>485.88452000000001</v>
      </c>
      <c r="J142" s="623" t="s">
        <v>13</v>
      </c>
      <c r="K142" s="615" t="s">
        <v>33</v>
      </c>
      <c r="L142" s="610">
        <f t="shared" si="11"/>
        <v>72.882677999999999</v>
      </c>
      <c r="M142" s="612">
        <f t="shared" si="7"/>
        <v>19.435380800000001</v>
      </c>
      <c r="N142" s="613">
        <f t="shared" si="8"/>
        <v>9.7176904000000004</v>
      </c>
      <c r="O142" s="613">
        <f t="shared" si="9"/>
        <v>9.7176904000000004</v>
      </c>
      <c r="P142" s="610">
        <f t="shared" si="10"/>
        <v>34.01191639999999</v>
      </c>
    </row>
    <row r="143" spans="1:16">
      <c r="A143" s="606">
        <v>141</v>
      </c>
      <c r="B143" s="727" t="s">
        <v>1486</v>
      </c>
      <c r="C143" s="728" t="s">
        <v>29</v>
      </c>
      <c r="D143" s="254">
        <v>100311111236002</v>
      </c>
      <c r="E143" s="280">
        <v>6010901</v>
      </c>
      <c r="F143" s="615">
        <v>845.55</v>
      </c>
      <c r="G143" s="610">
        <f t="shared" si="12"/>
        <v>62.401589999999999</v>
      </c>
      <c r="H143" s="615">
        <v>215.45</v>
      </c>
      <c r="I143" s="612">
        <f t="shared" si="13"/>
        <v>567.69840999999997</v>
      </c>
      <c r="J143" s="623" t="s">
        <v>13</v>
      </c>
      <c r="K143" s="615" t="s">
        <v>216</v>
      </c>
      <c r="L143" s="610">
        <f t="shared" si="11"/>
        <v>85.154761499999992</v>
      </c>
      <c r="M143" s="612">
        <f t="shared" si="7"/>
        <v>22.707936399999998</v>
      </c>
      <c r="N143" s="613">
        <f t="shared" si="8"/>
        <v>11.353968199999999</v>
      </c>
      <c r="O143" s="613">
        <f t="shared" si="9"/>
        <v>11.353968199999999</v>
      </c>
      <c r="P143" s="610">
        <f t="shared" si="10"/>
        <v>39.738888700000004</v>
      </c>
    </row>
    <row r="144" spans="1:16">
      <c r="A144" s="606">
        <v>142</v>
      </c>
      <c r="B144" s="339" t="s">
        <v>1487</v>
      </c>
      <c r="C144" s="327" t="s">
        <v>475</v>
      </c>
      <c r="D144" s="400">
        <v>10031111212619</v>
      </c>
      <c r="E144" s="401">
        <v>6024352</v>
      </c>
      <c r="F144" s="294">
        <v>545.35</v>
      </c>
      <c r="G144" s="294">
        <f t="shared" si="12"/>
        <v>40.246830000000003</v>
      </c>
      <c r="H144" s="294">
        <v>58.37</v>
      </c>
      <c r="I144" s="293">
        <f t="shared" si="13"/>
        <v>446.73317000000003</v>
      </c>
      <c r="J144" s="329" t="s">
        <v>13</v>
      </c>
      <c r="K144" s="294" t="s">
        <v>216</v>
      </c>
      <c r="L144" s="294">
        <f t="shared" si="11"/>
        <v>67.009975499999996</v>
      </c>
      <c r="M144" s="293">
        <f t="shared" si="7"/>
        <v>17.869326800000003</v>
      </c>
      <c r="N144" s="296">
        <f t="shared" si="8"/>
        <v>8.9346634000000016</v>
      </c>
      <c r="O144" s="296">
        <f t="shared" si="9"/>
        <v>8.9346634000000016</v>
      </c>
      <c r="P144" s="294">
        <f t="shared" si="10"/>
        <v>31.271321899999993</v>
      </c>
    </row>
    <row r="145" spans="1:16">
      <c r="A145" s="606">
        <v>143</v>
      </c>
      <c r="B145" s="607" t="s">
        <v>1488</v>
      </c>
      <c r="C145" s="616" t="s">
        <v>475</v>
      </c>
      <c r="D145" s="254">
        <v>10031111126141</v>
      </c>
      <c r="E145" s="280">
        <v>6019941</v>
      </c>
      <c r="F145" s="615">
        <v>583.6</v>
      </c>
      <c r="G145" s="610">
        <f t="shared" si="12"/>
        <v>43.069680000000005</v>
      </c>
      <c r="H145" s="615">
        <v>62.71</v>
      </c>
      <c r="I145" s="612">
        <f t="shared" si="13"/>
        <v>477.82032000000009</v>
      </c>
      <c r="J145" s="623" t="s">
        <v>13</v>
      </c>
      <c r="K145" s="615" t="s">
        <v>17</v>
      </c>
      <c r="L145" s="610">
        <f t="shared" si="11"/>
        <v>71.673048000000009</v>
      </c>
      <c r="M145" s="612">
        <f t="shared" si="7"/>
        <v>19.112812800000004</v>
      </c>
      <c r="N145" s="613">
        <f t="shared" si="8"/>
        <v>9.556406400000002</v>
      </c>
      <c r="O145" s="613">
        <f t="shared" si="9"/>
        <v>9.556406400000002</v>
      </c>
      <c r="P145" s="610">
        <f t="shared" si="10"/>
        <v>33.447422400000008</v>
      </c>
    </row>
    <row r="146" spans="1:16">
      <c r="A146" s="606">
        <v>144</v>
      </c>
      <c r="B146" s="607" t="s">
        <v>1489</v>
      </c>
      <c r="C146" s="616" t="s">
        <v>475</v>
      </c>
      <c r="D146" s="254">
        <v>100311111230189</v>
      </c>
      <c r="E146" s="280">
        <v>6025285</v>
      </c>
      <c r="F146" s="615">
        <v>483.9</v>
      </c>
      <c r="G146" s="610">
        <f t="shared" si="12"/>
        <v>35.711820000000003</v>
      </c>
      <c r="H146" s="615">
        <v>161.30000000000001</v>
      </c>
      <c r="I146" s="612">
        <f t="shared" si="13"/>
        <v>286.88817999999998</v>
      </c>
      <c r="J146" s="623" t="s">
        <v>13</v>
      </c>
      <c r="K146" s="615" t="s">
        <v>17</v>
      </c>
      <c r="L146" s="610">
        <f t="shared" si="11"/>
        <v>43.033226999999997</v>
      </c>
      <c r="M146" s="612">
        <f t="shared" si="7"/>
        <v>11.4755272</v>
      </c>
      <c r="N146" s="613">
        <f t="shared" si="8"/>
        <v>5.7377636000000001</v>
      </c>
      <c r="O146" s="613">
        <f t="shared" si="9"/>
        <v>5.7377636000000001</v>
      </c>
      <c r="P146" s="610">
        <f t="shared" si="10"/>
        <v>20.082172599999993</v>
      </c>
    </row>
    <row r="147" spans="1:16">
      <c r="A147" s="606">
        <v>145</v>
      </c>
      <c r="B147" s="339" t="s">
        <v>1490</v>
      </c>
      <c r="C147" s="327" t="s">
        <v>29</v>
      </c>
      <c r="D147" s="400">
        <v>37044488</v>
      </c>
      <c r="E147" s="401">
        <v>6026114</v>
      </c>
      <c r="F147" s="294">
        <v>405.77</v>
      </c>
      <c r="G147" s="294">
        <f t="shared" si="12"/>
        <v>29.945826</v>
      </c>
      <c r="H147" s="294">
        <v>101.41</v>
      </c>
      <c r="I147" s="293">
        <f t="shared" si="13"/>
        <v>274.414174</v>
      </c>
      <c r="J147" s="329" t="s">
        <v>13</v>
      </c>
      <c r="K147" s="294" t="s">
        <v>211</v>
      </c>
      <c r="L147" s="294">
        <f t="shared" si="11"/>
        <v>41.162126100000002</v>
      </c>
      <c r="M147" s="293">
        <f t="shared" si="7"/>
        <v>10.97656696</v>
      </c>
      <c r="N147" s="296">
        <f t="shared" si="8"/>
        <v>5.4882834799999998</v>
      </c>
      <c r="O147" s="296">
        <f t="shared" si="9"/>
        <v>5.4882834799999998</v>
      </c>
      <c r="P147" s="294">
        <f t="shared" si="10"/>
        <v>19.208992180000003</v>
      </c>
    </row>
    <row r="148" spans="1:16">
      <c r="A148" s="606">
        <v>146</v>
      </c>
      <c r="B148" s="56" t="s">
        <v>1491</v>
      </c>
      <c r="C148" s="606" t="s">
        <v>559</v>
      </c>
      <c r="D148" s="251">
        <v>10031111112499</v>
      </c>
      <c r="E148" s="273">
        <v>5938510</v>
      </c>
      <c r="F148" s="615">
        <v>594.20000000000005</v>
      </c>
      <c r="G148" s="610">
        <f t="shared" si="12"/>
        <v>43.851960000000005</v>
      </c>
      <c r="H148" s="615">
        <v>0</v>
      </c>
      <c r="I148" s="612">
        <f t="shared" si="13"/>
        <v>550.34804000000008</v>
      </c>
      <c r="J148" s="623" t="s">
        <v>13</v>
      </c>
      <c r="K148" s="615" t="s">
        <v>17</v>
      </c>
      <c r="L148" s="610">
        <f t="shared" si="11"/>
        <v>82.552206000000012</v>
      </c>
      <c r="M148" s="612">
        <f t="shared" si="7"/>
        <v>22.013921600000003</v>
      </c>
      <c r="N148" s="613">
        <f t="shared" si="8"/>
        <v>11.006960800000002</v>
      </c>
      <c r="O148" s="613">
        <f t="shared" si="9"/>
        <v>11.006960800000002</v>
      </c>
      <c r="P148" s="610">
        <f t="shared" si="10"/>
        <v>38.524362800000006</v>
      </c>
    </row>
    <row r="149" spans="1:16">
      <c r="A149" s="606"/>
      <c r="B149" s="607"/>
      <c r="C149" s="616"/>
      <c r="D149" s="254"/>
      <c r="E149" s="280"/>
      <c r="F149" s="615"/>
      <c r="G149" s="610">
        <f t="shared" si="12"/>
        <v>0</v>
      </c>
      <c r="H149" s="615"/>
      <c r="I149" s="612">
        <f t="shared" si="13"/>
        <v>0</v>
      </c>
      <c r="J149" s="623"/>
      <c r="K149" s="615"/>
      <c r="L149" s="610">
        <f t="shared" si="11"/>
        <v>0</v>
      </c>
      <c r="M149" s="612">
        <f t="shared" si="7"/>
        <v>0</v>
      </c>
      <c r="N149" s="613">
        <f t="shared" si="8"/>
        <v>0</v>
      </c>
      <c r="O149" s="613">
        <f t="shared" si="9"/>
        <v>0</v>
      </c>
      <c r="P149" s="610">
        <f t="shared" si="10"/>
        <v>0</v>
      </c>
    </row>
    <row r="150" spans="1:16">
      <c r="A150" s="3"/>
      <c r="B150" s="637"/>
      <c r="C150" s="637"/>
      <c r="D150" s="638"/>
      <c r="E150" s="637"/>
      <c r="F150" s="639"/>
      <c r="G150" s="639"/>
      <c r="H150" s="639"/>
      <c r="I150" s="639"/>
      <c r="J150" s="637"/>
      <c r="K150" s="640"/>
      <c r="L150" s="640"/>
      <c r="M150" s="640"/>
      <c r="N150" s="7"/>
      <c r="O150" s="7"/>
      <c r="P150" s="8"/>
    </row>
    <row r="151" spans="1:16" ht="15.6">
      <c r="A151" s="3"/>
      <c r="B151" s="4"/>
      <c r="C151" s="4"/>
      <c r="D151" s="13"/>
      <c r="E151" s="5" t="s">
        <v>11</v>
      </c>
      <c r="F151" s="6">
        <f>SUM(F3:F149)</f>
        <v>90515.99</v>
      </c>
      <c r="G151" s="6">
        <f>SUM(G3:G149)</f>
        <v>6680.080062</v>
      </c>
      <c r="H151" s="6">
        <f>SUM(H3:H149)</f>
        <v>12669.980000000003</v>
      </c>
      <c r="I151" s="6">
        <f>SUM(I3:I149)</f>
        <v>71165.92993800003</v>
      </c>
      <c r="J151" s="4"/>
      <c r="K151" s="9"/>
      <c r="L151" s="6">
        <f>SUM(L3:L149)</f>
        <v>10674.889490699996</v>
      </c>
      <c r="M151" s="6">
        <f>SUM(M3:M149)</f>
        <v>2846.6371975200018</v>
      </c>
      <c r="N151" s="6">
        <f>SUM(N3:N149)</f>
        <v>1423.3185987600009</v>
      </c>
      <c r="O151" s="6">
        <f>SUM(O3:O149)</f>
        <v>1423.3185987600009</v>
      </c>
      <c r="P151" s="6">
        <f>SUM(P3:P149)</f>
        <v>4981.6150956599977</v>
      </c>
    </row>
  </sheetData>
  <autoFilter ref="A2:Q149" xr:uid="{E3A18804-D9B4-4308-82B8-04C0144B0CBD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0956-44C3-41B9-A621-7EE0373F3822}">
  <dimension ref="A1:Q151"/>
  <sheetViews>
    <sheetView topLeftCell="A68" zoomScale="110" zoomScaleNormal="110" workbookViewId="0">
      <selection activeCell="E83" sqref="E83"/>
    </sheetView>
  </sheetViews>
  <sheetFormatPr defaultRowHeight="14.4"/>
  <cols>
    <col min="1" max="1" width="10" customWidth="1"/>
    <col min="2" max="2" width="44.109375" customWidth="1"/>
    <col min="3" max="3" width="17.77734375" customWidth="1"/>
    <col min="4" max="4" width="19" customWidth="1"/>
    <col min="5" max="5" width="19.88671875" customWidth="1"/>
    <col min="6" max="6" width="13.109375" customWidth="1"/>
    <col min="7" max="7" width="13.44140625" customWidth="1"/>
    <col min="8" max="8" width="13.33203125" customWidth="1"/>
    <col min="9" max="9" width="15.44140625" customWidth="1"/>
    <col min="10" max="10" width="16.6640625" customWidth="1"/>
    <col min="11" max="11" width="17.109375" customWidth="1"/>
    <col min="12" max="12" width="15.44140625" customWidth="1"/>
    <col min="13" max="13" width="12.77734375" customWidth="1"/>
    <col min="14" max="14" width="13" customWidth="1"/>
    <col min="15" max="15" width="14.6640625" customWidth="1"/>
    <col min="16" max="16" width="14.77734375" customWidth="1"/>
    <col min="17" max="17" width="64.44140625" customWidth="1"/>
  </cols>
  <sheetData>
    <row r="1" spans="1:17" ht="23.4">
      <c r="B1" s="742" t="s">
        <v>1492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650">
        <v>1</v>
      </c>
      <c r="B3" s="651" t="s">
        <v>1493</v>
      </c>
      <c r="C3" s="652" t="s">
        <v>234</v>
      </c>
      <c r="D3" s="229">
        <v>100311111231547</v>
      </c>
      <c r="E3" s="230">
        <v>6016644</v>
      </c>
      <c r="F3" s="653">
        <v>654.19000000000005</v>
      </c>
      <c r="G3" s="654">
        <f>F3*7.38%</f>
        <v>48.279222000000004</v>
      </c>
      <c r="H3" s="655">
        <v>121.37</v>
      </c>
      <c r="I3" s="654">
        <f>F3-G3-H3</f>
        <v>484.54077800000005</v>
      </c>
      <c r="J3" s="650" t="s">
        <v>13</v>
      </c>
      <c r="K3" s="655" t="s">
        <v>17</v>
      </c>
      <c r="L3" s="656">
        <f>I3*15%</f>
        <v>72.681116700000004</v>
      </c>
      <c r="M3" s="656">
        <f t="shared" ref="M3:M66" si="0">I3*4%</f>
        <v>19.381631120000002</v>
      </c>
      <c r="N3" s="657">
        <f t="shared" ref="N3:N66" si="1">I3*2%</f>
        <v>9.6908155600000008</v>
      </c>
      <c r="O3" s="657">
        <f t="shared" ref="O3:O66" si="2">I3*2%</f>
        <v>9.6908155600000008</v>
      </c>
      <c r="P3" s="654">
        <f t="shared" ref="P3:P66" si="3">L3-M3-N3-O3</f>
        <v>33.917854460000001</v>
      </c>
    </row>
    <row r="4" spans="1:17">
      <c r="A4" s="650">
        <v>2</v>
      </c>
      <c r="B4" s="651" t="s">
        <v>1494</v>
      </c>
      <c r="C4" s="658" t="s">
        <v>559</v>
      </c>
      <c r="D4" s="238">
        <v>10031111236257</v>
      </c>
      <c r="E4" s="230">
        <v>6028748</v>
      </c>
      <c r="F4" s="653">
        <v>517.05999999999995</v>
      </c>
      <c r="G4" s="654">
        <f>F4*7.38%</f>
        <v>38.159027999999999</v>
      </c>
      <c r="H4" s="659">
        <v>0</v>
      </c>
      <c r="I4" s="654">
        <f>F4-G4-H4</f>
        <v>478.90097199999997</v>
      </c>
      <c r="J4" s="660" t="s">
        <v>13</v>
      </c>
      <c r="K4" s="659" t="s">
        <v>330</v>
      </c>
      <c r="L4" s="656">
        <f t="shared" ref="L4:L67" si="4">I4*15%</f>
        <v>71.835145799999992</v>
      </c>
      <c r="M4" s="656">
        <f t="shared" si="0"/>
        <v>19.156038880000001</v>
      </c>
      <c r="N4" s="657">
        <f t="shared" si="1"/>
        <v>9.5780194400000003</v>
      </c>
      <c r="O4" s="657">
        <f t="shared" si="2"/>
        <v>9.5780194400000003</v>
      </c>
      <c r="P4" s="654">
        <f t="shared" si="3"/>
        <v>33.523068039999998</v>
      </c>
    </row>
    <row r="5" spans="1:17">
      <c r="A5" s="650">
        <v>3</v>
      </c>
      <c r="B5" s="661" t="s">
        <v>1495</v>
      </c>
      <c r="C5" s="650" t="s">
        <v>247</v>
      </c>
      <c r="D5" s="242">
        <v>1003111236180</v>
      </c>
      <c r="E5" s="243">
        <v>6019895</v>
      </c>
      <c r="F5" s="662">
        <v>524.76</v>
      </c>
      <c r="G5" s="654">
        <f t="shared" ref="G5:G68" si="5">F5*7.38%</f>
        <v>38.727288000000001</v>
      </c>
      <c r="H5" s="663">
        <v>56.39</v>
      </c>
      <c r="I5" s="654">
        <f t="shared" ref="I5:I68" si="6">F5-G5-H5</f>
        <v>429.64271200000002</v>
      </c>
      <c r="J5" s="650" t="s">
        <v>13</v>
      </c>
      <c r="K5" s="655" t="s">
        <v>26</v>
      </c>
      <c r="L5" s="656">
        <f t="shared" si="4"/>
        <v>64.446406800000005</v>
      </c>
      <c r="M5" s="656">
        <f t="shared" si="0"/>
        <v>17.185708480000002</v>
      </c>
      <c r="N5" s="657">
        <f t="shared" si="1"/>
        <v>8.5928542400000012</v>
      </c>
      <c r="O5" s="657">
        <f t="shared" si="2"/>
        <v>8.5928542400000012</v>
      </c>
      <c r="P5" s="654">
        <f t="shared" si="3"/>
        <v>30.074989840000001</v>
      </c>
    </row>
    <row r="6" spans="1:17">
      <c r="A6" s="650">
        <v>4</v>
      </c>
      <c r="B6" s="339" t="s">
        <v>1496</v>
      </c>
      <c r="C6" s="327" t="s">
        <v>247</v>
      </c>
      <c r="D6" s="506">
        <v>10031111233506</v>
      </c>
      <c r="E6" s="507">
        <v>6031540</v>
      </c>
      <c r="F6" s="342">
        <v>545.57000000000005</v>
      </c>
      <c r="G6" s="294">
        <f t="shared" si="5"/>
        <v>40.263066000000009</v>
      </c>
      <c r="H6" s="294">
        <v>58.62</v>
      </c>
      <c r="I6" s="294">
        <f t="shared" si="6"/>
        <v>446.68693400000006</v>
      </c>
      <c r="J6" s="327" t="s">
        <v>13</v>
      </c>
      <c r="K6" s="294" t="s">
        <v>49</v>
      </c>
      <c r="L6" s="293">
        <f t="shared" si="4"/>
        <v>67.003040100000007</v>
      </c>
      <c r="M6" s="293">
        <f t="shared" si="0"/>
        <v>17.867477360000002</v>
      </c>
      <c r="N6" s="296">
        <f t="shared" si="1"/>
        <v>8.9337386800000012</v>
      </c>
      <c r="O6" s="296">
        <f t="shared" si="2"/>
        <v>8.9337386800000012</v>
      </c>
      <c r="P6" s="294">
        <f t="shared" si="3"/>
        <v>31.268085380000006</v>
      </c>
    </row>
    <row r="7" spans="1:17">
      <c r="A7" s="650">
        <v>5</v>
      </c>
      <c r="B7" s="661" t="s">
        <v>1497</v>
      </c>
      <c r="C7" s="650" t="s">
        <v>234</v>
      </c>
      <c r="D7" s="246">
        <v>37032583</v>
      </c>
      <c r="E7" s="191">
        <v>6029830</v>
      </c>
      <c r="F7" s="655">
        <v>896.94</v>
      </c>
      <c r="G7" s="664">
        <f t="shared" si="5"/>
        <v>66.194172000000009</v>
      </c>
      <c r="H7" s="655">
        <v>89.66</v>
      </c>
      <c r="I7" s="664">
        <f t="shared" si="6"/>
        <v>741.08582800000011</v>
      </c>
      <c r="J7" s="650" t="s">
        <v>16</v>
      </c>
      <c r="K7" s="655" t="s">
        <v>182</v>
      </c>
      <c r="L7" s="656">
        <f t="shared" si="4"/>
        <v>111.16287420000002</v>
      </c>
      <c r="M7" s="656">
        <f t="shared" si="0"/>
        <v>29.643433120000005</v>
      </c>
      <c r="N7" s="657">
        <f t="shared" si="1"/>
        <v>14.821716560000002</v>
      </c>
      <c r="O7" s="657">
        <f t="shared" si="2"/>
        <v>14.821716560000002</v>
      </c>
      <c r="P7" s="654">
        <f t="shared" si="3"/>
        <v>51.87600796000001</v>
      </c>
    </row>
    <row r="8" spans="1:17">
      <c r="A8" s="650">
        <v>6</v>
      </c>
      <c r="B8" s="651" t="s">
        <v>1498</v>
      </c>
      <c r="C8" s="660" t="s">
        <v>234</v>
      </c>
      <c r="D8" s="249">
        <v>1003111234968</v>
      </c>
      <c r="E8" s="250">
        <v>5988664</v>
      </c>
      <c r="F8" s="659">
        <v>482.06</v>
      </c>
      <c r="G8" s="664">
        <f t="shared" si="5"/>
        <v>35.576028000000001</v>
      </c>
      <c r="H8" s="659">
        <v>51.8</v>
      </c>
      <c r="I8" s="664">
        <f>F8-G8-H8</f>
        <v>394.68397199999998</v>
      </c>
      <c r="J8" s="660" t="s">
        <v>16</v>
      </c>
      <c r="K8" s="659" t="s">
        <v>17</v>
      </c>
      <c r="L8" s="656">
        <f t="shared" si="4"/>
        <v>59.202595799999997</v>
      </c>
      <c r="M8" s="656">
        <f t="shared" si="0"/>
        <v>15.787358879999999</v>
      </c>
      <c r="N8" s="657">
        <f t="shared" si="1"/>
        <v>7.8936794399999997</v>
      </c>
      <c r="O8" s="657">
        <f t="shared" si="2"/>
        <v>7.8936794399999997</v>
      </c>
      <c r="P8" s="654">
        <f t="shared" si="3"/>
        <v>27.627878039999999</v>
      </c>
    </row>
    <row r="9" spans="1:17">
      <c r="A9" s="650">
        <v>7</v>
      </c>
      <c r="B9" s="391" t="s">
        <v>1499</v>
      </c>
      <c r="C9" s="392" t="s">
        <v>1500</v>
      </c>
      <c r="D9" s="488" t="s">
        <v>32</v>
      </c>
      <c r="E9" s="489" t="s">
        <v>1501</v>
      </c>
      <c r="F9" s="721">
        <v>526.22</v>
      </c>
      <c r="G9" s="722">
        <f t="shared" si="5"/>
        <v>38.835036000000002</v>
      </c>
      <c r="H9" s="397">
        <v>52.62</v>
      </c>
      <c r="I9" s="722">
        <f>F9-G9-H9</f>
        <v>434.76496400000002</v>
      </c>
      <c r="J9" s="392" t="s">
        <v>16</v>
      </c>
      <c r="K9" s="397" t="s">
        <v>26</v>
      </c>
      <c r="L9" s="170">
        <f t="shared" si="4"/>
        <v>65.214744600000003</v>
      </c>
      <c r="M9" s="170">
        <f t="shared" si="0"/>
        <v>17.390598560000001</v>
      </c>
      <c r="N9" s="171">
        <f>I9*2%</f>
        <v>8.6952992800000004</v>
      </c>
      <c r="O9" s="171">
        <f t="shared" si="2"/>
        <v>8.6952992800000004</v>
      </c>
      <c r="P9" s="169">
        <f t="shared" si="3"/>
        <v>30.433547480000001</v>
      </c>
    </row>
    <row r="10" spans="1:17">
      <c r="A10" s="650">
        <v>8</v>
      </c>
      <c r="B10" s="665" t="s">
        <v>1502</v>
      </c>
      <c r="C10" s="660" t="s">
        <v>1500</v>
      </c>
      <c r="D10" s="254">
        <v>10031111242515</v>
      </c>
      <c r="E10" s="255">
        <v>6034661</v>
      </c>
      <c r="F10" s="666">
        <v>502.19</v>
      </c>
      <c r="G10" s="664">
        <f t="shared" si="5"/>
        <v>37.061622</v>
      </c>
      <c r="H10" s="659">
        <v>53.96</v>
      </c>
      <c r="I10" s="664">
        <f t="shared" si="6"/>
        <v>411.16837800000002</v>
      </c>
      <c r="J10" s="667" t="s">
        <v>13</v>
      </c>
      <c r="K10" s="659" t="s">
        <v>26</v>
      </c>
      <c r="L10" s="656">
        <f t="shared" si="4"/>
        <v>61.675256699999998</v>
      </c>
      <c r="M10" s="656">
        <f t="shared" si="0"/>
        <v>16.44673512</v>
      </c>
      <c r="N10" s="657">
        <f t="shared" si="1"/>
        <v>8.2233675599999998</v>
      </c>
      <c r="O10" s="657">
        <f t="shared" si="2"/>
        <v>8.2233675599999998</v>
      </c>
      <c r="P10" s="654">
        <f t="shared" si="3"/>
        <v>28.781786459999999</v>
      </c>
    </row>
    <row r="11" spans="1:17">
      <c r="A11" s="650">
        <v>9</v>
      </c>
      <c r="B11" s="665" t="s">
        <v>1503</v>
      </c>
      <c r="C11" s="650" t="s">
        <v>99</v>
      </c>
      <c r="D11" s="251">
        <v>10031111241804</v>
      </c>
      <c r="E11" s="191">
        <v>6024767</v>
      </c>
      <c r="F11" s="668">
        <v>831.81</v>
      </c>
      <c r="G11" s="664">
        <f t="shared" si="5"/>
        <v>61.387577999999998</v>
      </c>
      <c r="H11" s="655">
        <v>219.73</v>
      </c>
      <c r="I11" s="669">
        <f t="shared" si="6"/>
        <v>550.69242199999997</v>
      </c>
      <c r="J11" s="670" t="s">
        <v>13</v>
      </c>
      <c r="K11" s="655" t="s">
        <v>20</v>
      </c>
      <c r="L11" s="656">
        <f t="shared" si="4"/>
        <v>82.603863299999986</v>
      </c>
      <c r="M11" s="656">
        <f t="shared" si="0"/>
        <v>22.027696880000001</v>
      </c>
      <c r="N11" s="657">
        <f t="shared" si="1"/>
        <v>11.01384844</v>
      </c>
      <c r="O11" s="671">
        <f t="shared" si="2"/>
        <v>11.01384844</v>
      </c>
      <c r="P11" s="656">
        <f t="shared" si="3"/>
        <v>38.548469539999985</v>
      </c>
    </row>
    <row r="12" spans="1:17">
      <c r="A12" s="650">
        <v>10</v>
      </c>
      <c r="B12" s="672" t="s">
        <v>1504</v>
      </c>
      <c r="C12" s="160" t="s">
        <v>931</v>
      </c>
      <c r="D12" s="254">
        <v>1003111239143</v>
      </c>
      <c r="E12" s="262">
        <v>6033463</v>
      </c>
      <c r="F12" s="673">
        <v>901.17</v>
      </c>
      <c r="G12" s="664">
        <f t="shared" si="5"/>
        <v>66.506346000000008</v>
      </c>
      <c r="H12" s="659">
        <v>0</v>
      </c>
      <c r="I12" s="664">
        <f t="shared" si="6"/>
        <v>834.66365399999995</v>
      </c>
      <c r="J12" s="670" t="s">
        <v>13</v>
      </c>
      <c r="K12" s="659" t="s">
        <v>266</v>
      </c>
      <c r="L12" s="656">
        <f t="shared" si="4"/>
        <v>125.19954809999999</v>
      </c>
      <c r="M12" s="656">
        <f t="shared" si="0"/>
        <v>33.386546160000002</v>
      </c>
      <c r="N12" s="657">
        <f t="shared" si="1"/>
        <v>16.693273080000001</v>
      </c>
      <c r="O12" s="657">
        <f t="shared" si="2"/>
        <v>16.693273080000001</v>
      </c>
      <c r="P12" s="654">
        <f t="shared" si="3"/>
        <v>58.426455779999998</v>
      </c>
    </row>
    <row r="13" spans="1:17">
      <c r="A13" s="650">
        <v>11</v>
      </c>
      <c r="B13" s="665" t="s">
        <v>1505</v>
      </c>
      <c r="C13" s="650" t="s">
        <v>12</v>
      </c>
      <c r="D13" s="251">
        <v>10031111250126</v>
      </c>
      <c r="E13" s="191">
        <v>6034878</v>
      </c>
      <c r="F13" s="673">
        <v>531.97</v>
      </c>
      <c r="G13" s="669">
        <f t="shared" si="5"/>
        <v>39.259386000000006</v>
      </c>
      <c r="H13" s="655">
        <v>177.33</v>
      </c>
      <c r="I13" s="669">
        <f t="shared" si="6"/>
        <v>315.38061400000004</v>
      </c>
      <c r="J13" s="670" t="s">
        <v>16</v>
      </c>
      <c r="K13" s="655" t="s">
        <v>17</v>
      </c>
      <c r="L13" s="656">
        <f t="shared" si="4"/>
        <v>47.307092100000006</v>
      </c>
      <c r="M13" s="656">
        <f t="shared" si="0"/>
        <v>12.615224560000001</v>
      </c>
      <c r="N13" s="657">
        <f t="shared" si="1"/>
        <v>6.3076122800000007</v>
      </c>
      <c r="O13" s="671">
        <f t="shared" si="2"/>
        <v>6.3076122800000007</v>
      </c>
      <c r="P13" s="656">
        <f t="shared" si="3"/>
        <v>22.076642980000003</v>
      </c>
    </row>
    <row r="14" spans="1:17">
      <c r="A14" s="650">
        <v>12</v>
      </c>
      <c r="B14" s="159" t="s">
        <v>1506</v>
      </c>
      <c r="C14" s="660" t="s">
        <v>559</v>
      </c>
      <c r="D14" s="264">
        <v>10031111238167</v>
      </c>
      <c r="E14" s="262" t="s">
        <v>1507</v>
      </c>
      <c r="F14" s="673">
        <v>453.52</v>
      </c>
      <c r="G14" s="664">
        <f t="shared" si="5"/>
        <v>33.469776000000003</v>
      </c>
      <c r="H14" s="659">
        <v>48.73</v>
      </c>
      <c r="I14" s="664">
        <f t="shared" si="6"/>
        <v>371.32022399999994</v>
      </c>
      <c r="J14" s="667" t="s">
        <v>13</v>
      </c>
      <c r="K14" s="659" t="s">
        <v>23</v>
      </c>
      <c r="L14" s="656">
        <f t="shared" si="4"/>
        <v>55.698033599999988</v>
      </c>
      <c r="M14" s="656">
        <f t="shared" si="0"/>
        <v>14.852808959999997</v>
      </c>
      <c r="N14" s="657">
        <f t="shared" si="1"/>
        <v>7.4264044799999986</v>
      </c>
      <c r="O14" s="657">
        <f t="shared" si="2"/>
        <v>7.4264044799999986</v>
      </c>
      <c r="P14" s="654">
        <f t="shared" si="3"/>
        <v>25.992415679999997</v>
      </c>
    </row>
    <row r="15" spans="1:17">
      <c r="A15" s="650">
        <v>13</v>
      </c>
      <c r="B15" s="674" t="s">
        <v>1508</v>
      </c>
      <c r="C15" s="650" t="s">
        <v>173</v>
      </c>
      <c r="D15" s="266">
        <v>10031111238129</v>
      </c>
      <c r="E15" s="262">
        <v>6032842</v>
      </c>
      <c r="F15" s="675">
        <v>557.59</v>
      </c>
      <c r="G15" s="669">
        <f t="shared" si="5"/>
        <v>41.150142000000002</v>
      </c>
      <c r="H15" s="659">
        <v>0</v>
      </c>
      <c r="I15" s="669">
        <f t="shared" si="6"/>
        <v>516.43985800000007</v>
      </c>
      <c r="J15" s="670" t="s">
        <v>13</v>
      </c>
      <c r="K15" s="655" t="s">
        <v>235</v>
      </c>
      <c r="L15" s="656">
        <f t="shared" si="4"/>
        <v>77.465978700000008</v>
      </c>
      <c r="M15" s="656">
        <f t="shared" si="0"/>
        <v>20.657594320000005</v>
      </c>
      <c r="N15" s="657">
        <f t="shared" si="1"/>
        <v>10.328797160000002</v>
      </c>
      <c r="O15" s="671">
        <f t="shared" si="2"/>
        <v>10.328797160000002</v>
      </c>
      <c r="P15" s="656">
        <f t="shared" si="3"/>
        <v>36.150790060000006</v>
      </c>
    </row>
    <row r="16" spans="1:17">
      <c r="A16" s="650">
        <v>14</v>
      </c>
      <c r="B16" s="672" t="s">
        <v>1509</v>
      </c>
      <c r="C16" s="658" t="s">
        <v>1500</v>
      </c>
      <c r="D16" s="251">
        <v>51772025423</v>
      </c>
      <c r="E16" s="268">
        <v>6034727</v>
      </c>
      <c r="F16" s="673">
        <v>519.17999999999995</v>
      </c>
      <c r="G16" s="664">
        <f t="shared" si="5"/>
        <v>38.315483999999998</v>
      </c>
      <c r="H16" s="659">
        <v>129.79</v>
      </c>
      <c r="I16" s="664">
        <f t="shared" si="6"/>
        <v>351.07451600000002</v>
      </c>
      <c r="J16" s="667" t="s">
        <v>13</v>
      </c>
      <c r="K16" s="659" t="s">
        <v>26</v>
      </c>
      <c r="L16" s="656">
        <f t="shared" si="4"/>
        <v>52.6611774</v>
      </c>
      <c r="M16" s="656">
        <f t="shared" si="0"/>
        <v>14.042980640000001</v>
      </c>
      <c r="N16" s="657">
        <f t="shared" si="1"/>
        <v>7.0214903200000007</v>
      </c>
      <c r="O16" s="657">
        <f t="shared" si="2"/>
        <v>7.0214903200000007</v>
      </c>
      <c r="P16" s="654">
        <f t="shared" si="3"/>
        <v>24.575216119999993</v>
      </c>
    </row>
    <row r="17" spans="1:16">
      <c r="A17" s="650">
        <v>15</v>
      </c>
      <c r="B17" s="674" t="s">
        <v>1510</v>
      </c>
      <c r="C17" s="676" t="s">
        <v>559</v>
      </c>
      <c r="D17" s="246">
        <v>2811418</v>
      </c>
      <c r="E17" s="270">
        <v>6039249</v>
      </c>
      <c r="F17" s="655">
        <v>669.01</v>
      </c>
      <c r="G17" s="669">
        <f t="shared" si="5"/>
        <v>49.372938000000005</v>
      </c>
      <c r="H17" s="659">
        <v>175.66</v>
      </c>
      <c r="I17" s="669">
        <f t="shared" si="6"/>
        <v>443.97706200000005</v>
      </c>
      <c r="J17" s="670" t="s">
        <v>16</v>
      </c>
      <c r="K17" s="655" t="s">
        <v>14</v>
      </c>
      <c r="L17" s="656">
        <f t="shared" si="4"/>
        <v>66.59655930000001</v>
      </c>
      <c r="M17" s="656">
        <f t="shared" si="0"/>
        <v>17.759082480000004</v>
      </c>
      <c r="N17" s="657">
        <f t="shared" si="1"/>
        <v>8.8795412400000018</v>
      </c>
      <c r="O17" s="671">
        <f t="shared" si="2"/>
        <v>8.8795412400000018</v>
      </c>
      <c r="P17" s="656">
        <f t="shared" si="3"/>
        <v>31.078394340000003</v>
      </c>
    </row>
    <row r="18" spans="1:16">
      <c r="A18" s="650">
        <v>16</v>
      </c>
      <c r="B18" s="672" t="s">
        <v>1511</v>
      </c>
      <c r="C18" s="658" t="s">
        <v>12</v>
      </c>
      <c r="D18" s="251">
        <v>3100282</v>
      </c>
      <c r="E18" s="271" t="s">
        <v>1512</v>
      </c>
      <c r="F18" s="659">
        <v>514.35</v>
      </c>
      <c r="G18" s="664">
        <f t="shared" si="5"/>
        <v>37.959030000000006</v>
      </c>
      <c r="H18" s="659">
        <v>63.63</v>
      </c>
      <c r="I18" s="664">
        <f t="shared" si="6"/>
        <v>412.76097000000004</v>
      </c>
      <c r="J18" s="667" t="s">
        <v>13</v>
      </c>
      <c r="K18" s="659" t="s">
        <v>17</v>
      </c>
      <c r="L18" s="656">
        <f t="shared" si="4"/>
        <v>61.914145500000004</v>
      </c>
      <c r="M18" s="656">
        <f t="shared" si="0"/>
        <v>16.510438800000003</v>
      </c>
      <c r="N18" s="657">
        <f t="shared" si="1"/>
        <v>8.2552194000000014</v>
      </c>
      <c r="O18" s="657">
        <f t="shared" si="2"/>
        <v>8.2552194000000014</v>
      </c>
      <c r="P18" s="654">
        <f t="shared" si="3"/>
        <v>28.893267899999998</v>
      </c>
    </row>
    <row r="19" spans="1:16">
      <c r="A19" s="650">
        <v>17</v>
      </c>
      <c r="B19" s="674" t="s">
        <v>1513</v>
      </c>
      <c r="C19" s="676" t="s">
        <v>1038</v>
      </c>
      <c r="D19" s="251">
        <v>10031111256888</v>
      </c>
      <c r="E19" s="272" t="s">
        <v>1514</v>
      </c>
      <c r="F19" s="655">
        <v>639.24</v>
      </c>
      <c r="G19" s="669">
        <f t="shared" si="5"/>
        <v>47.175912000000004</v>
      </c>
      <c r="H19" s="655">
        <v>68.69</v>
      </c>
      <c r="I19" s="669">
        <f t="shared" si="6"/>
        <v>523.37408800000003</v>
      </c>
      <c r="J19" s="670" t="s">
        <v>13</v>
      </c>
      <c r="K19" s="655" t="s">
        <v>1358</v>
      </c>
      <c r="L19" s="656">
        <f t="shared" si="4"/>
        <v>78.506113200000001</v>
      </c>
      <c r="M19" s="656">
        <f t="shared" si="0"/>
        <v>20.93496352</v>
      </c>
      <c r="N19" s="671">
        <f t="shared" si="1"/>
        <v>10.46748176</v>
      </c>
      <c r="O19" s="671">
        <f t="shared" si="2"/>
        <v>10.46748176</v>
      </c>
      <c r="P19" s="656">
        <f t="shared" si="3"/>
        <v>36.636186160000008</v>
      </c>
    </row>
    <row r="20" spans="1:16">
      <c r="A20" s="650">
        <v>18</v>
      </c>
      <c r="B20" s="672" t="s">
        <v>1515</v>
      </c>
      <c r="C20" s="676" t="s">
        <v>1516</v>
      </c>
      <c r="D20" s="254">
        <v>100311111244750</v>
      </c>
      <c r="E20" s="268">
        <v>6029913</v>
      </c>
      <c r="F20" s="659">
        <v>575.16999999999996</v>
      </c>
      <c r="G20" s="664">
        <f t="shared" si="5"/>
        <v>42.447546000000003</v>
      </c>
      <c r="H20" s="659">
        <v>61.8</v>
      </c>
      <c r="I20" s="654">
        <f t="shared" si="6"/>
        <v>470.92245399999996</v>
      </c>
      <c r="J20" s="667" t="s">
        <v>13</v>
      </c>
      <c r="K20" s="659" t="s">
        <v>14</v>
      </c>
      <c r="L20" s="656">
        <f t="shared" si="4"/>
        <v>70.638368099999994</v>
      </c>
      <c r="M20" s="656">
        <f t="shared" si="0"/>
        <v>18.836898160000001</v>
      </c>
      <c r="N20" s="657">
        <f t="shared" si="1"/>
        <v>9.4184490800000003</v>
      </c>
      <c r="O20" s="657">
        <f t="shared" si="2"/>
        <v>9.4184490800000003</v>
      </c>
      <c r="P20" s="654">
        <f t="shared" si="3"/>
        <v>32.964571779999986</v>
      </c>
    </row>
    <row r="21" spans="1:16">
      <c r="A21" s="650">
        <v>19</v>
      </c>
      <c r="B21" s="56" t="s">
        <v>1517</v>
      </c>
      <c r="C21" s="650" t="s">
        <v>35</v>
      </c>
      <c r="D21" s="251">
        <v>37060854</v>
      </c>
      <c r="E21" s="273">
        <v>6041303</v>
      </c>
      <c r="F21" s="655">
        <v>377.21</v>
      </c>
      <c r="G21" s="656">
        <f>F21*7.38%</f>
        <v>27.838097999999999</v>
      </c>
      <c r="H21" s="655">
        <v>30.92</v>
      </c>
      <c r="I21" s="654">
        <f t="shared" si="6"/>
        <v>318.45190199999996</v>
      </c>
      <c r="J21" s="670" t="s">
        <v>16</v>
      </c>
      <c r="K21" s="655" t="s">
        <v>14</v>
      </c>
      <c r="L21" s="656">
        <f t="shared" si="4"/>
        <v>47.767785299999993</v>
      </c>
      <c r="M21" s="656">
        <f t="shared" si="0"/>
        <v>12.738076079999999</v>
      </c>
      <c r="N21" s="671">
        <f t="shared" si="1"/>
        <v>6.3690380399999995</v>
      </c>
      <c r="O21" s="671">
        <f t="shared" si="2"/>
        <v>6.3690380399999995</v>
      </c>
      <c r="P21" s="656">
        <f t="shared" si="3"/>
        <v>22.291633139999995</v>
      </c>
    </row>
    <row r="22" spans="1:16">
      <c r="A22" s="650">
        <v>20</v>
      </c>
      <c r="B22" s="672" t="s">
        <v>1518</v>
      </c>
      <c r="C22" s="660" t="s">
        <v>1516</v>
      </c>
      <c r="D22" s="254">
        <v>10031111251414</v>
      </c>
      <c r="E22" s="268">
        <v>6042545</v>
      </c>
      <c r="F22" s="659">
        <v>689.52</v>
      </c>
      <c r="G22" s="654">
        <f t="shared" si="5"/>
        <v>50.886576000000005</v>
      </c>
      <c r="H22" s="659">
        <v>74.09</v>
      </c>
      <c r="I22" s="654">
        <f t="shared" si="6"/>
        <v>564.54342399999996</v>
      </c>
      <c r="J22" s="667" t="s">
        <v>13</v>
      </c>
      <c r="K22" s="659" t="s">
        <v>17</v>
      </c>
      <c r="L22" s="656">
        <f t="shared" si="4"/>
        <v>84.681513599999988</v>
      </c>
      <c r="M22" s="656">
        <f t="shared" si="0"/>
        <v>22.581736959999997</v>
      </c>
      <c r="N22" s="657">
        <f t="shared" si="1"/>
        <v>11.290868479999999</v>
      </c>
      <c r="O22" s="657">
        <f t="shared" si="2"/>
        <v>11.290868479999999</v>
      </c>
      <c r="P22" s="654">
        <f t="shared" si="3"/>
        <v>39.518039679999987</v>
      </c>
    </row>
    <row r="23" spans="1:16">
      <c r="A23" s="650">
        <v>21</v>
      </c>
      <c r="B23" s="674" t="s">
        <v>1519</v>
      </c>
      <c r="C23" s="650" t="s">
        <v>1500</v>
      </c>
      <c r="D23" s="251">
        <v>1003111249880</v>
      </c>
      <c r="E23" s="274">
        <v>6015152</v>
      </c>
      <c r="F23" s="655">
        <v>506</v>
      </c>
      <c r="G23" s="656">
        <f t="shared" si="5"/>
        <v>37.342800000000004</v>
      </c>
      <c r="H23" s="655">
        <v>128.61000000000001</v>
      </c>
      <c r="I23" s="656">
        <f t="shared" si="6"/>
        <v>340.04719999999998</v>
      </c>
      <c r="J23" s="670" t="s">
        <v>13</v>
      </c>
      <c r="K23" s="655" t="s">
        <v>26</v>
      </c>
      <c r="L23" s="656">
        <f t="shared" si="4"/>
        <v>51.007079999999995</v>
      </c>
      <c r="M23" s="656">
        <f t="shared" si="0"/>
        <v>13.601887999999999</v>
      </c>
      <c r="N23" s="671">
        <f t="shared" si="1"/>
        <v>6.8009439999999994</v>
      </c>
      <c r="O23" s="671">
        <f t="shared" si="2"/>
        <v>6.8009439999999994</v>
      </c>
      <c r="P23" s="656">
        <f t="shared" si="3"/>
        <v>23.803303999999997</v>
      </c>
    </row>
    <row r="24" spans="1:16">
      <c r="A24" s="650">
        <v>22</v>
      </c>
      <c r="B24" s="674" t="s">
        <v>1520</v>
      </c>
      <c r="C24" s="650" t="s">
        <v>1500</v>
      </c>
      <c r="D24" s="251">
        <v>10311111249573</v>
      </c>
      <c r="E24" s="274">
        <v>6037290</v>
      </c>
      <c r="F24" s="655">
        <v>516.34</v>
      </c>
      <c r="G24" s="656">
        <f t="shared" si="5"/>
        <v>38.105892000000004</v>
      </c>
      <c r="H24" s="655">
        <v>55.48</v>
      </c>
      <c r="I24" s="656">
        <f t="shared" si="6"/>
        <v>422.75410800000003</v>
      </c>
      <c r="J24" s="670" t="s">
        <v>13</v>
      </c>
      <c r="K24" s="655" t="s">
        <v>14</v>
      </c>
      <c r="L24" s="656">
        <f t="shared" si="4"/>
        <v>63.413116200000005</v>
      </c>
      <c r="M24" s="656">
        <f t="shared" si="0"/>
        <v>16.91016432</v>
      </c>
      <c r="N24" s="671">
        <f t="shared" si="1"/>
        <v>8.4550821599999999</v>
      </c>
      <c r="O24" s="671">
        <f t="shared" si="2"/>
        <v>8.4550821599999999</v>
      </c>
      <c r="P24" s="656">
        <f t="shared" si="3"/>
        <v>29.592787560000009</v>
      </c>
    </row>
    <row r="25" spans="1:16">
      <c r="A25" s="650">
        <v>23</v>
      </c>
      <c r="B25" s="672" t="s">
        <v>1521</v>
      </c>
      <c r="C25" s="660" t="s">
        <v>559</v>
      </c>
      <c r="D25" s="254">
        <v>100311111249510</v>
      </c>
      <c r="E25" s="268">
        <v>6037242</v>
      </c>
      <c r="F25" s="659">
        <v>474.96</v>
      </c>
      <c r="G25" s="654">
        <f t="shared" si="5"/>
        <v>35.052047999999999</v>
      </c>
      <c r="H25" s="659">
        <v>0</v>
      </c>
      <c r="I25" s="656">
        <f t="shared" si="6"/>
        <v>439.90795199999997</v>
      </c>
      <c r="J25" s="667" t="s">
        <v>13</v>
      </c>
      <c r="K25" s="659" t="s">
        <v>14</v>
      </c>
      <c r="L25" s="656">
        <f t="shared" si="4"/>
        <v>65.986192799999998</v>
      </c>
      <c r="M25" s="656">
        <f t="shared" si="0"/>
        <v>17.59631808</v>
      </c>
      <c r="N25" s="657">
        <f t="shared" si="1"/>
        <v>8.7981590399999998</v>
      </c>
      <c r="O25" s="657">
        <f t="shared" si="2"/>
        <v>8.7981590399999998</v>
      </c>
      <c r="P25" s="654">
        <f t="shared" si="3"/>
        <v>30.793556639999991</v>
      </c>
    </row>
    <row r="26" spans="1:16">
      <c r="A26" s="650">
        <v>24</v>
      </c>
      <c r="B26" s="677" t="s">
        <v>417</v>
      </c>
      <c r="C26" s="678" t="s">
        <v>173</v>
      </c>
      <c r="D26" s="277">
        <v>100311111249273</v>
      </c>
      <c r="E26" s="278">
        <v>6041332</v>
      </c>
      <c r="F26" s="659">
        <v>512.79</v>
      </c>
      <c r="G26" s="654">
        <f t="shared" si="5"/>
        <v>37.843902</v>
      </c>
      <c r="H26" s="659">
        <v>170.93</v>
      </c>
      <c r="I26" s="656">
        <f t="shared" si="6"/>
        <v>304.01609799999994</v>
      </c>
      <c r="J26" s="678" t="s">
        <v>13</v>
      </c>
      <c r="K26" s="678" t="s">
        <v>17</v>
      </c>
      <c r="L26" s="656">
        <f t="shared" si="4"/>
        <v>45.60241469999999</v>
      </c>
      <c r="M26" s="656">
        <f t="shared" si="0"/>
        <v>12.160643919999998</v>
      </c>
      <c r="N26" s="657">
        <f t="shared" si="1"/>
        <v>6.0803219599999991</v>
      </c>
      <c r="O26" s="657">
        <f t="shared" si="2"/>
        <v>6.0803219599999991</v>
      </c>
      <c r="P26" s="654">
        <f t="shared" si="3"/>
        <v>21.281126859999993</v>
      </c>
    </row>
    <row r="27" spans="1:16">
      <c r="A27" s="650">
        <v>25</v>
      </c>
      <c r="B27" s="651" t="s">
        <v>1314</v>
      </c>
      <c r="C27" s="660" t="s">
        <v>1038</v>
      </c>
      <c r="D27" s="369">
        <v>2815570</v>
      </c>
      <c r="E27" s="268">
        <v>6046211</v>
      </c>
      <c r="F27" s="659">
        <v>439</v>
      </c>
      <c r="G27" s="654">
        <f t="shared" si="5"/>
        <v>32.398200000000003</v>
      </c>
      <c r="H27" s="659">
        <v>87.8</v>
      </c>
      <c r="I27" s="656">
        <f t="shared" si="6"/>
        <v>318.80180000000001</v>
      </c>
      <c r="J27" s="667" t="s">
        <v>16</v>
      </c>
      <c r="K27" s="659" t="s">
        <v>17</v>
      </c>
      <c r="L27" s="656">
        <f t="shared" si="4"/>
        <v>47.820270000000001</v>
      </c>
      <c r="M27" s="656">
        <f t="shared" si="0"/>
        <v>12.752072</v>
      </c>
      <c r="N27" s="657">
        <f t="shared" si="1"/>
        <v>6.376036</v>
      </c>
      <c r="O27" s="657">
        <f t="shared" si="2"/>
        <v>6.376036</v>
      </c>
      <c r="P27" s="654">
        <f t="shared" si="3"/>
        <v>22.316126000000004</v>
      </c>
    </row>
    <row r="28" spans="1:16">
      <c r="A28" s="650">
        <v>26</v>
      </c>
      <c r="B28" s="651" t="s">
        <v>1522</v>
      </c>
      <c r="C28" s="660" t="s">
        <v>931</v>
      </c>
      <c r="D28" s="254">
        <v>100311111278887</v>
      </c>
      <c r="E28" s="268">
        <v>6029919</v>
      </c>
      <c r="F28" s="659">
        <v>716.95</v>
      </c>
      <c r="G28" s="654">
        <f t="shared" si="5"/>
        <v>52.910910000000008</v>
      </c>
      <c r="H28" s="659">
        <v>0</v>
      </c>
      <c r="I28" s="656">
        <f t="shared" si="6"/>
        <v>664.03908999999999</v>
      </c>
      <c r="J28" s="667" t="s">
        <v>13</v>
      </c>
      <c r="K28" s="659" t="s">
        <v>238</v>
      </c>
      <c r="L28" s="656">
        <f t="shared" si="4"/>
        <v>99.605863499999998</v>
      </c>
      <c r="M28" s="656">
        <f t="shared" si="0"/>
        <v>26.561563599999999</v>
      </c>
      <c r="N28" s="657">
        <f t="shared" si="1"/>
        <v>13.2807818</v>
      </c>
      <c r="O28" s="657">
        <f t="shared" si="2"/>
        <v>13.2807818</v>
      </c>
      <c r="P28" s="654">
        <f t="shared" si="3"/>
        <v>46.482736299999999</v>
      </c>
    </row>
    <row r="29" spans="1:16">
      <c r="A29" s="650">
        <v>27</v>
      </c>
      <c r="B29" s="226" t="s">
        <v>1523</v>
      </c>
      <c r="C29" s="165" t="s">
        <v>1524</v>
      </c>
      <c r="D29" s="382" t="s">
        <v>32</v>
      </c>
      <c r="E29" s="399">
        <v>6046460</v>
      </c>
      <c r="F29" s="168">
        <v>638.44000000000005</v>
      </c>
      <c r="G29" s="169">
        <f t="shared" si="5"/>
        <v>47.116872000000008</v>
      </c>
      <c r="H29" s="168">
        <v>0</v>
      </c>
      <c r="I29" s="170">
        <f t="shared" si="6"/>
        <v>591.323128</v>
      </c>
      <c r="J29" s="167" t="s">
        <v>13</v>
      </c>
      <c r="K29" s="168" t="s">
        <v>40</v>
      </c>
      <c r="L29" s="170">
        <f t="shared" si="4"/>
        <v>88.698469199999991</v>
      </c>
      <c r="M29" s="170">
        <f t="shared" si="0"/>
        <v>23.652925119999999</v>
      </c>
      <c r="N29" s="171">
        <f t="shared" si="1"/>
        <v>11.82646256</v>
      </c>
      <c r="O29" s="171">
        <f t="shared" si="2"/>
        <v>11.82646256</v>
      </c>
      <c r="P29" s="169">
        <f t="shared" si="3"/>
        <v>41.392618959999993</v>
      </c>
    </row>
    <row r="30" spans="1:16">
      <c r="A30" s="650">
        <v>28</v>
      </c>
      <c r="B30" s="651" t="s">
        <v>1525</v>
      </c>
      <c r="C30" s="660" t="s">
        <v>1038</v>
      </c>
      <c r="D30" s="254">
        <v>37446397</v>
      </c>
      <c r="E30" s="268">
        <v>6027616</v>
      </c>
      <c r="F30" s="659">
        <v>1304.3800000000001</v>
      </c>
      <c r="G30" s="654">
        <f t="shared" si="5"/>
        <v>96.263244000000014</v>
      </c>
      <c r="H30" s="659">
        <v>108.64</v>
      </c>
      <c r="I30" s="656">
        <f t="shared" si="6"/>
        <v>1099.476756</v>
      </c>
      <c r="J30" s="667" t="s">
        <v>16</v>
      </c>
      <c r="K30" s="659" t="s">
        <v>17</v>
      </c>
      <c r="L30" s="656">
        <f t="shared" si="4"/>
        <v>164.92151340000001</v>
      </c>
      <c r="M30" s="656">
        <f t="shared" si="0"/>
        <v>43.979070239999999</v>
      </c>
      <c r="N30" s="657">
        <f t="shared" si="1"/>
        <v>21.989535119999999</v>
      </c>
      <c r="O30" s="657">
        <f t="shared" si="2"/>
        <v>21.989535119999999</v>
      </c>
      <c r="P30" s="654">
        <f t="shared" si="3"/>
        <v>76.963372920000012</v>
      </c>
    </row>
    <row r="31" spans="1:16">
      <c r="A31" s="650">
        <v>29</v>
      </c>
      <c r="B31" s="651" t="s">
        <v>1526</v>
      </c>
      <c r="C31" s="660" t="s">
        <v>559</v>
      </c>
      <c r="D31" s="254">
        <v>2816975</v>
      </c>
      <c r="E31" s="268">
        <v>6034815</v>
      </c>
      <c r="F31" s="659">
        <v>532.96</v>
      </c>
      <c r="G31" s="654">
        <f t="shared" si="5"/>
        <v>39.332448000000007</v>
      </c>
      <c r="H31" s="659">
        <v>44.41</v>
      </c>
      <c r="I31" s="656">
        <f t="shared" si="6"/>
        <v>449.21755200000007</v>
      </c>
      <c r="J31" s="667" t="s">
        <v>16</v>
      </c>
      <c r="K31" s="659" t="s">
        <v>26</v>
      </c>
      <c r="L31" s="656">
        <f t="shared" si="4"/>
        <v>67.38263280000001</v>
      </c>
      <c r="M31" s="656">
        <f t="shared" si="0"/>
        <v>17.968702080000003</v>
      </c>
      <c r="N31" s="657">
        <f t="shared" si="1"/>
        <v>8.9843510400000017</v>
      </c>
      <c r="O31" s="657">
        <f t="shared" si="2"/>
        <v>8.9843510400000017</v>
      </c>
      <c r="P31" s="654">
        <f t="shared" si="3"/>
        <v>31.445228640000011</v>
      </c>
    </row>
    <row r="32" spans="1:16">
      <c r="A32" s="650">
        <v>30</v>
      </c>
      <c r="B32" s="339" t="s">
        <v>1527</v>
      </c>
      <c r="C32" s="327" t="s">
        <v>1500</v>
      </c>
      <c r="D32" s="400">
        <v>1003111257772</v>
      </c>
      <c r="E32" s="401">
        <v>6009603</v>
      </c>
      <c r="F32" s="294">
        <v>490.95</v>
      </c>
      <c r="G32" s="294">
        <f t="shared" si="5"/>
        <v>36.232109999999999</v>
      </c>
      <c r="H32" s="294">
        <v>124.64</v>
      </c>
      <c r="I32" s="293">
        <f t="shared" si="6"/>
        <v>330.07789000000002</v>
      </c>
      <c r="J32" s="329" t="s">
        <v>13</v>
      </c>
      <c r="K32" s="294" t="s">
        <v>40</v>
      </c>
      <c r="L32" s="293">
        <f t="shared" si="4"/>
        <v>49.511683500000004</v>
      </c>
      <c r="M32" s="293">
        <f t="shared" si="0"/>
        <v>13.203115600000002</v>
      </c>
      <c r="N32" s="296">
        <f t="shared" si="1"/>
        <v>6.601557800000001</v>
      </c>
      <c r="O32" s="296">
        <f t="shared" si="2"/>
        <v>6.601557800000001</v>
      </c>
      <c r="P32" s="294">
        <f t="shared" si="3"/>
        <v>23.105452299999996</v>
      </c>
    </row>
    <row r="33" spans="1:16">
      <c r="A33" s="650">
        <v>31</v>
      </c>
      <c r="B33" s="651" t="s">
        <v>1528</v>
      </c>
      <c r="C33" s="660" t="s">
        <v>931</v>
      </c>
      <c r="D33" s="254">
        <v>10031111257719</v>
      </c>
      <c r="E33" s="280">
        <v>6028727</v>
      </c>
      <c r="F33" s="659">
        <v>700.99</v>
      </c>
      <c r="G33" s="654">
        <f t="shared" si="5"/>
        <v>51.733062000000004</v>
      </c>
      <c r="H33" s="659">
        <v>0</v>
      </c>
      <c r="I33" s="656">
        <f t="shared" si="6"/>
        <v>649.25693799999999</v>
      </c>
      <c r="J33" s="667" t="s">
        <v>13</v>
      </c>
      <c r="K33" s="659" t="s">
        <v>227</v>
      </c>
      <c r="L33" s="656">
        <f t="shared" si="4"/>
        <v>97.388540699999993</v>
      </c>
      <c r="M33" s="656">
        <f t="shared" si="0"/>
        <v>25.97027752</v>
      </c>
      <c r="N33" s="657">
        <f t="shared" si="1"/>
        <v>12.98513876</v>
      </c>
      <c r="O33" s="657">
        <f t="shared" si="2"/>
        <v>12.98513876</v>
      </c>
      <c r="P33" s="654">
        <f t="shared" si="3"/>
        <v>45.447985660000001</v>
      </c>
    </row>
    <row r="34" spans="1:16">
      <c r="A34" s="650">
        <v>32</v>
      </c>
      <c r="B34" s="651" t="s">
        <v>1529</v>
      </c>
      <c r="C34" s="660" t="s">
        <v>1530</v>
      </c>
      <c r="D34" s="254">
        <v>1003111256299</v>
      </c>
      <c r="E34" s="280">
        <v>6015043</v>
      </c>
      <c r="F34" s="659">
        <v>775.38</v>
      </c>
      <c r="G34" s="654">
        <f t="shared" si="5"/>
        <v>57.223044000000002</v>
      </c>
      <c r="H34" s="659">
        <v>0</v>
      </c>
      <c r="I34" s="656">
        <f t="shared" si="6"/>
        <v>718.15695600000004</v>
      </c>
      <c r="J34" s="667" t="s">
        <v>13</v>
      </c>
      <c r="K34" s="659" t="s">
        <v>25</v>
      </c>
      <c r="L34" s="656">
        <f t="shared" si="4"/>
        <v>107.7235434</v>
      </c>
      <c r="M34" s="656">
        <f t="shared" si="0"/>
        <v>28.726278240000003</v>
      </c>
      <c r="N34" s="657">
        <f t="shared" si="1"/>
        <v>14.363139120000001</v>
      </c>
      <c r="O34" s="657">
        <f t="shared" si="2"/>
        <v>14.363139120000001</v>
      </c>
      <c r="P34" s="654">
        <f t="shared" si="3"/>
        <v>50.270986919999999</v>
      </c>
    </row>
    <row r="35" spans="1:16">
      <c r="A35" s="650">
        <v>33</v>
      </c>
      <c r="B35" s="651" t="s">
        <v>1531</v>
      </c>
      <c r="C35" s="660" t="s">
        <v>1500</v>
      </c>
      <c r="D35" s="437">
        <v>100311111256200</v>
      </c>
      <c r="E35" s="280">
        <v>6042642</v>
      </c>
      <c r="F35" s="659">
        <v>494.03</v>
      </c>
      <c r="G35" s="654">
        <f t="shared" si="5"/>
        <v>36.459414000000002</v>
      </c>
      <c r="H35" s="659">
        <v>0</v>
      </c>
      <c r="I35" s="656">
        <f t="shared" si="6"/>
        <v>457.57058599999999</v>
      </c>
      <c r="J35" s="667" t="s">
        <v>13</v>
      </c>
      <c r="K35" s="659" t="s">
        <v>20</v>
      </c>
      <c r="L35" s="656">
        <f t="shared" si="4"/>
        <v>68.63558789999999</v>
      </c>
      <c r="M35" s="656">
        <f t="shared" si="0"/>
        <v>18.302823440000001</v>
      </c>
      <c r="N35" s="657">
        <f t="shared" si="1"/>
        <v>9.1514117200000005</v>
      </c>
      <c r="O35" s="657">
        <f t="shared" si="2"/>
        <v>9.1514117200000005</v>
      </c>
      <c r="P35" s="654">
        <f t="shared" si="3"/>
        <v>32.029941019999995</v>
      </c>
    </row>
    <row r="36" spans="1:16">
      <c r="A36" s="650">
        <v>34</v>
      </c>
      <c r="B36" s="651" t="s">
        <v>1532</v>
      </c>
      <c r="C36" s="660" t="s">
        <v>173</v>
      </c>
      <c r="D36" s="254">
        <v>100311111254890</v>
      </c>
      <c r="E36" s="280">
        <v>6044476</v>
      </c>
      <c r="F36" s="659">
        <v>513.97</v>
      </c>
      <c r="G36" s="654">
        <f t="shared" si="5"/>
        <v>37.930986000000004</v>
      </c>
      <c r="H36" s="659">
        <v>55.23</v>
      </c>
      <c r="I36" s="656">
        <f t="shared" si="6"/>
        <v>420.80901399999999</v>
      </c>
      <c r="J36" s="667" t="s">
        <v>13</v>
      </c>
      <c r="K36" s="659" t="s">
        <v>17</v>
      </c>
      <c r="L36" s="656">
        <f t="shared" si="4"/>
        <v>63.121352099999996</v>
      </c>
      <c r="M36" s="656">
        <f t="shared" si="0"/>
        <v>16.832360560000001</v>
      </c>
      <c r="N36" s="657">
        <f t="shared" si="1"/>
        <v>8.4161802800000007</v>
      </c>
      <c r="O36" s="657">
        <f t="shared" si="2"/>
        <v>8.4161802800000007</v>
      </c>
      <c r="P36" s="654">
        <f t="shared" si="3"/>
        <v>29.45663098</v>
      </c>
    </row>
    <row r="37" spans="1:16">
      <c r="A37" s="650">
        <v>35</v>
      </c>
      <c r="B37" s="651" t="s">
        <v>1533</v>
      </c>
      <c r="C37" s="660" t="s">
        <v>368</v>
      </c>
      <c r="D37" s="280">
        <v>10031111266371</v>
      </c>
      <c r="E37" s="280">
        <v>6044310</v>
      </c>
      <c r="F37" s="659">
        <v>588.6</v>
      </c>
      <c r="G37" s="654">
        <f t="shared" si="5"/>
        <v>43.438680000000005</v>
      </c>
      <c r="H37" s="659">
        <v>0</v>
      </c>
      <c r="I37" s="656">
        <f t="shared" si="6"/>
        <v>545.16132000000005</v>
      </c>
      <c r="J37" s="667" t="s">
        <v>13</v>
      </c>
      <c r="K37" s="659" t="s">
        <v>40</v>
      </c>
      <c r="L37" s="656">
        <f t="shared" si="4"/>
        <v>81.774197999999998</v>
      </c>
      <c r="M37" s="656">
        <f t="shared" si="0"/>
        <v>21.806452800000002</v>
      </c>
      <c r="N37" s="657">
        <f t="shared" si="1"/>
        <v>10.903226400000001</v>
      </c>
      <c r="O37" s="657">
        <f t="shared" si="2"/>
        <v>10.903226400000001</v>
      </c>
      <c r="P37" s="654">
        <f t="shared" si="3"/>
        <v>38.161292399999994</v>
      </c>
    </row>
    <row r="38" spans="1:16">
      <c r="A38" s="650">
        <v>36</v>
      </c>
      <c r="B38" s="651" t="s">
        <v>1534</v>
      </c>
      <c r="C38" s="660" t="s">
        <v>42</v>
      </c>
      <c r="D38" s="254">
        <v>100311111255511</v>
      </c>
      <c r="E38" s="280" t="s">
        <v>1535</v>
      </c>
      <c r="F38" s="659">
        <v>818.49</v>
      </c>
      <c r="G38" s="654">
        <f t="shared" si="5"/>
        <v>60.404562000000006</v>
      </c>
      <c r="H38" s="659">
        <v>272.83</v>
      </c>
      <c r="I38" s="656">
        <f t="shared" si="6"/>
        <v>485.25543799999997</v>
      </c>
      <c r="J38" s="667" t="s">
        <v>13</v>
      </c>
      <c r="K38" s="659" t="s">
        <v>17</v>
      </c>
      <c r="L38" s="656">
        <f t="shared" si="4"/>
        <v>72.788315699999998</v>
      </c>
      <c r="M38" s="656">
        <f t="shared" si="0"/>
        <v>19.41021752</v>
      </c>
      <c r="N38" s="657">
        <f t="shared" si="1"/>
        <v>9.7051087599999999</v>
      </c>
      <c r="O38" s="657">
        <f t="shared" si="2"/>
        <v>9.7051087599999999</v>
      </c>
      <c r="P38" s="654">
        <f t="shared" si="3"/>
        <v>33.967880659999992</v>
      </c>
    </row>
    <row r="39" spans="1:16">
      <c r="A39" s="650">
        <v>37</v>
      </c>
      <c r="B39" s="651" t="s">
        <v>1536</v>
      </c>
      <c r="C39" s="660" t="s">
        <v>1500</v>
      </c>
      <c r="D39" s="254">
        <v>1003111261637</v>
      </c>
      <c r="E39" s="280">
        <v>6047984</v>
      </c>
      <c r="F39" s="659">
        <v>492.88</v>
      </c>
      <c r="G39" s="654">
        <f t="shared" si="5"/>
        <v>36.374544</v>
      </c>
      <c r="H39" s="659">
        <v>0</v>
      </c>
      <c r="I39" s="656">
        <f t="shared" si="6"/>
        <v>456.50545599999998</v>
      </c>
      <c r="J39" s="667" t="s">
        <v>13</v>
      </c>
      <c r="K39" s="659" t="s">
        <v>26</v>
      </c>
      <c r="L39" s="656">
        <f t="shared" si="4"/>
        <v>68.475818399999994</v>
      </c>
      <c r="M39" s="656">
        <f t="shared" si="0"/>
        <v>18.26021824</v>
      </c>
      <c r="N39" s="657">
        <f t="shared" si="1"/>
        <v>9.1301091200000002</v>
      </c>
      <c r="O39" s="657">
        <f t="shared" si="2"/>
        <v>9.1301091200000002</v>
      </c>
      <c r="P39" s="654">
        <f t="shared" si="3"/>
        <v>31.955381919999994</v>
      </c>
    </row>
    <row r="40" spans="1:16">
      <c r="A40" s="650">
        <v>38</v>
      </c>
      <c r="B40" s="651" t="s">
        <v>1537</v>
      </c>
      <c r="C40" s="660" t="s">
        <v>12</v>
      </c>
      <c r="D40" s="254">
        <v>10031111261122</v>
      </c>
      <c r="E40" s="280">
        <v>6048053</v>
      </c>
      <c r="F40" s="659">
        <v>699.77</v>
      </c>
      <c r="G40" s="654">
        <f t="shared" si="5"/>
        <v>51.643025999999999</v>
      </c>
      <c r="H40" s="659">
        <v>75.19</v>
      </c>
      <c r="I40" s="656">
        <f t="shared" si="6"/>
        <v>572.93697399999996</v>
      </c>
      <c r="J40" s="667" t="s">
        <v>13</v>
      </c>
      <c r="K40" s="659" t="s">
        <v>17</v>
      </c>
      <c r="L40" s="656">
        <f t="shared" si="4"/>
        <v>85.940546099999992</v>
      </c>
      <c r="M40" s="656">
        <f t="shared" si="0"/>
        <v>22.91747896</v>
      </c>
      <c r="N40" s="657">
        <f t="shared" si="1"/>
        <v>11.45873948</v>
      </c>
      <c r="O40" s="657">
        <f t="shared" si="2"/>
        <v>11.45873948</v>
      </c>
      <c r="P40" s="654">
        <f t="shared" si="3"/>
        <v>40.105588179999998</v>
      </c>
    </row>
    <row r="41" spans="1:16">
      <c r="A41" s="650">
        <v>39</v>
      </c>
      <c r="B41" s="651" t="s">
        <v>1538</v>
      </c>
      <c r="C41" s="660" t="s">
        <v>1500</v>
      </c>
      <c r="D41" s="254">
        <v>100311111261011</v>
      </c>
      <c r="E41" s="280">
        <v>6047851</v>
      </c>
      <c r="F41" s="659">
        <v>470.71</v>
      </c>
      <c r="G41" s="654">
        <f t="shared" si="5"/>
        <v>34.738398000000004</v>
      </c>
      <c r="H41" s="659">
        <v>50.58</v>
      </c>
      <c r="I41" s="656">
        <f t="shared" si="6"/>
        <v>385.39160199999998</v>
      </c>
      <c r="J41" s="667" t="s">
        <v>13</v>
      </c>
      <c r="K41" s="659" t="s">
        <v>14</v>
      </c>
      <c r="L41" s="656">
        <f t="shared" si="4"/>
        <v>57.808740299999997</v>
      </c>
      <c r="M41" s="656">
        <f t="shared" si="0"/>
        <v>15.415664079999999</v>
      </c>
      <c r="N41" s="657">
        <f t="shared" si="1"/>
        <v>7.7078320399999996</v>
      </c>
      <c r="O41" s="657">
        <f t="shared" si="2"/>
        <v>7.7078320399999996</v>
      </c>
      <c r="P41" s="654">
        <f t="shared" si="3"/>
        <v>26.977412139999998</v>
      </c>
    </row>
    <row r="42" spans="1:16">
      <c r="A42" s="650">
        <v>40</v>
      </c>
      <c r="B42" s="339" t="s">
        <v>1539</v>
      </c>
      <c r="C42" s="327" t="s">
        <v>1540</v>
      </c>
      <c r="D42" s="400">
        <v>1003111260856</v>
      </c>
      <c r="E42" s="401" t="s">
        <v>1541</v>
      </c>
      <c r="F42" s="294">
        <v>877.17</v>
      </c>
      <c r="G42" s="294">
        <f t="shared" si="5"/>
        <v>64.735146</v>
      </c>
      <c r="H42" s="294">
        <v>292.39</v>
      </c>
      <c r="I42" s="293">
        <f t="shared" si="6"/>
        <v>520.04485399999999</v>
      </c>
      <c r="J42" s="329" t="s">
        <v>13</v>
      </c>
      <c r="K42" s="294" t="s">
        <v>17</v>
      </c>
      <c r="L42" s="293">
        <f t="shared" si="4"/>
        <v>78.006728099999989</v>
      </c>
      <c r="M42" s="293">
        <f t="shared" si="0"/>
        <v>20.80179416</v>
      </c>
      <c r="N42" s="296">
        <f t="shared" si="1"/>
        <v>10.40089708</v>
      </c>
      <c r="O42" s="296">
        <f t="shared" si="2"/>
        <v>10.40089708</v>
      </c>
      <c r="P42" s="294">
        <f t="shared" si="3"/>
        <v>36.403139779999989</v>
      </c>
    </row>
    <row r="43" spans="1:16">
      <c r="A43" s="650">
        <v>41</v>
      </c>
      <c r="B43" s="651" t="s">
        <v>1542</v>
      </c>
      <c r="C43" s="660" t="s">
        <v>12</v>
      </c>
      <c r="D43" s="254">
        <v>100311111268053</v>
      </c>
      <c r="E43" s="280">
        <v>6052107</v>
      </c>
      <c r="F43" s="659">
        <v>615.49</v>
      </c>
      <c r="G43" s="654">
        <f t="shared" si="5"/>
        <v>45.423162000000005</v>
      </c>
      <c r="H43" s="659">
        <v>75.91</v>
      </c>
      <c r="I43" s="656">
        <f t="shared" si="6"/>
        <v>494.15683799999999</v>
      </c>
      <c r="J43" s="667" t="s">
        <v>13</v>
      </c>
      <c r="K43" s="659" t="s">
        <v>26</v>
      </c>
      <c r="L43" s="656">
        <f t="shared" si="4"/>
        <v>74.123525700000002</v>
      </c>
      <c r="M43" s="656">
        <f t="shared" si="0"/>
        <v>19.766273519999999</v>
      </c>
      <c r="N43" s="657">
        <f t="shared" si="1"/>
        <v>9.8831367599999993</v>
      </c>
      <c r="O43" s="657">
        <f t="shared" si="2"/>
        <v>9.8831367599999993</v>
      </c>
      <c r="P43" s="654">
        <f t="shared" si="3"/>
        <v>34.590978660000005</v>
      </c>
    </row>
    <row r="44" spans="1:16">
      <c r="A44" s="650">
        <v>42</v>
      </c>
      <c r="B44" s="339" t="s">
        <v>1543</v>
      </c>
      <c r="C44" s="327" t="s">
        <v>1544</v>
      </c>
      <c r="D44" s="400">
        <v>10031111267585</v>
      </c>
      <c r="E44" s="401">
        <v>6020162</v>
      </c>
      <c r="F44" s="294">
        <v>570.33000000000004</v>
      </c>
      <c r="G44" s="294">
        <f t="shared" si="5"/>
        <v>42.090354000000005</v>
      </c>
      <c r="H44" s="294">
        <v>61.28</v>
      </c>
      <c r="I44" s="293">
        <f t="shared" si="6"/>
        <v>466.95964600000002</v>
      </c>
      <c r="J44" s="329" t="s">
        <v>13</v>
      </c>
      <c r="K44" s="294" t="s">
        <v>14</v>
      </c>
      <c r="L44" s="293">
        <f t="shared" si="4"/>
        <v>70.043946899999995</v>
      </c>
      <c r="M44" s="293">
        <f t="shared" si="0"/>
        <v>18.678385840000001</v>
      </c>
      <c r="N44" s="296">
        <f t="shared" si="1"/>
        <v>9.3391929200000003</v>
      </c>
      <c r="O44" s="296">
        <f t="shared" si="2"/>
        <v>9.3391929200000003</v>
      </c>
      <c r="P44" s="294">
        <f t="shared" si="3"/>
        <v>32.687175219999986</v>
      </c>
    </row>
    <row r="45" spans="1:16">
      <c r="A45" s="650">
        <v>43</v>
      </c>
      <c r="B45" s="651" t="s">
        <v>1545</v>
      </c>
      <c r="C45" s="660" t="s">
        <v>931</v>
      </c>
      <c r="D45" s="254">
        <v>10031111266181</v>
      </c>
      <c r="E45" s="280">
        <v>6051959</v>
      </c>
      <c r="F45" s="659">
        <v>808.59</v>
      </c>
      <c r="G45" s="654">
        <f t="shared" si="5"/>
        <v>59.673942000000004</v>
      </c>
      <c r="H45" s="659">
        <v>88.89</v>
      </c>
      <c r="I45" s="656">
        <f t="shared" si="6"/>
        <v>660.02605800000003</v>
      </c>
      <c r="J45" s="667" t="s">
        <v>13</v>
      </c>
      <c r="K45" s="659" t="s">
        <v>25</v>
      </c>
      <c r="L45" s="656">
        <f t="shared" si="4"/>
        <v>99.003908699999997</v>
      </c>
      <c r="M45" s="656">
        <f t="shared" si="0"/>
        <v>26.401042320000002</v>
      </c>
      <c r="N45" s="657">
        <f t="shared" si="1"/>
        <v>13.200521160000001</v>
      </c>
      <c r="O45" s="657">
        <f t="shared" si="2"/>
        <v>13.200521160000001</v>
      </c>
      <c r="P45" s="654">
        <f t="shared" si="3"/>
        <v>46.201824059999993</v>
      </c>
    </row>
    <row r="46" spans="1:16">
      <c r="A46" s="650">
        <v>44</v>
      </c>
      <c r="B46" s="651" t="s">
        <v>1546</v>
      </c>
      <c r="C46" s="660" t="s">
        <v>173</v>
      </c>
      <c r="D46" s="281">
        <v>1003111264876</v>
      </c>
      <c r="E46" s="280">
        <v>6033356</v>
      </c>
      <c r="F46" s="659">
        <v>731.75</v>
      </c>
      <c r="G46" s="654">
        <f t="shared" si="5"/>
        <v>54.003150000000005</v>
      </c>
      <c r="H46" s="659">
        <v>0</v>
      </c>
      <c r="I46" s="656">
        <f t="shared" si="6"/>
        <v>677.74684999999999</v>
      </c>
      <c r="J46" s="667" t="s">
        <v>13</v>
      </c>
      <c r="K46" s="659" t="s">
        <v>330</v>
      </c>
      <c r="L46" s="656">
        <f t="shared" si="4"/>
        <v>101.66202749999999</v>
      </c>
      <c r="M46" s="656">
        <f t="shared" si="0"/>
        <v>27.109874000000001</v>
      </c>
      <c r="N46" s="657">
        <f t="shared" si="1"/>
        <v>13.554937000000001</v>
      </c>
      <c r="O46" s="657">
        <f t="shared" si="2"/>
        <v>13.554937000000001</v>
      </c>
      <c r="P46" s="654">
        <f t="shared" si="3"/>
        <v>47.442279499999984</v>
      </c>
    </row>
    <row r="47" spans="1:16">
      <c r="A47" s="650">
        <v>45</v>
      </c>
      <c r="B47" s="651" t="s">
        <v>1547</v>
      </c>
      <c r="C47" s="660" t="s">
        <v>12</v>
      </c>
      <c r="D47" s="254">
        <v>10031111264750</v>
      </c>
      <c r="E47" s="280">
        <v>6020099</v>
      </c>
      <c r="F47" s="659">
        <v>642.11</v>
      </c>
      <c r="G47" s="654">
        <f t="shared" si="5"/>
        <v>47.387718000000007</v>
      </c>
      <c r="H47" s="659">
        <v>69</v>
      </c>
      <c r="I47" s="656">
        <f t="shared" si="6"/>
        <v>525.72228199999995</v>
      </c>
      <c r="J47" s="667" t="s">
        <v>13</v>
      </c>
      <c r="K47" s="659" t="s">
        <v>23</v>
      </c>
      <c r="L47" s="656">
        <f t="shared" si="4"/>
        <v>78.85834229999999</v>
      </c>
      <c r="M47" s="656">
        <f t="shared" si="0"/>
        <v>21.02889128</v>
      </c>
      <c r="N47" s="657">
        <f t="shared" si="1"/>
        <v>10.51444564</v>
      </c>
      <c r="O47" s="657">
        <f t="shared" si="2"/>
        <v>10.51444564</v>
      </c>
      <c r="P47" s="654">
        <f t="shared" si="3"/>
        <v>36.800559739999997</v>
      </c>
    </row>
    <row r="48" spans="1:16">
      <c r="A48" s="650">
        <v>46</v>
      </c>
      <c r="B48" s="339" t="s">
        <v>1548</v>
      </c>
      <c r="C48" s="327" t="s">
        <v>247</v>
      </c>
      <c r="D48" s="400">
        <v>100311111264981</v>
      </c>
      <c r="E48" s="401">
        <v>6028778</v>
      </c>
      <c r="F48" s="294">
        <v>603.5</v>
      </c>
      <c r="G48" s="294">
        <f t="shared" si="5"/>
        <v>44.5383</v>
      </c>
      <c r="H48" s="294">
        <v>64.849999999999994</v>
      </c>
      <c r="I48" s="293">
        <f t="shared" si="6"/>
        <v>494.11169999999993</v>
      </c>
      <c r="J48" s="329" t="s">
        <v>13</v>
      </c>
      <c r="K48" s="294" t="s">
        <v>23</v>
      </c>
      <c r="L48" s="293">
        <f t="shared" si="4"/>
        <v>74.116754999999984</v>
      </c>
      <c r="M48" s="293">
        <f t="shared" si="0"/>
        <v>19.764467999999997</v>
      </c>
      <c r="N48" s="296">
        <f t="shared" si="1"/>
        <v>9.8822339999999986</v>
      </c>
      <c r="O48" s="296">
        <f t="shared" si="2"/>
        <v>9.8822339999999986</v>
      </c>
      <c r="P48" s="294">
        <f t="shared" si="3"/>
        <v>34.587818999999996</v>
      </c>
    </row>
    <row r="49" spans="1:16">
      <c r="A49" s="650">
        <v>47</v>
      </c>
      <c r="B49" s="651" t="s">
        <v>1549</v>
      </c>
      <c r="C49" s="660" t="s">
        <v>931</v>
      </c>
      <c r="D49" s="254">
        <v>37067573</v>
      </c>
      <c r="E49" s="280">
        <v>6036285</v>
      </c>
      <c r="F49" s="659">
        <v>526.95000000000005</v>
      </c>
      <c r="G49" s="654">
        <f t="shared" si="5"/>
        <v>38.888910000000003</v>
      </c>
      <c r="H49" s="659">
        <v>0</v>
      </c>
      <c r="I49" s="656">
        <f t="shared" si="6"/>
        <v>488.06109000000004</v>
      </c>
      <c r="J49" s="667" t="s">
        <v>13</v>
      </c>
      <c r="K49" s="659" t="s">
        <v>1550</v>
      </c>
      <c r="L49" s="656">
        <f t="shared" si="4"/>
        <v>73.209163500000003</v>
      </c>
      <c r="M49" s="656">
        <f t="shared" si="0"/>
        <v>19.522443600000003</v>
      </c>
      <c r="N49" s="657">
        <f t="shared" si="1"/>
        <v>9.7612218000000013</v>
      </c>
      <c r="O49" s="657">
        <f t="shared" si="2"/>
        <v>9.7612218000000013</v>
      </c>
      <c r="P49" s="654">
        <f t="shared" si="3"/>
        <v>34.164276299999997</v>
      </c>
    </row>
    <row r="50" spans="1:16">
      <c r="A50" s="650">
        <v>48</v>
      </c>
      <c r="B50" s="651" t="s">
        <v>1551</v>
      </c>
      <c r="C50" s="660" t="s">
        <v>234</v>
      </c>
      <c r="D50" s="254">
        <v>10031111272250</v>
      </c>
      <c r="E50" s="280">
        <v>6031373</v>
      </c>
      <c r="F50" s="659">
        <v>620.89</v>
      </c>
      <c r="G50" s="654">
        <f t="shared" si="5"/>
        <v>45.821682000000003</v>
      </c>
      <c r="H50" s="659">
        <v>0</v>
      </c>
      <c r="I50" s="656">
        <f t="shared" si="6"/>
        <v>575.06831799999998</v>
      </c>
      <c r="J50" s="667" t="s">
        <v>13</v>
      </c>
      <c r="K50" s="659" t="s">
        <v>17</v>
      </c>
      <c r="L50" s="656">
        <f t="shared" si="4"/>
        <v>86.260247699999994</v>
      </c>
      <c r="M50" s="656">
        <f t="shared" si="0"/>
        <v>23.002732720000001</v>
      </c>
      <c r="N50" s="657">
        <f t="shared" si="1"/>
        <v>11.50136636</v>
      </c>
      <c r="O50" s="657">
        <f t="shared" si="2"/>
        <v>11.50136636</v>
      </c>
      <c r="P50" s="654">
        <f t="shared" si="3"/>
        <v>40.254782259999999</v>
      </c>
    </row>
    <row r="51" spans="1:16">
      <c r="A51" s="650">
        <v>49</v>
      </c>
      <c r="B51" s="651" t="s">
        <v>1316</v>
      </c>
      <c r="C51" s="660" t="s">
        <v>931</v>
      </c>
      <c r="D51" s="254">
        <v>2817831</v>
      </c>
      <c r="E51" s="280">
        <v>6055524</v>
      </c>
      <c r="F51" s="659">
        <v>575.83000000000004</v>
      </c>
      <c r="G51" s="654">
        <f t="shared" si="5"/>
        <v>42.496254000000008</v>
      </c>
      <c r="H51" s="659">
        <v>50.51</v>
      </c>
      <c r="I51" s="656">
        <f t="shared" si="6"/>
        <v>482.82374600000003</v>
      </c>
      <c r="J51" s="667" t="s">
        <v>16</v>
      </c>
      <c r="K51" s="659" t="s">
        <v>14</v>
      </c>
      <c r="L51" s="656">
        <f t="shared" si="4"/>
        <v>72.423561899999996</v>
      </c>
      <c r="M51" s="656">
        <f t="shared" si="0"/>
        <v>19.312949840000002</v>
      </c>
      <c r="N51" s="657">
        <f t="shared" si="1"/>
        <v>9.6564749200000008</v>
      </c>
      <c r="O51" s="657">
        <f t="shared" si="2"/>
        <v>9.6564749200000008</v>
      </c>
      <c r="P51" s="654">
        <f t="shared" si="3"/>
        <v>33.797662219999992</v>
      </c>
    </row>
    <row r="52" spans="1:16">
      <c r="A52" s="650">
        <v>50</v>
      </c>
      <c r="B52" s="339" t="s">
        <v>1552</v>
      </c>
      <c r="C52" s="327" t="s">
        <v>931</v>
      </c>
      <c r="D52" s="746">
        <v>37078126</v>
      </c>
      <c r="E52" s="401">
        <v>6055761</v>
      </c>
      <c r="F52" s="294">
        <v>475.32</v>
      </c>
      <c r="G52" s="294">
        <f t="shared" si="5"/>
        <v>35.078616000000004</v>
      </c>
      <c r="H52" s="294">
        <v>118.83</v>
      </c>
      <c r="I52" s="293">
        <f t="shared" si="6"/>
        <v>321.411384</v>
      </c>
      <c r="J52" s="329" t="s">
        <v>13</v>
      </c>
      <c r="K52" s="294" t="s">
        <v>266</v>
      </c>
      <c r="L52" s="293">
        <f t="shared" si="4"/>
        <v>48.211707599999997</v>
      </c>
      <c r="M52" s="293">
        <f t="shared" si="0"/>
        <v>12.85645536</v>
      </c>
      <c r="N52" s="296">
        <f t="shared" si="1"/>
        <v>6.42822768</v>
      </c>
      <c r="O52" s="296">
        <f t="shared" si="2"/>
        <v>6.42822768</v>
      </c>
      <c r="P52" s="294">
        <f t="shared" si="3"/>
        <v>22.49879688</v>
      </c>
    </row>
    <row r="53" spans="1:16">
      <c r="A53" s="650">
        <v>51</v>
      </c>
      <c r="B53" s="651" t="s">
        <v>1553</v>
      </c>
      <c r="C53" s="660" t="s">
        <v>12</v>
      </c>
      <c r="D53" s="254">
        <v>10031111329430</v>
      </c>
      <c r="E53" s="280">
        <v>6052921</v>
      </c>
      <c r="F53" s="659">
        <v>559.02</v>
      </c>
      <c r="G53" s="654">
        <f t="shared" si="5"/>
        <v>41.255676000000001</v>
      </c>
      <c r="H53" s="659">
        <v>60.07</v>
      </c>
      <c r="I53" s="656">
        <f t="shared" si="6"/>
        <v>457.69432399999999</v>
      </c>
      <c r="J53" s="667" t="s">
        <v>13</v>
      </c>
      <c r="K53" s="659" t="s">
        <v>1554</v>
      </c>
      <c r="L53" s="656">
        <f t="shared" si="4"/>
        <v>68.654148599999999</v>
      </c>
      <c r="M53" s="656">
        <f t="shared" si="0"/>
        <v>18.307772960000001</v>
      </c>
      <c r="N53" s="657">
        <f t="shared" si="1"/>
        <v>9.1538864800000006</v>
      </c>
      <c r="O53" s="657">
        <f t="shared" si="2"/>
        <v>9.1538864800000006</v>
      </c>
      <c r="P53" s="654">
        <f t="shared" si="3"/>
        <v>32.038602679999997</v>
      </c>
    </row>
    <row r="54" spans="1:16">
      <c r="A54" s="650">
        <v>52</v>
      </c>
      <c r="B54" s="339" t="s">
        <v>1555</v>
      </c>
      <c r="C54" s="327" t="s">
        <v>1500</v>
      </c>
      <c r="D54" s="400">
        <v>100311111279457</v>
      </c>
      <c r="E54" s="401">
        <v>6059501</v>
      </c>
      <c r="F54" s="294">
        <v>556.09</v>
      </c>
      <c r="G54" s="294">
        <f t="shared" si="5"/>
        <v>41.039442000000008</v>
      </c>
      <c r="H54" s="294">
        <v>146.88999999999999</v>
      </c>
      <c r="I54" s="293">
        <f t="shared" si="6"/>
        <v>368.16055800000004</v>
      </c>
      <c r="J54" s="329" t="s">
        <v>13</v>
      </c>
      <c r="K54" s="294" t="s">
        <v>235</v>
      </c>
      <c r="L54" s="293">
        <f t="shared" si="4"/>
        <v>55.224083700000001</v>
      </c>
      <c r="M54" s="293">
        <f t="shared" si="0"/>
        <v>14.726422320000001</v>
      </c>
      <c r="N54" s="296">
        <f t="shared" si="1"/>
        <v>7.3632111600000005</v>
      </c>
      <c r="O54" s="296">
        <f t="shared" si="2"/>
        <v>7.3632111600000005</v>
      </c>
      <c r="P54" s="294">
        <f t="shared" si="3"/>
        <v>25.771239059999999</v>
      </c>
    </row>
    <row r="55" spans="1:16">
      <c r="A55" s="650">
        <v>53</v>
      </c>
      <c r="B55" s="651" t="s">
        <v>1556</v>
      </c>
      <c r="C55" s="660" t="s">
        <v>1516</v>
      </c>
      <c r="D55" s="371">
        <v>100311111278716</v>
      </c>
      <c r="E55" s="280">
        <v>6059167</v>
      </c>
      <c r="F55" s="659">
        <v>671.84</v>
      </c>
      <c r="G55" s="654">
        <f t="shared" si="5"/>
        <v>49.581792000000007</v>
      </c>
      <c r="H55" s="659">
        <v>72.19</v>
      </c>
      <c r="I55" s="656">
        <f t="shared" si="6"/>
        <v>550.06820799999991</v>
      </c>
      <c r="J55" s="667" t="s">
        <v>13</v>
      </c>
      <c r="K55" s="659" t="s">
        <v>266</v>
      </c>
      <c r="L55" s="656">
        <f t="shared" si="4"/>
        <v>82.510231199999978</v>
      </c>
      <c r="M55" s="656">
        <f t="shared" si="0"/>
        <v>22.002728319999996</v>
      </c>
      <c r="N55" s="657">
        <f t="shared" si="1"/>
        <v>11.001364159999998</v>
      </c>
      <c r="O55" s="657">
        <f t="shared" si="2"/>
        <v>11.001364159999998</v>
      </c>
      <c r="P55" s="654">
        <f t="shared" si="3"/>
        <v>38.504774559999987</v>
      </c>
    </row>
    <row r="56" spans="1:16">
      <c r="A56" s="650">
        <v>54</v>
      </c>
      <c r="B56" s="651" t="s">
        <v>311</v>
      </c>
      <c r="C56" s="660" t="s">
        <v>1557</v>
      </c>
      <c r="D56" s="254">
        <v>37084466</v>
      </c>
      <c r="E56" s="280">
        <v>6055877</v>
      </c>
      <c r="F56" s="659">
        <v>485.25</v>
      </c>
      <c r="G56" s="654">
        <f t="shared" si="5"/>
        <v>35.811450000000001</v>
      </c>
      <c r="H56" s="659">
        <v>97.05</v>
      </c>
      <c r="I56" s="656">
        <f t="shared" si="6"/>
        <v>352.38855000000001</v>
      </c>
      <c r="J56" s="667" t="s">
        <v>16</v>
      </c>
      <c r="K56" s="659" t="s">
        <v>238</v>
      </c>
      <c r="L56" s="656">
        <f t="shared" si="4"/>
        <v>52.858282500000001</v>
      </c>
      <c r="M56" s="656">
        <f t="shared" si="0"/>
        <v>14.095542</v>
      </c>
      <c r="N56" s="657">
        <f t="shared" si="1"/>
        <v>7.047771</v>
      </c>
      <c r="O56" s="657">
        <f t="shared" si="2"/>
        <v>7.047771</v>
      </c>
      <c r="P56" s="654">
        <f t="shared" si="3"/>
        <v>24.667198499999998</v>
      </c>
    </row>
    <row r="57" spans="1:16">
      <c r="A57" s="650">
        <v>55</v>
      </c>
      <c r="B57" s="651" t="s">
        <v>1558</v>
      </c>
      <c r="C57" s="660" t="s">
        <v>241</v>
      </c>
      <c r="D57" s="254">
        <v>2818668</v>
      </c>
      <c r="E57" s="280">
        <v>6056004</v>
      </c>
      <c r="F57" s="659">
        <v>545.58000000000004</v>
      </c>
      <c r="G57" s="654">
        <f t="shared" si="5"/>
        <v>40.263804000000007</v>
      </c>
      <c r="H57" s="659">
        <v>143.58000000000001</v>
      </c>
      <c r="I57" s="656">
        <f t="shared" si="6"/>
        <v>361.73619600000006</v>
      </c>
      <c r="J57" s="667" t="s">
        <v>16</v>
      </c>
      <c r="K57" s="659" t="s">
        <v>14</v>
      </c>
      <c r="L57" s="656">
        <f t="shared" si="4"/>
        <v>54.260429400000007</v>
      </c>
      <c r="M57" s="656">
        <f t="shared" si="0"/>
        <v>14.469447840000003</v>
      </c>
      <c r="N57" s="657">
        <f t="shared" si="1"/>
        <v>7.2347239200000013</v>
      </c>
      <c r="O57" s="657">
        <f t="shared" si="2"/>
        <v>7.2347239200000013</v>
      </c>
      <c r="P57" s="654">
        <f t="shared" si="3"/>
        <v>25.321533720000005</v>
      </c>
    </row>
    <row r="58" spans="1:16">
      <c r="A58" s="650">
        <v>56</v>
      </c>
      <c r="B58" s="651" t="s">
        <v>1559</v>
      </c>
      <c r="C58" s="660" t="s">
        <v>1038</v>
      </c>
      <c r="D58" s="254">
        <v>37081645</v>
      </c>
      <c r="E58" s="280" t="s">
        <v>1560</v>
      </c>
      <c r="F58" s="659">
        <v>960.96</v>
      </c>
      <c r="G58" s="654">
        <f t="shared" si="5"/>
        <v>70.918848000000011</v>
      </c>
      <c r="H58" s="659">
        <v>80.08</v>
      </c>
      <c r="I58" s="656">
        <f t="shared" si="6"/>
        <v>809.96115199999997</v>
      </c>
      <c r="J58" s="667" t="s">
        <v>16</v>
      </c>
      <c r="K58" s="659" t="s">
        <v>17</v>
      </c>
      <c r="L58" s="656">
        <f t="shared" si="4"/>
        <v>121.49417279999999</v>
      </c>
      <c r="M58" s="656">
        <f t="shared" si="0"/>
        <v>32.398446079999999</v>
      </c>
      <c r="N58" s="657">
        <f t="shared" si="1"/>
        <v>16.19922304</v>
      </c>
      <c r="O58" s="657">
        <f t="shared" si="2"/>
        <v>16.19922304</v>
      </c>
      <c r="P58" s="654">
        <f t="shared" si="3"/>
        <v>56.697280639999995</v>
      </c>
    </row>
    <row r="59" spans="1:16">
      <c r="A59" s="650">
        <v>57</v>
      </c>
      <c r="B59" s="651" t="s">
        <v>1561</v>
      </c>
      <c r="C59" s="660" t="s">
        <v>173</v>
      </c>
      <c r="D59" s="283">
        <v>10031111275484</v>
      </c>
      <c r="E59" s="280" t="s">
        <v>1562</v>
      </c>
      <c r="F59" s="659">
        <v>480.82</v>
      </c>
      <c r="G59" s="654">
        <f t="shared" si="5"/>
        <v>35.484515999999999</v>
      </c>
      <c r="H59" s="659">
        <v>51.82</v>
      </c>
      <c r="I59" s="656">
        <f t="shared" si="6"/>
        <v>393.51548400000001</v>
      </c>
      <c r="J59" s="667" t="s">
        <v>13</v>
      </c>
      <c r="K59" s="659" t="s">
        <v>17</v>
      </c>
      <c r="L59" s="656">
        <f t="shared" si="4"/>
        <v>59.027322599999998</v>
      </c>
      <c r="M59" s="656">
        <f t="shared" si="0"/>
        <v>15.74061936</v>
      </c>
      <c r="N59" s="657">
        <f t="shared" si="1"/>
        <v>7.8703096800000001</v>
      </c>
      <c r="O59" s="657">
        <f t="shared" si="2"/>
        <v>7.8703096800000001</v>
      </c>
      <c r="P59" s="654">
        <f t="shared" si="3"/>
        <v>27.546083879999998</v>
      </c>
    </row>
    <row r="60" spans="1:16">
      <c r="A60" s="650">
        <v>58</v>
      </c>
      <c r="B60" s="651" t="s">
        <v>1563</v>
      </c>
      <c r="C60" s="660" t="s">
        <v>234</v>
      </c>
      <c r="D60" s="284">
        <v>37084534</v>
      </c>
      <c r="E60" s="280" t="s">
        <v>1564</v>
      </c>
      <c r="F60" s="659">
        <v>552.9</v>
      </c>
      <c r="G60" s="654">
        <f t="shared" si="5"/>
        <v>40.804020000000001</v>
      </c>
      <c r="H60" s="659">
        <v>138.18</v>
      </c>
      <c r="I60" s="656">
        <f t="shared" si="6"/>
        <v>373.91597999999993</v>
      </c>
      <c r="J60" s="667" t="s">
        <v>13</v>
      </c>
      <c r="K60" s="659" t="s">
        <v>17</v>
      </c>
      <c r="L60" s="656">
        <f t="shared" si="4"/>
        <v>56.087396999999989</v>
      </c>
      <c r="M60" s="656">
        <f t="shared" si="0"/>
        <v>14.956639199999998</v>
      </c>
      <c r="N60" s="657">
        <f t="shared" si="1"/>
        <v>7.478319599999999</v>
      </c>
      <c r="O60" s="657">
        <f t="shared" si="2"/>
        <v>7.478319599999999</v>
      </c>
      <c r="P60" s="654">
        <f t="shared" si="3"/>
        <v>26.174118599999993</v>
      </c>
    </row>
    <row r="61" spans="1:16">
      <c r="A61" s="650">
        <v>59</v>
      </c>
      <c r="B61" s="226" t="s">
        <v>1565</v>
      </c>
      <c r="C61" s="165" t="s">
        <v>35</v>
      </c>
      <c r="D61" s="382" t="s">
        <v>32</v>
      </c>
      <c r="E61" s="383" t="s">
        <v>1566</v>
      </c>
      <c r="F61" s="168">
        <v>547.99</v>
      </c>
      <c r="G61" s="169">
        <f t="shared" si="5"/>
        <v>40.441662000000001</v>
      </c>
      <c r="H61" s="168">
        <v>136.96</v>
      </c>
      <c r="I61" s="170">
        <f t="shared" si="6"/>
        <v>370.58833800000002</v>
      </c>
      <c r="J61" s="167" t="s">
        <v>16</v>
      </c>
      <c r="K61" s="168" t="s">
        <v>20</v>
      </c>
      <c r="L61" s="170">
        <f t="shared" si="4"/>
        <v>55.588250700000003</v>
      </c>
      <c r="M61" s="170">
        <f t="shared" si="0"/>
        <v>14.823533520000002</v>
      </c>
      <c r="N61" s="171">
        <f t="shared" si="1"/>
        <v>7.4117667600000008</v>
      </c>
      <c r="O61" s="171">
        <f t="shared" si="2"/>
        <v>7.4117667600000008</v>
      </c>
      <c r="P61" s="169">
        <f t="shared" si="3"/>
        <v>25.941183660000007</v>
      </c>
    </row>
    <row r="62" spans="1:16">
      <c r="A62" s="650">
        <v>60</v>
      </c>
      <c r="B62" s="651" t="s">
        <v>1567</v>
      </c>
      <c r="C62" s="660" t="s">
        <v>1500</v>
      </c>
      <c r="D62" s="254"/>
      <c r="E62" s="280">
        <v>6060949</v>
      </c>
      <c r="F62" s="659">
        <v>314.10000000000002</v>
      </c>
      <c r="G62" s="654">
        <f t="shared" si="5"/>
        <v>23.180580000000003</v>
      </c>
      <c r="H62" s="659">
        <v>31.41</v>
      </c>
      <c r="I62" s="656">
        <f t="shared" si="6"/>
        <v>259.50941999999998</v>
      </c>
      <c r="J62" s="667" t="s">
        <v>16</v>
      </c>
      <c r="K62" s="659" t="s">
        <v>36</v>
      </c>
      <c r="L62" s="656">
        <f t="shared" si="4"/>
        <v>38.926412999999997</v>
      </c>
      <c r="M62" s="656">
        <f t="shared" si="0"/>
        <v>10.380376799999999</v>
      </c>
      <c r="N62" s="657">
        <f t="shared" si="1"/>
        <v>5.1901883999999994</v>
      </c>
      <c r="O62" s="657">
        <f t="shared" si="2"/>
        <v>5.1901883999999994</v>
      </c>
      <c r="P62" s="654">
        <f t="shared" si="3"/>
        <v>18.165659399999996</v>
      </c>
    </row>
    <row r="63" spans="1:16">
      <c r="A63" s="650">
        <v>61</v>
      </c>
      <c r="B63" s="651" t="s">
        <v>1568</v>
      </c>
      <c r="C63" s="660" t="s">
        <v>559</v>
      </c>
      <c r="D63" s="254">
        <v>2820930</v>
      </c>
      <c r="E63" s="280">
        <v>6061508</v>
      </c>
      <c r="F63" s="659">
        <v>736.62</v>
      </c>
      <c r="G63" s="654">
        <f t="shared" si="5"/>
        <v>54.362556000000005</v>
      </c>
      <c r="H63" s="659">
        <v>64.62</v>
      </c>
      <c r="I63" s="656">
        <f t="shared" si="6"/>
        <v>617.63744399999996</v>
      </c>
      <c r="J63" s="667" t="s">
        <v>16</v>
      </c>
      <c r="K63" s="659" t="s">
        <v>24</v>
      </c>
      <c r="L63" s="656">
        <f t="shared" si="4"/>
        <v>92.645616599999997</v>
      </c>
      <c r="M63" s="656">
        <f t="shared" si="0"/>
        <v>24.70549776</v>
      </c>
      <c r="N63" s="657">
        <f t="shared" si="1"/>
        <v>12.35274888</v>
      </c>
      <c r="O63" s="657">
        <f t="shared" si="2"/>
        <v>12.35274888</v>
      </c>
      <c r="P63" s="654">
        <f t="shared" si="3"/>
        <v>43.234621079999997</v>
      </c>
    </row>
    <row r="64" spans="1:16">
      <c r="A64" s="650">
        <v>62</v>
      </c>
      <c r="B64" s="651" t="s">
        <v>1569</v>
      </c>
      <c r="C64" s="660" t="s">
        <v>1500</v>
      </c>
      <c r="D64" s="254">
        <v>2839118</v>
      </c>
      <c r="E64" s="280" t="s">
        <v>1570</v>
      </c>
      <c r="F64" s="659">
        <v>473.13</v>
      </c>
      <c r="G64" s="654">
        <f t="shared" si="5"/>
        <v>34.916994000000003</v>
      </c>
      <c r="H64" s="659">
        <v>56.87</v>
      </c>
      <c r="I64" s="656">
        <f t="shared" si="6"/>
        <v>381.343006</v>
      </c>
      <c r="J64" s="667" t="s">
        <v>13</v>
      </c>
      <c r="K64" s="659" t="s">
        <v>17</v>
      </c>
      <c r="L64" s="656">
        <f t="shared" si="4"/>
        <v>57.201450899999998</v>
      </c>
      <c r="M64" s="656">
        <f t="shared" si="0"/>
        <v>15.25372024</v>
      </c>
      <c r="N64" s="657">
        <f t="shared" si="1"/>
        <v>7.6268601199999999</v>
      </c>
      <c r="O64" s="657">
        <f t="shared" si="2"/>
        <v>7.6268601199999999</v>
      </c>
      <c r="P64" s="654">
        <f t="shared" si="3"/>
        <v>26.694010420000001</v>
      </c>
    </row>
    <row r="65" spans="1:16">
      <c r="A65" s="650">
        <v>63</v>
      </c>
      <c r="B65" s="651" t="s">
        <v>1571</v>
      </c>
      <c r="C65" s="660" t="s">
        <v>12</v>
      </c>
      <c r="D65" s="282">
        <v>103311111291401</v>
      </c>
      <c r="E65" s="280">
        <v>6042993</v>
      </c>
      <c r="F65" s="659">
        <v>642.23</v>
      </c>
      <c r="G65" s="654">
        <f t="shared" si="5"/>
        <v>47.396574000000001</v>
      </c>
      <c r="H65" s="659">
        <v>0</v>
      </c>
      <c r="I65" s="656">
        <f t="shared" si="6"/>
        <v>594.83342600000003</v>
      </c>
      <c r="J65" s="667" t="s">
        <v>13</v>
      </c>
      <c r="K65" s="659" t="s">
        <v>17</v>
      </c>
      <c r="L65" s="656">
        <f t="shared" si="4"/>
        <v>89.225013900000008</v>
      </c>
      <c r="M65" s="656">
        <f t="shared" si="0"/>
        <v>23.793337040000001</v>
      </c>
      <c r="N65" s="657">
        <f t="shared" si="1"/>
        <v>11.89666852</v>
      </c>
      <c r="O65" s="657">
        <f t="shared" si="2"/>
        <v>11.89666852</v>
      </c>
      <c r="P65" s="654">
        <f t="shared" si="3"/>
        <v>41.638339820000013</v>
      </c>
    </row>
    <row r="66" spans="1:16">
      <c r="A66" s="650">
        <v>64</v>
      </c>
      <c r="B66" s="651" t="s">
        <v>1572</v>
      </c>
      <c r="C66" s="660" t="s">
        <v>173</v>
      </c>
      <c r="D66" s="482">
        <v>1003111111291340</v>
      </c>
      <c r="E66" s="280">
        <v>6065732</v>
      </c>
      <c r="F66" s="659">
        <v>635.53</v>
      </c>
      <c r="G66" s="654">
        <f t="shared" si="5"/>
        <v>46.902113999999997</v>
      </c>
      <c r="H66" s="659">
        <v>0</v>
      </c>
      <c r="I66" s="656">
        <f t="shared" si="6"/>
        <v>588.62788599999999</v>
      </c>
      <c r="J66" s="667" t="s">
        <v>13</v>
      </c>
      <c r="K66" s="659" t="s">
        <v>266</v>
      </c>
      <c r="L66" s="656">
        <f t="shared" si="4"/>
        <v>88.294182899999996</v>
      </c>
      <c r="M66" s="656">
        <f t="shared" si="0"/>
        <v>23.54511544</v>
      </c>
      <c r="N66" s="657">
        <f t="shared" si="1"/>
        <v>11.77255772</v>
      </c>
      <c r="O66" s="657">
        <f t="shared" si="2"/>
        <v>11.77255772</v>
      </c>
      <c r="P66" s="654">
        <f t="shared" si="3"/>
        <v>41.203952019999988</v>
      </c>
    </row>
    <row r="67" spans="1:16">
      <c r="A67" s="650">
        <v>65</v>
      </c>
      <c r="B67" s="651" t="s">
        <v>1573</v>
      </c>
      <c r="C67" s="660" t="s">
        <v>1500</v>
      </c>
      <c r="D67" s="254">
        <v>10031111291348</v>
      </c>
      <c r="E67" s="280">
        <v>6064154</v>
      </c>
      <c r="F67" s="659">
        <v>5557.19</v>
      </c>
      <c r="G67" s="654">
        <f t="shared" si="5"/>
        <v>410.12062199999997</v>
      </c>
      <c r="H67" s="659">
        <v>55.72</v>
      </c>
      <c r="I67" s="656">
        <f t="shared" si="6"/>
        <v>5091.349377999999</v>
      </c>
      <c r="J67" s="667" t="s">
        <v>16</v>
      </c>
      <c r="K67" s="659" t="s">
        <v>26</v>
      </c>
      <c r="L67" s="656">
        <f t="shared" si="4"/>
        <v>763.70240669999987</v>
      </c>
      <c r="M67" s="656">
        <f t="shared" ref="M67:M149" si="7">I67*4%</f>
        <v>203.65397511999996</v>
      </c>
      <c r="N67" s="657">
        <f t="shared" ref="N67:N149" si="8">I67*2%</f>
        <v>101.82698755999998</v>
      </c>
      <c r="O67" s="657">
        <f t="shared" ref="O67:O149" si="9">I67*2%</f>
        <v>101.82698755999998</v>
      </c>
      <c r="P67" s="654">
        <f t="shared" ref="P67:P149" si="10">L67-M67-N67-O67</f>
        <v>356.39445646000001</v>
      </c>
    </row>
    <row r="68" spans="1:16">
      <c r="A68" s="650">
        <v>66</v>
      </c>
      <c r="B68" s="651" t="s">
        <v>1574</v>
      </c>
      <c r="C68" s="660" t="s">
        <v>559</v>
      </c>
      <c r="D68" s="254">
        <v>100311111290220</v>
      </c>
      <c r="E68" s="280">
        <v>6059301</v>
      </c>
      <c r="F68" s="659">
        <v>531.05999999999995</v>
      </c>
      <c r="G68" s="654">
        <f t="shared" si="5"/>
        <v>39.192228</v>
      </c>
      <c r="H68" s="659">
        <v>66.09</v>
      </c>
      <c r="I68" s="656">
        <f t="shared" si="6"/>
        <v>425.77777199999991</v>
      </c>
      <c r="J68" s="667" t="s">
        <v>13</v>
      </c>
      <c r="K68" s="659" t="s">
        <v>26</v>
      </c>
      <c r="L68" s="656">
        <f t="shared" ref="L68:L149" si="11">I68*15%</f>
        <v>63.866665799999986</v>
      </c>
      <c r="M68" s="656">
        <f t="shared" si="7"/>
        <v>17.031110879999996</v>
      </c>
      <c r="N68" s="657">
        <f t="shared" si="8"/>
        <v>8.5155554399999982</v>
      </c>
      <c r="O68" s="657">
        <f t="shared" si="9"/>
        <v>8.5155554399999982</v>
      </c>
      <c r="P68" s="654">
        <f t="shared" si="10"/>
        <v>29.804444039999993</v>
      </c>
    </row>
    <row r="69" spans="1:16">
      <c r="A69" s="650">
        <v>67</v>
      </c>
      <c r="B69" s="651" t="s">
        <v>1575</v>
      </c>
      <c r="C69" s="660" t="s">
        <v>1500</v>
      </c>
      <c r="D69" s="254">
        <v>10031111290220</v>
      </c>
      <c r="E69" s="280">
        <v>6020818</v>
      </c>
      <c r="F69" s="659">
        <v>559.32000000000005</v>
      </c>
      <c r="G69" s="654">
        <f t="shared" ref="G69:G149" si="12">F69*7.38%</f>
        <v>41.277816000000009</v>
      </c>
      <c r="H69" s="659">
        <v>46.61</v>
      </c>
      <c r="I69" s="656">
        <f t="shared" ref="I69:I149" si="13">F69-G69-H69</f>
        <v>471.43218400000001</v>
      </c>
      <c r="J69" s="667" t="s">
        <v>16</v>
      </c>
      <c r="K69" s="659" t="s">
        <v>26</v>
      </c>
      <c r="L69" s="656">
        <f t="shared" si="11"/>
        <v>70.714827599999992</v>
      </c>
      <c r="M69" s="656">
        <f t="shared" si="7"/>
        <v>18.857287360000001</v>
      </c>
      <c r="N69" s="657">
        <f t="shared" si="8"/>
        <v>9.4286436800000004</v>
      </c>
      <c r="O69" s="657">
        <f t="shared" si="9"/>
        <v>9.4286436800000004</v>
      </c>
      <c r="P69" s="654">
        <f t="shared" si="10"/>
        <v>33.000252879999991</v>
      </c>
    </row>
    <row r="70" spans="1:16">
      <c r="A70" s="650">
        <v>68</v>
      </c>
      <c r="B70" s="651" t="s">
        <v>1576</v>
      </c>
      <c r="C70" s="660" t="s">
        <v>234</v>
      </c>
      <c r="D70" s="254">
        <v>100311111287970</v>
      </c>
      <c r="E70" s="280">
        <v>6064574</v>
      </c>
      <c r="F70" s="659">
        <v>596.72</v>
      </c>
      <c r="G70" s="654">
        <f t="shared" si="12"/>
        <v>44.037936000000002</v>
      </c>
      <c r="H70" s="659">
        <v>64.12</v>
      </c>
      <c r="I70" s="656">
        <f t="shared" si="13"/>
        <v>488.56206400000008</v>
      </c>
      <c r="J70" s="667" t="s">
        <v>13</v>
      </c>
      <c r="K70" s="659" t="s">
        <v>14</v>
      </c>
      <c r="L70" s="656">
        <f t="shared" si="11"/>
        <v>73.284309600000014</v>
      </c>
      <c r="M70" s="656">
        <f t="shared" si="7"/>
        <v>19.542482560000003</v>
      </c>
      <c r="N70" s="657">
        <f t="shared" si="8"/>
        <v>9.7712412800000017</v>
      </c>
      <c r="O70" s="657">
        <f t="shared" si="9"/>
        <v>9.7712412800000017</v>
      </c>
      <c r="P70" s="654">
        <f t="shared" si="10"/>
        <v>34.199344480000008</v>
      </c>
    </row>
    <row r="71" spans="1:16">
      <c r="A71" s="650">
        <v>69</v>
      </c>
      <c r="B71" s="651" t="s">
        <v>1577</v>
      </c>
      <c r="C71" s="660" t="s">
        <v>18</v>
      </c>
      <c r="D71" s="254">
        <v>10031111287834</v>
      </c>
      <c r="E71" s="280">
        <v>6062055</v>
      </c>
      <c r="F71" s="659">
        <v>645.79</v>
      </c>
      <c r="G71" s="654">
        <f t="shared" si="12"/>
        <v>47.659301999999997</v>
      </c>
      <c r="H71" s="659">
        <v>67.510000000000005</v>
      </c>
      <c r="I71" s="656">
        <f t="shared" si="13"/>
        <v>530.62069799999995</v>
      </c>
      <c r="J71" s="667" t="s">
        <v>13</v>
      </c>
      <c r="K71" s="659" t="s">
        <v>20</v>
      </c>
      <c r="L71" s="656">
        <f t="shared" si="11"/>
        <v>79.593104699999984</v>
      </c>
      <c r="M71" s="656">
        <f t="shared" si="7"/>
        <v>21.224827919999999</v>
      </c>
      <c r="N71" s="657">
        <f t="shared" si="8"/>
        <v>10.61241396</v>
      </c>
      <c r="O71" s="657">
        <f t="shared" si="9"/>
        <v>10.61241396</v>
      </c>
      <c r="P71" s="654">
        <f t="shared" si="10"/>
        <v>37.143448859999992</v>
      </c>
    </row>
    <row r="72" spans="1:16">
      <c r="A72" s="650">
        <v>70</v>
      </c>
      <c r="B72" s="651" t="s">
        <v>1578</v>
      </c>
      <c r="C72" s="660" t="s">
        <v>1500</v>
      </c>
      <c r="D72" s="254">
        <v>100311111286642</v>
      </c>
      <c r="E72" s="280" t="s">
        <v>1579</v>
      </c>
      <c r="F72" s="659">
        <v>447.86</v>
      </c>
      <c r="G72" s="654">
        <f t="shared" si="12"/>
        <v>33.052068000000006</v>
      </c>
      <c r="H72" s="659">
        <v>118.12</v>
      </c>
      <c r="I72" s="656">
        <f t="shared" si="13"/>
        <v>296.68793199999999</v>
      </c>
      <c r="J72" s="667" t="s">
        <v>13</v>
      </c>
      <c r="K72" s="659" t="s">
        <v>17</v>
      </c>
      <c r="L72" s="656">
        <f t="shared" si="11"/>
        <v>44.503189799999994</v>
      </c>
      <c r="M72" s="656">
        <f t="shared" si="7"/>
        <v>11.86751728</v>
      </c>
      <c r="N72" s="657">
        <f t="shared" si="8"/>
        <v>5.9337586399999998</v>
      </c>
      <c r="O72" s="657">
        <f t="shared" si="9"/>
        <v>5.9337586399999998</v>
      </c>
      <c r="P72" s="654">
        <f t="shared" si="10"/>
        <v>20.768155239999992</v>
      </c>
    </row>
    <row r="73" spans="1:16">
      <c r="A73" s="650">
        <v>71</v>
      </c>
      <c r="B73" s="651" t="s">
        <v>1580</v>
      </c>
      <c r="C73" s="660" t="s">
        <v>1500</v>
      </c>
      <c r="D73" s="254">
        <v>37106580</v>
      </c>
      <c r="E73" s="280" t="s">
        <v>1581</v>
      </c>
      <c r="F73" s="659">
        <v>337.29</v>
      </c>
      <c r="G73" s="654">
        <f t="shared" si="12"/>
        <v>24.892002000000002</v>
      </c>
      <c r="H73" s="659">
        <v>112.43</v>
      </c>
      <c r="I73" s="656">
        <f t="shared" si="13"/>
        <v>199.96799800000002</v>
      </c>
      <c r="J73" s="667" t="s">
        <v>13</v>
      </c>
      <c r="K73" s="659" t="s">
        <v>17</v>
      </c>
      <c r="L73" s="656">
        <f t="shared" si="11"/>
        <v>29.995199700000001</v>
      </c>
      <c r="M73" s="656">
        <f t="shared" si="7"/>
        <v>7.998719920000001</v>
      </c>
      <c r="N73" s="657">
        <f t="shared" si="8"/>
        <v>3.9993599600000005</v>
      </c>
      <c r="O73" s="657">
        <f t="shared" si="9"/>
        <v>3.9993599600000005</v>
      </c>
      <c r="P73" s="654">
        <f t="shared" si="10"/>
        <v>13.997759860000002</v>
      </c>
    </row>
    <row r="74" spans="1:16">
      <c r="A74" s="650">
        <v>72</v>
      </c>
      <c r="B74" s="651" t="s">
        <v>1582</v>
      </c>
      <c r="C74" s="660" t="s">
        <v>559</v>
      </c>
      <c r="D74" s="280">
        <v>2824943</v>
      </c>
      <c r="E74" s="280" t="s">
        <v>1583</v>
      </c>
      <c r="F74" s="659">
        <v>464.88</v>
      </c>
      <c r="G74" s="654">
        <f t="shared" si="12"/>
        <v>34.308143999999999</v>
      </c>
      <c r="H74" s="659">
        <v>77.48</v>
      </c>
      <c r="I74" s="656">
        <f t="shared" si="13"/>
        <v>353.09185600000001</v>
      </c>
      <c r="J74" s="667" t="s">
        <v>16</v>
      </c>
      <c r="K74" s="659" t="s">
        <v>17</v>
      </c>
      <c r="L74" s="656">
        <f t="shared" si="11"/>
        <v>52.963778400000002</v>
      </c>
      <c r="M74" s="656">
        <f t="shared" si="7"/>
        <v>14.12367424</v>
      </c>
      <c r="N74" s="657">
        <f t="shared" si="8"/>
        <v>7.0618371199999999</v>
      </c>
      <c r="O74" s="657">
        <f t="shared" si="9"/>
        <v>7.0618371199999999</v>
      </c>
      <c r="P74" s="654">
        <f t="shared" si="10"/>
        <v>24.716429920000003</v>
      </c>
    </row>
    <row r="75" spans="1:16">
      <c r="A75" s="650">
        <v>73</v>
      </c>
      <c r="B75" s="651" t="s">
        <v>1584</v>
      </c>
      <c r="C75" s="660" t="s">
        <v>1585</v>
      </c>
      <c r="D75" s="254">
        <v>2825087</v>
      </c>
      <c r="E75" s="280">
        <v>6071343</v>
      </c>
      <c r="F75" s="659">
        <v>652.01</v>
      </c>
      <c r="G75" s="654">
        <f t="shared" si="12"/>
        <v>48.118338000000001</v>
      </c>
      <c r="H75" s="659">
        <v>66.8</v>
      </c>
      <c r="I75" s="656">
        <f t="shared" si="13"/>
        <v>537.09166200000004</v>
      </c>
      <c r="J75" s="667" t="s">
        <v>16</v>
      </c>
      <c r="K75" s="659" t="s">
        <v>266</v>
      </c>
      <c r="L75" s="656">
        <f t="shared" si="11"/>
        <v>80.563749299999998</v>
      </c>
      <c r="M75" s="656">
        <f t="shared" si="7"/>
        <v>21.483666480000004</v>
      </c>
      <c r="N75" s="657">
        <f t="shared" si="8"/>
        <v>10.741833240000002</v>
      </c>
      <c r="O75" s="657">
        <f t="shared" si="9"/>
        <v>10.741833240000002</v>
      </c>
      <c r="P75" s="654">
        <f t="shared" si="10"/>
        <v>37.59641633999999</v>
      </c>
    </row>
    <row r="76" spans="1:16">
      <c r="A76" s="650">
        <v>74</v>
      </c>
      <c r="B76" s="651" t="s">
        <v>1586</v>
      </c>
      <c r="C76" s="660" t="s">
        <v>931</v>
      </c>
      <c r="D76" s="482">
        <v>2824706</v>
      </c>
      <c r="E76" s="280">
        <v>6070695</v>
      </c>
      <c r="F76" s="659">
        <v>720.87</v>
      </c>
      <c r="G76" s="654">
        <f t="shared" si="12"/>
        <v>53.200206000000001</v>
      </c>
      <c r="H76" s="659">
        <v>60.07</v>
      </c>
      <c r="I76" s="656">
        <f t="shared" si="13"/>
        <v>607.59979399999997</v>
      </c>
      <c r="J76" s="667" t="s">
        <v>16</v>
      </c>
      <c r="K76" s="659" t="s">
        <v>17</v>
      </c>
      <c r="L76" s="656">
        <f t="shared" si="11"/>
        <v>91.139969099999988</v>
      </c>
      <c r="M76" s="656">
        <f t="shared" si="7"/>
        <v>24.303991759999999</v>
      </c>
      <c r="N76" s="657">
        <f t="shared" si="8"/>
        <v>12.151995879999999</v>
      </c>
      <c r="O76" s="657">
        <f t="shared" si="9"/>
        <v>12.151995879999999</v>
      </c>
      <c r="P76" s="654">
        <f t="shared" si="10"/>
        <v>42.531985579999983</v>
      </c>
    </row>
    <row r="77" spans="1:16">
      <c r="A77" s="650">
        <v>75</v>
      </c>
      <c r="B77" s="651" t="s">
        <v>1587</v>
      </c>
      <c r="C77" s="660" t="s">
        <v>1038</v>
      </c>
      <c r="D77" s="254"/>
      <c r="E77" s="280">
        <v>6069274</v>
      </c>
      <c r="F77" s="659">
        <v>584.82000000000005</v>
      </c>
      <c r="G77" s="654">
        <f t="shared" si="12"/>
        <v>43.159716000000003</v>
      </c>
      <c r="H77" s="659">
        <v>76.33</v>
      </c>
      <c r="I77" s="656">
        <f t="shared" si="13"/>
        <v>465.33028400000006</v>
      </c>
      <c r="J77" s="667" t="s">
        <v>13</v>
      </c>
      <c r="K77" s="659" t="s">
        <v>17</v>
      </c>
      <c r="L77" s="656">
        <f t="shared" si="11"/>
        <v>69.799542600000009</v>
      </c>
      <c r="M77" s="656">
        <f t="shared" si="7"/>
        <v>18.613211360000005</v>
      </c>
      <c r="N77" s="657">
        <f t="shared" si="8"/>
        <v>9.3066056800000023</v>
      </c>
      <c r="O77" s="657">
        <f t="shared" si="9"/>
        <v>9.3066056800000023</v>
      </c>
      <c r="P77" s="654">
        <f t="shared" si="10"/>
        <v>32.573119879999993</v>
      </c>
    </row>
    <row r="78" spans="1:16">
      <c r="A78" s="650">
        <v>76</v>
      </c>
      <c r="B78" s="651" t="s">
        <v>1588</v>
      </c>
      <c r="C78" s="660" t="s">
        <v>1500</v>
      </c>
      <c r="D78" s="254"/>
      <c r="E78" s="280">
        <v>6072799</v>
      </c>
      <c r="F78" s="659">
        <v>527.20000000000005</v>
      </c>
      <c r="G78" s="654">
        <f t="shared" si="12"/>
        <v>38.907360000000004</v>
      </c>
      <c r="H78" s="659">
        <v>105.44</v>
      </c>
      <c r="I78" s="656">
        <f t="shared" si="13"/>
        <v>382.85264000000006</v>
      </c>
      <c r="J78" s="667" t="s">
        <v>16</v>
      </c>
      <c r="K78" s="659" t="s">
        <v>25</v>
      </c>
      <c r="L78" s="656">
        <f t="shared" si="11"/>
        <v>57.427896000000011</v>
      </c>
      <c r="M78" s="656">
        <f t="shared" si="7"/>
        <v>15.314105600000003</v>
      </c>
      <c r="N78" s="657">
        <f t="shared" si="8"/>
        <v>7.6570528000000015</v>
      </c>
      <c r="O78" s="657">
        <f t="shared" si="9"/>
        <v>7.6570528000000015</v>
      </c>
      <c r="P78" s="654">
        <f t="shared" si="10"/>
        <v>26.799684800000001</v>
      </c>
    </row>
    <row r="79" spans="1:16">
      <c r="A79" s="650">
        <v>77</v>
      </c>
      <c r="B79" s="651" t="s">
        <v>1589</v>
      </c>
      <c r="C79" s="660" t="s">
        <v>173</v>
      </c>
      <c r="D79" s="254">
        <v>10031111302912</v>
      </c>
      <c r="E79" s="280">
        <v>6073579</v>
      </c>
      <c r="F79" s="659">
        <v>623.45000000000005</v>
      </c>
      <c r="G79" s="654">
        <f t="shared" si="12"/>
        <v>46.010610000000007</v>
      </c>
      <c r="H79" s="659">
        <v>66.989999999999995</v>
      </c>
      <c r="I79" s="656">
        <f t="shared" si="13"/>
        <v>510.44938999999999</v>
      </c>
      <c r="J79" s="667" t="s">
        <v>13</v>
      </c>
      <c r="K79" s="659" t="s">
        <v>26</v>
      </c>
      <c r="L79" s="656">
        <f t="shared" si="11"/>
        <v>76.567408499999999</v>
      </c>
      <c r="M79" s="656">
        <f t="shared" si="7"/>
        <v>20.417975600000002</v>
      </c>
      <c r="N79" s="657">
        <f t="shared" si="8"/>
        <v>10.208987800000001</v>
      </c>
      <c r="O79" s="657">
        <f t="shared" si="9"/>
        <v>10.208987800000001</v>
      </c>
      <c r="P79" s="654">
        <f t="shared" si="10"/>
        <v>35.731457299999988</v>
      </c>
    </row>
    <row r="80" spans="1:16">
      <c r="A80" s="650">
        <v>78</v>
      </c>
      <c r="B80" s="339" t="s">
        <v>1590</v>
      </c>
      <c r="C80" s="327" t="s">
        <v>931</v>
      </c>
      <c r="D80" s="400">
        <v>37117243</v>
      </c>
      <c r="E80" s="401">
        <v>6073237</v>
      </c>
      <c r="F80" s="294">
        <v>918.2</v>
      </c>
      <c r="G80" s="294">
        <f t="shared" si="12"/>
        <v>67.763160000000013</v>
      </c>
      <c r="H80" s="294">
        <v>76.47</v>
      </c>
      <c r="I80" s="293">
        <f t="shared" si="13"/>
        <v>773.96684000000005</v>
      </c>
      <c r="J80" s="329" t="s">
        <v>16</v>
      </c>
      <c r="K80" s="294" t="s">
        <v>17</v>
      </c>
      <c r="L80" s="293">
        <f t="shared" si="11"/>
        <v>116.095026</v>
      </c>
      <c r="M80" s="293">
        <f t="shared" si="7"/>
        <v>30.958673600000001</v>
      </c>
      <c r="N80" s="296">
        <f t="shared" si="8"/>
        <v>15.4793368</v>
      </c>
      <c r="O80" s="296">
        <f t="shared" si="9"/>
        <v>15.4793368</v>
      </c>
      <c r="P80" s="294">
        <f t="shared" si="10"/>
        <v>54.17767880000001</v>
      </c>
    </row>
    <row r="81" spans="1:16">
      <c r="A81" s="650">
        <v>79</v>
      </c>
      <c r="B81" s="651" t="s">
        <v>1591</v>
      </c>
      <c r="C81" s="660" t="s">
        <v>241</v>
      </c>
      <c r="D81" s="254">
        <v>2825567</v>
      </c>
      <c r="E81" s="280">
        <v>6039483</v>
      </c>
      <c r="F81" s="659">
        <v>1684.67</v>
      </c>
      <c r="G81" s="654">
        <f t="shared" si="12"/>
        <v>124.32864600000001</v>
      </c>
      <c r="H81" s="659">
        <v>140.38999999999999</v>
      </c>
      <c r="I81" s="656">
        <f t="shared" si="13"/>
        <v>1419.9513540000003</v>
      </c>
      <c r="J81" s="667" t="s">
        <v>16</v>
      </c>
      <c r="K81" s="659" t="s">
        <v>1592</v>
      </c>
      <c r="L81" s="656">
        <f t="shared" si="11"/>
        <v>212.99270310000003</v>
      </c>
      <c r="M81" s="656">
        <f t="shared" si="7"/>
        <v>56.798054160000014</v>
      </c>
      <c r="N81" s="657">
        <f t="shared" si="8"/>
        <v>28.399027080000007</v>
      </c>
      <c r="O81" s="657">
        <f t="shared" si="9"/>
        <v>28.399027080000007</v>
      </c>
      <c r="P81" s="654">
        <f t="shared" si="10"/>
        <v>99.396594779999987</v>
      </c>
    </row>
    <row r="82" spans="1:16">
      <c r="A82" s="650">
        <v>80</v>
      </c>
      <c r="B82" s="651" t="s">
        <v>1593</v>
      </c>
      <c r="C82" s="660" t="s">
        <v>1594</v>
      </c>
      <c r="D82" s="254">
        <v>37124062</v>
      </c>
      <c r="E82" s="280" t="s">
        <v>1595</v>
      </c>
      <c r="F82" s="659">
        <v>349.2</v>
      </c>
      <c r="G82" s="654">
        <f t="shared" si="12"/>
        <v>25.770960000000002</v>
      </c>
      <c r="H82" s="659">
        <v>34.92</v>
      </c>
      <c r="I82" s="656">
        <f t="shared" si="13"/>
        <v>288.50903999999997</v>
      </c>
      <c r="J82" s="667" t="s">
        <v>16</v>
      </c>
      <c r="K82" s="659" t="s">
        <v>17</v>
      </c>
      <c r="L82" s="656">
        <f t="shared" si="11"/>
        <v>43.276355999999993</v>
      </c>
      <c r="M82" s="656">
        <f t="shared" si="7"/>
        <v>11.540361599999999</v>
      </c>
      <c r="N82" s="657">
        <f t="shared" si="8"/>
        <v>5.7701807999999994</v>
      </c>
      <c r="O82" s="657">
        <f t="shared" si="9"/>
        <v>5.7701807999999994</v>
      </c>
      <c r="P82" s="654">
        <f t="shared" si="10"/>
        <v>20.195632799999998</v>
      </c>
    </row>
    <row r="83" spans="1:16">
      <c r="A83" s="650">
        <v>81</v>
      </c>
      <c r="B83" s="651" t="s">
        <v>1596</v>
      </c>
      <c r="C83" s="660" t="s">
        <v>1500</v>
      </c>
      <c r="D83" s="254">
        <v>37141851</v>
      </c>
      <c r="E83" s="280" t="s">
        <v>1597</v>
      </c>
      <c r="F83" s="659">
        <v>343.9</v>
      </c>
      <c r="G83" s="654">
        <f t="shared" si="12"/>
        <v>25.379819999999999</v>
      </c>
      <c r="H83" s="659">
        <v>34.39</v>
      </c>
      <c r="I83" s="656">
        <f t="shared" si="13"/>
        <v>284.13018</v>
      </c>
      <c r="J83" s="667" t="s">
        <v>16</v>
      </c>
      <c r="K83" s="659" t="s">
        <v>17</v>
      </c>
      <c r="L83" s="656">
        <f t="shared" si="11"/>
        <v>42.619526999999998</v>
      </c>
      <c r="M83" s="656">
        <f t="shared" si="7"/>
        <v>11.3652072</v>
      </c>
      <c r="N83" s="657">
        <f t="shared" si="8"/>
        <v>5.6826036000000002</v>
      </c>
      <c r="O83" s="657">
        <f t="shared" si="9"/>
        <v>5.6826036000000002</v>
      </c>
      <c r="P83" s="654">
        <f t="shared" si="10"/>
        <v>19.889112599999997</v>
      </c>
    </row>
    <row r="84" spans="1:16">
      <c r="A84" s="650">
        <v>82</v>
      </c>
      <c r="B84" s="651" t="s">
        <v>1598</v>
      </c>
      <c r="C84" s="660" t="s">
        <v>234</v>
      </c>
      <c r="D84" s="254">
        <v>100311111309045</v>
      </c>
      <c r="E84" s="280">
        <v>6077069</v>
      </c>
      <c r="F84" s="659">
        <v>715.68</v>
      </c>
      <c r="G84" s="654">
        <f t="shared" si="12"/>
        <v>52.817183999999997</v>
      </c>
      <c r="H84" s="659">
        <v>88.27</v>
      </c>
      <c r="I84" s="656">
        <f t="shared" si="13"/>
        <v>574.59281599999997</v>
      </c>
      <c r="J84" s="667" t="s">
        <v>13</v>
      </c>
      <c r="K84" s="659" t="s">
        <v>26</v>
      </c>
      <c r="L84" s="656">
        <f t="shared" si="11"/>
        <v>86.188922399999996</v>
      </c>
      <c r="M84" s="656">
        <f t="shared" si="7"/>
        <v>22.98371264</v>
      </c>
      <c r="N84" s="657">
        <f t="shared" si="8"/>
        <v>11.49185632</v>
      </c>
      <c r="O84" s="657">
        <f t="shared" si="9"/>
        <v>11.49185632</v>
      </c>
      <c r="P84" s="654">
        <f t="shared" si="10"/>
        <v>40.221497119999995</v>
      </c>
    </row>
    <row r="85" spans="1:16">
      <c r="A85" s="650">
        <v>83</v>
      </c>
      <c r="B85" s="651" t="s">
        <v>1599</v>
      </c>
      <c r="C85" s="660" t="s">
        <v>12</v>
      </c>
      <c r="D85" s="254">
        <v>100311111308707</v>
      </c>
      <c r="E85" s="280">
        <v>6077695</v>
      </c>
      <c r="F85" s="659">
        <v>711.62</v>
      </c>
      <c r="G85" s="654">
        <f t="shared" si="12"/>
        <v>52.517556000000006</v>
      </c>
      <c r="H85" s="659">
        <v>76.47</v>
      </c>
      <c r="I85" s="656">
        <f t="shared" si="13"/>
        <v>582.63244399999996</v>
      </c>
      <c r="J85" s="667" t="s">
        <v>13</v>
      </c>
      <c r="K85" s="659" t="s">
        <v>17</v>
      </c>
      <c r="L85" s="656">
        <f t="shared" si="11"/>
        <v>87.394866599999986</v>
      </c>
      <c r="M85" s="656">
        <f t="shared" si="7"/>
        <v>23.305297759999998</v>
      </c>
      <c r="N85" s="657">
        <f t="shared" si="8"/>
        <v>11.652648879999999</v>
      </c>
      <c r="O85" s="657">
        <f t="shared" si="9"/>
        <v>11.652648879999999</v>
      </c>
      <c r="P85" s="654">
        <f t="shared" si="10"/>
        <v>40.784271079999982</v>
      </c>
    </row>
    <row r="86" spans="1:16">
      <c r="A86" s="650">
        <v>84</v>
      </c>
      <c r="B86" s="339" t="s">
        <v>1600</v>
      </c>
      <c r="C86" s="327" t="s">
        <v>1500</v>
      </c>
      <c r="D86" s="400">
        <v>100311111305857</v>
      </c>
      <c r="E86" s="401">
        <v>6057310</v>
      </c>
      <c r="F86" s="294">
        <v>488.83</v>
      </c>
      <c r="G86" s="294">
        <f t="shared" si="12"/>
        <v>36.075654</v>
      </c>
      <c r="H86" s="294">
        <v>131.34</v>
      </c>
      <c r="I86" s="293">
        <f t="shared" si="13"/>
        <v>321.41434600000002</v>
      </c>
      <c r="J86" s="329" t="s">
        <v>13</v>
      </c>
      <c r="K86" s="294" t="s">
        <v>14</v>
      </c>
      <c r="L86" s="293">
        <f t="shared" si="11"/>
        <v>48.212151900000002</v>
      </c>
      <c r="M86" s="293">
        <f t="shared" si="7"/>
        <v>12.856573840000001</v>
      </c>
      <c r="N86" s="296">
        <f t="shared" si="8"/>
        <v>6.4282869200000006</v>
      </c>
      <c r="O86" s="296">
        <f t="shared" si="9"/>
        <v>6.4282869200000006</v>
      </c>
      <c r="P86" s="294">
        <f t="shared" si="10"/>
        <v>22.499004219999996</v>
      </c>
    </row>
    <row r="87" spans="1:16">
      <c r="A87" s="650">
        <v>85</v>
      </c>
      <c r="B87" s="651" t="s">
        <v>1601</v>
      </c>
      <c r="C87" s="660" t="s">
        <v>559</v>
      </c>
      <c r="D87" s="254">
        <v>100311111307085</v>
      </c>
      <c r="E87" s="280">
        <v>6074911</v>
      </c>
      <c r="F87" s="659">
        <v>479.91</v>
      </c>
      <c r="G87" s="654">
        <f t="shared" si="12"/>
        <v>35.417358000000007</v>
      </c>
      <c r="H87" s="659">
        <v>51.57</v>
      </c>
      <c r="I87" s="656">
        <f t="shared" si="13"/>
        <v>392.92264200000005</v>
      </c>
      <c r="J87" s="667" t="s">
        <v>13</v>
      </c>
      <c r="K87" s="659" t="s">
        <v>14</v>
      </c>
      <c r="L87" s="656">
        <f t="shared" si="11"/>
        <v>58.938396300000008</v>
      </c>
      <c r="M87" s="656">
        <f t="shared" si="7"/>
        <v>15.716905680000002</v>
      </c>
      <c r="N87" s="657">
        <f t="shared" si="8"/>
        <v>7.8584528400000009</v>
      </c>
      <c r="O87" s="657">
        <f t="shared" si="9"/>
        <v>7.8584528400000009</v>
      </c>
      <c r="P87" s="654">
        <f t="shared" si="10"/>
        <v>27.504584940000004</v>
      </c>
    </row>
    <row r="88" spans="1:16">
      <c r="A88" s="650">
        <v>86</v>
      </c>
      <c r="B88" s="651" t="s">
        <v>1602</v>
      </c>
      <c r="C88" s="660" t="s">
        <v>42</v>
      </c>
      <c r="D88" s="254">
        <v>2835376</v>
      </c>
      <c r="E88" s="280" t="s">
        <v>1603</v>
      </c>
      <c r="F88" s="659">
        <v>834.79</v>
      </c>
      <c r="G88" s="654">
        <f t="shared" si="12"/>
        <v>61.607502000000004</v>
      </c>
      <c r="H88" s="659">
        <v>103.26</v>
      </c>
      <c r="I88" s="656">
        <f t="shared" si="13"/>
        <v>669.92249800000002</v>
      </c>
      <c r="J88" s="667" t="s">
        <v>13</v>
      </c>
      <c r="K88" s="659" t="s">
        <v>17</v>
      </c>
      <c r="L88" s="656">
        <f t="shared" si="11"/>
        <v>100.48837469999999</v>
      </c>
      <c r="M88" s="656">
        <f t="shared" si="7"/>
        <v>26.796899920000001</v>
      </c>
      <c r="N88" s="657">
        <f t="shared" si="8"/>
        <v>13.398449960000001</v>
      </c>
      <c r="O88" s="657">
        <f t="shared" si="9"/>
        <v>13.398449960000001</v>
      </c>
      <c r="P88" s="654">
        <f t="shared" si="10"/>
        <v>46.894574859999992</v>
      </c>
    </row>
    <row r="89" spans="1:16">
      <c r="A89" s="650">
        <v>87</v>
      </c>
      <c r="B89" s="651" t="s">
        <v>1604</v>
      </c>
      <c r="C89" s="660" t="s">
        <v>1500</v>
      </c>
      <c r="D89" s="254">
        <v>2829430</v>
      </c>
      <c r="E89" s="280">
        <v>6079885</v>
      </c>
      <c r="F89" s="659">
        <v>634.41999999999996</v>
      </c>
      <c r="G89" s="654">
        <f t="shared" si="12"/>
        <v>46.820196000000003</v>
      </c>
      <c r="H89" s="659">
        <v>55.65</v>
      </c>
      <c r="I89" s="656">
        <f t="shared" si="13"/>
        <v>531.94980399999997</v>
      </c>
      <c r="J89" s="667" t="s">
        <v>16</v>
      </c>
      <c r="K89" s="659" t="s">
        <v>17</v>
      </c>
      <c r="L89" s="656">
        <f t="shared" si="11"/>
        <v>79.792470599999987</v>
      </c>
      <c r="M89" s="656">
        <f t="shared" si="7"/>
        <v>21.27799216</v>
      </c>
      <c r="N89" s="657">
        <f t="shared" si="8"/>
        <v>10.63899608</v>
      </c>
      <c r="O89" s="657">
        <f t="shared" si="9"/>
        <v>10.63899608</v>
      </c>
      <c r="P89" s="654">
        <f t="shared" si="10"/>
        <v>37.236486279999994</v>
      </c>
    </row>
    <row r="90" spans="1:16">
      <c r="A90" s="650">
        <v>88</v>
      </c>
      <c r="B90" s="651" t="s">
        <v>1605</v>
      </c>
      <c r="C90" s="660" t="s">
        <v>1500</v>
      </c>
      <c r="D90" s="254">
        <v>37130894</v>
      </c>
      <c r="E90" s="280">
        <v>6081971</v>
      </c>
      <c r="F90" s="659">
        <v>316.89</v>
      </c>
      <c r="G90" s="654">
        <f t="shared" si="12"/>
        <v>23.386482000000001</v>
      </c>
      <c r="H90" s="659">
        <v>105.63</v>
      </c>
      <c r="I90" s="656">
        <f t="shared" si="13"/>
        <v>187.87351799999999</v>
      </c>
      <c r="J90" s="667" t="s">
        <v>13</v>
      </c>
      <c r="K90" s="659" t="s">
        <v>17</v>
      </c>
      <c r="L90" s="656">
        <f t="shared" si="11"/>
        <v>28.181027699999998</v>
      </c>
      <c r="M90" s="656">
        <f t="shared" si="7"/>
        <v>7.5149407199999994</v>
      </c>
      <c r="N90" s="657">
        <f t="shared" si="8"/>
        <v>3.7574703599999997</v>
      </c>
      <c r="O90" s="657">
        <f t="shared" si="9"/>
        <v>3.7574703599999997</v>
      </c>
      <c r="P90" s="654">
        <f t="shared" si="10"/>
        <v>13.151146260000001</v>
      </c>
    </row>
    <row r="91" spans="1:16">
      <c r="A91" s="650">
        <v>89</v>
      </c>
      <c r="B91" s="651" t="s">
        <v>1606</v>
      </c>
      <c r="C91" s="660" t="s">
        <v>18</v>
      </c>
      <c r="D91" s="254">
        <v>10031111135592</v>
      </c>
      <c r="E91" s="280">
        <v>6081758</v>
      </c>
      <c r="F91" s="659">
        <v>703.96</v>
      </c>
      <c r="G91" s="654">
        <f t="shared" si="12"/>
        <v>51.952248000000004</v>
      </c>
      <c r="H91" s="659">
        <v>185.95</v>
      </c>
      <c r="I91" s="656">
        <f t="shared" si="13"/>
        <v>466.05775199999999</v>
      </c>
      <c r="J91" s="667" t="s">
        <v>13</v>
      </c>
      <c r="K91" s="659" t="s">
        <v>17</v>
      </c>
      <c r="L91" s="656">
        <f t="shared" si="11"/>
        <v>69.908662800000002</v>
      </c>
      <c r="M91" s="656">
        <f t="shared" si="7"/>
        <v>18.642310080000001</v>
      </c>
      <c r="N91" s="657">
        <f t="shared" si="8"/>
        <v>9.3211550400000007</v>
      </c>
      <c r="O91" s="657">
        <f t="shared" si="9"/>
        <v>9.3211550400000007</v>
      </c>
      <c r="P91" s="654">
        <f t="shared" si="10"/>
        <v>32.624042639999999</v>
      </c>
    </row>
    <row r="92" spans="1:16">
      <c r="A92" s="650">
        <v>90</v>
      </c>
      <c r="B92" s="339" t="s">
        <v>1607</v>
      </c>
      <c r="C92" s="327" t="s">
        <v>1524</v>
      </c>
      <c r="D92" s="400">
        <v>10031111322104</v>
      </c>
      <c r="E92" s="401">
        <v>6080068</v>
      </c>
      <c r="F92" s="294">
        <v>880.9</v>
      </c>
      <c r="G92" s="294">
        <f t="shared" si="12"/>
        <v>65.010419999999996</v>
      </c>
      <c r="H92" s="294">
        <v>94.66</v>
      </c>
      <c r="I92" s="293">
        <f t="shared" si="13"/>
        <v>721.22958000000006</v>
      </c>
      <c r="J92" s="329" t="s">
        <v>16</v>
      </c>
      <c r="K92" s="294" t="s">
        <v>410</v>
      </c>
      <c r="L92" s="293">
        <f t="shared" si="11"/>
        <v>108.184437</v>
      </c>
      <c r="M92" s="293">
        <f t="shared" si="7"/>
        <v>28.849183200000002</v>
      </c>
      <c r="N92" s="296">
        <f t="shared" si="8"/>
        <v>14.424591600000001</v>
      </c>
      <c r="O92" s="296">
        <f t="shared" si="9"/>
        <v>14.424591600000001</v>
      </c>
      <c r="P92" s="294">
        <f t="shared" si="10"/>
        <v>50.486070600000005</v>
      </c>
    </row>
    <row r="93" spans="1:16">
      <c r="A93" s="650">
        <v>91</v>
      </c>
      <c r="B93" s="651" t="s">
        <v>1608</v>
      </c>
      <c r="C93" s="660" t="s">
        <v>1500</v>
      </c>
      <c r="D93" s="254">
        <v>100311111319769</v>
      </c>
      <c r="E93" s="280">
        <v>6076653</v>
      </c>
      <c r="F93" s="659">
        <v>535.1</v>
      </c>
      <c r="G93" s="654">
        <f t="shared" si="12"/>
        <v>39.490380000000002</v>
      </c>
      <c r="H93" s="659">
        <v>57.5</v>
      </c>
      <c r="I93" s="656">
        <f t="shared" si="13"/>
        <v>438.10962000000001</v>
      </c>
      <c r="J93" s="667" t="s">
        <v>16</v>
      </c>
      <c r="K93" s="659" t="s">
        <v>14</v>
      </c>
      <c r="L93" s="656">
        <f t="shared" si="11"/>
        <v>65.716442999999998</v>
      </c>
      <c r="M93" s="656">
        <f t="shared" si="7"/>
        <v>17.5243848</v>
      </c>
      <c r="N93" s="657">
        <f t="shared" si="8"/>
        <v>8.7621924</v>
      </c>
      <c r="O93" s="657">
        <f t="shared" si="9"/>
        <v>8.7621924</v>
      </c>
      <c r="P93" s="654">
        <f t="shared" si="10"/>
        <v>30.667673400000002</v>
      </c>
    </row>
    <row r="94" spans="1:16">
      <c r="A94" s="650">
        <v>92</v>
      </c>
      <c r="B94" s="651" t="s">
        <v>1609</v>
      </c>
      <c r="C94" s="660" t="s">
        <v>1500</v>
      </c>
      <c r="D94" s="254">
        <v>100311111312032</v>
      </c>
      <c r="E94" s="280">
        <v>6077843</v>
      </c>
      <c r="F94" s="659">
        <v>585.88</v>
      </c>
      <c r="G94" s="654">
        <f t="shared" si="12"/>
        <v>43.237943999999999</v>
      </c>
      <c r="H94" s="659">
        <v>154.76</v>
      </c>
      <c r="I94" s="656">
        <f t="shared" si="13"/>
        <v>387.88205600000003</v>
      </c>
      <c r="J94" s="667" t="s">
        <v>13</v>
      </c>
      <c r="K94" s="659" t="s">
        <v>14</v>
      </c>
      <c r="L94" s="656">
        <f t="shared" si="11"/>
        <v>58.182308400000004</v>
      </c>
      <c r="M94" s="656">
        <f t="shared" si="7"/>
        <v>15.515282240000001</v>
      </c>
      <c r="N94" s="657">
        <f t="shared" si="8"/>
        <v>7.7576411200000006</v>
      </c>
      <c r="O94" s="657">
        <f t="shared" si="9"/>
        <v>7.7576411200000006</v>
      </c>
      <c r="P94" s="654">
        <f t="shared" si="10"/>
        <v>27.151743920000001</v>
      </c>
    </row>
    <row r="95" spans="1:16">
      <c r="A95" s="650">
        <v>93</v>
      </c>
      <c r="B95" s="672" t="s">
        <v>1610</v>
      </c>
      <c r="C95" s="660" t="s">
        <v>1038</v>
      </c>
      <c r="D95" s="254">
        <v>37463143</v>
      </c>
      <c r="E95" s="280">
        <v>6083039</v>
      </c>
      <c r="F95" s="659">
        <v>741.57</v>
      </c>
      <c r="G95" s="654">
        <f t="shared" si="12"/>
        <v>54.727866000000006</v>
      </c>
      <c r="H95" s="659">
        <v>247.19</v>
      </c>
      <c r="I95" s="656">
        <f t="shared" si="13"/>
        <v>439.65213399999999</v>
      </c>
      <c r="J95" s="667" t="s">
        <v>13</v>
      </c>
      <c r="K95" s="659" t="s">
        <v>17</v>
      </c>
      <c r="L95" s="656">
        <f t="shared" si="11"/>
        <v>65.947820100000001</v>
      </c>
      <c r="M95" s="656">
        <f t="shared" si="7"/>
        <v>17.586085359999998</v>
      </c>
      <c r="N95" s="657">
        <f t="shared" si="8"/>
        <v>8.7930426799999992</v>
      </c>
      <c r="O95" s="657">
        <f t="shared" si="9"/>
        <v>8.7930426799999992</v>
      </c>
      <c r="P95" s="654">
        <f t="shared" si="10"/>
        <v>30.775649380000004</v>
      </c>
    </row>
    <row r="96" spans="1:16">
      <c r="A96" s="650">
        <v>94</v>
      </c>
      <c r="B96" s="651" t="s">
        <v>1611</v>
      </c>
      <c r="C96" s="660" t="s">
        <v>1524</v>
      </c>
      <c r="D96" s="254">
        <v>2833136</v>
      </c>
      <c r="E96" s="280">
        <v>6084750</v>
      </c>
      <c r="F96" s="659">
        <v>907.9</v>
      </c>
      <c r="G96" s="654">
        <f t="shared" si="12"/>
        <v>67.003020000000006</v>
      </c>
      <c r="H96" s="659">
        <v>79.94</v>
      </c>
      <c r="I96" s="656">
        <f t="shared" si="13"/>
        <v>760.95697999999993</v>
      </c>
      <c r="J96" s="667" t="s">
        <v>16</v>
      </c>
      <c r="K96" s="659" t="s">
        <v>14</v>
      </c>
      <c r="L96" s="656">
        <f t="shared" si="11"/>
        <v>114.14354699999998</v>
      </c>
      <c r="M96" s="656">
        <f t="shared" si="7"/>
        <v>30.438279199999997</v>
      </c>
      <c r="N96" s="657">
        <f t="shared" si="8"/>
        <v>15.219139599999998</v>
      </c>
      <c r="O96" s="657">
        <f t="shared" si="9"/>
        <v>15.219139599999998</v>
      </c>
      <c r="P96" s="654">
        <f t="shared" si="10"/>
        <v>53.266988599999998</v>
      </c>
    </row>
    <row r="97" spans="1:16">
      <c r="A97" s="650">
        <v>95</v>
      </c>
      <c r="B97" s="651" t="s">
        <v>1612</v>
      </c>
      <c r="C97" s="660" t="s">
        <v>12</v>
      </c>
      <c r="D97" s="254">
        <v>1003111111324410</v>
      </c>
      <c r="E97" s="280">
        <v>6087637</v>
      </c>
      <c r="F97" s="659">
        <v>579.86</v>
      </c>
      <c r="G97" s="654">
        <f t="shared" si="12"/>
        <v>42.793668000000004</v>
      </c>
      <c r="H97" s="659">
        <v>0</v>
      </c>
      <c r="I97" s="656">
        <f t="shared" si="13"/>
        <v>537.06633199999999</v>
      </c>
      <c r="J97" s="667" t="s">
        <v>13</v>
      </c>
      <c r="K97" s="659" t="s">
        <v>40</v>
      </c>
      <c r="L97" s="656">
        <f t="shared" si="11"/>
        <v>80.559949799999998</v>
      </c>
      <c r="M97" s="656">
        <f t="shared" si="7"/>
        <v>21.482653280000001</v>
      </c>
      <c r="N97" s="657">
        <f t="shared" si="8"/>
        <v>10.74132664</v>
      </c>
      <c r="O97" s="657">
        <f t="shared" si="9"/>
        <v>10.74132664</v>
      </c>
      <c r="P97" s="654">
        <f t="shared" si="10"/>
        <v>37.594643239999996</v>
      </c>
    </row>
    <row r="98" spans="1:16">
      <c r="A98" s="650">
        <v>96</v>
      </c>
      <c r="B98" s="339" t="s">
        <v>1613</v>
      </c>
      <c r="C98" s="327" t="s">
        <v>1500</v>
      </c>
      <c r="D98" s="400">
        <v>100311111324086</v>
      </c>
      <c r="E98" s="401">
        <v>6062379</v>
      </c>
      <c r="F98" s="294">
        <v>541.42999999999995</v>
      </c>
      <c r="G98" s="294">
        <f t="shared" si="12"/>
        <v>39.957533999999995</v>
      </c>
      <c r="H98" s="294">
        <v>67.290000000000006</v>
      </c>
      <c r="I98" s="293">
        <f t="shared" si="13"/>
        <v>434.18246599999992</v>
      </c>
      <c r="J98" s="329" t="s">
        <v>13</v>
      </c>
      <c r="K98" s="294" t="s">
        <v>51</v>
      </c>
      <c r="L98" s="293">
        <f t="shared" si="11"/>
        <v>65.127369899999991</v>
      </c>
      <c r="M98" s="293">
        <f t="shared" si="7"/>
        <v>17.367298639999998</v>
      </c>
      <c r="N98" s="296">
        <f t="shared" si="8"/>
        <v>8.6836493199999989</v>
      </c>
      <c r="O98" s="296">
        <f t="shared" si="9"/>
        <v>8.6836493199999989</v>
      </c>
      <c r="P98" s="294">
        <f t="shared" si="10"/>
        <v>30.392772619999988</v>
      </c>
    </row>
    <row r="99" spans="1:16">
      <c r="A99" s="650">
        <v>97</v>
      </c>
      <c r="B99" s="339" t="s">
        <v>1614</v>
      </c>
      <c r="C99" s="327" t="s">
        <v>1500</v>
      </c>
      <c r="D99" s="400">
        <v>100311111324170</v>
      </c>
      <c r="E99" s="401">
        <v>6062912</v>
      </c>
      <c r="F99" s="294">
        <v>502.12</v>
      </c>
      <c r="G99" s="294">
        <f t="shared" si="12"/>
        <v>37.056456000000004</v>
      </c>
      <c r="H99" s="294">
        <v>133.66</v>
      </c>
      <c r="I99" s="293">
        <f t="shared" si="13"/>
        <v>331.40354400000001</v>
      </c>
      <c r="J99" s="329" t="s">
        <v>13</v>
      </c>
      <c r="K99" s="294" t="s">
        <v>14</v>
      </c>
      <c r="L99" s="293">
        <f t="shared" si="11"/>
        <v>49.710531600000003</v>
      </c>
      <c r="M99" s="293">
        <f t="shared" si="7"/>
        <v>13.25614176</v>
      </c>
      <c r="N99" s="296">
        <f t="shared" si="8"/>
        <v>6.6280708800000001</v>
      </c>
      <c r="O99" s="296">
        <f t="shared" si="9"/>
        <v>6.6280708800000001</v>
      </c>
      <c r="P99" s="294">
        <f t="shared" si="10"/>
        <v>23.198248080000006</v>
      </c>
    </row>
    <row r="100" spans="1:16">
      <c r="A100" s="650">
        <v>98</v>
      </c>
      <c r="B100" s="339" t="s">
        <v>1615</v>
      </c>
      <c r="C100" s="327" t="s">
        <v>1500</v>
      </c>
      <c r="D100" s="400">
        <v>100311111323789</v>
      </c>
      <c r="E100" s="401">
        <v>6064203</v>
      </c>
      <c r="F100" s="294">
        <v>585.44000000000005</v>
      </c>
      <c r="G100" s="294">
        <f t="shared" si="12"/>
        <v>43.205472000000007</v>
      </c>
      <c r="H100" s="294">
        <v>63.69</v>
      </c>
      <c r="I100" s="293">
        <f t="shared" si="13"/>
        <v>478.54452800000007</v>
      </c>
      <c r="J100" s="329" t="s">
        <v>13</v>
      </c>
      <c r="K100" s="294" t="s">
        <v>266</v>
      </c>
      <c r="L100" s="293">
        <f t="shared" si="11"/>
        <v>71.781679200000013</v>
      </c>
      <c r="M100" s="293">
        <f t="shared" si="7"/>
        <v>19.141781120000005</v>
      </c>
      <c r="N100" s="296">
        <f t="shared" si="8"/>
        <v>9.5708905600000023</v>
      </c>
      <c r="O100" s="296">
        <f t="shared" si="9"/>
        <v>9.5708905600000023</v>
      </c>
      <c r="P100" s="294">
        <f t="shared" si="10"/>
        <v>33.498116960000004</v>
      </c>
    </row>
    <row r="101" spans="1:16">
      <c r="A101" s="650">
        <v>99</v>
      </c>
      <c r="B101" s="651" t="s">
        <v>1616</v>
      </c>
      <c r="C101" s="660" t="s">
        <v>1500</v>
      </c>
      <c r="D101" s="254">
        <v>37138915</v>
      </c>
      <c r="E101" s="280">
        <v>6088093</v>
      </c>
      <c r="F101" s="659">
        <v>360.59</v>
      </c>
      <c r="G101" s="654">
        <f t="shared" si="12"/>
        <v>26.611542</v>
      </c>
      <c r="H101" s="659">
        <v>47.06</v>
      </c>
      <c r="I101" s="656">
        <f t="shared" si="13"/>
        <v>286.91845799999999</v>
      </c>
      <c r="J101" s="667" t="s">
        <v>13</v>
      </c>
      <c r="K101" s="659" t="s">
        <v>17</v>
      </c>
      <c r="L101" s="656">
        <f t="shared" si="11"/>
        <v>43.037768699999994</v>
      </c>
      <c r="M101" s="656">
        <f t="shared" si="7"/>
        <v>11.476738319999999</v>
      </c>
      <c r="N101" s="657">
        <f t="shared" si="8"/>
        <v>5.7383691599999995</v>
      </c>
      <c r="O101" s="657">
        <f t="shared" si="9"/>
        <v>5.7383691599999995</v>
      </c>
      <c r="P101" s="654">
        <f t="shared" si="10"/>
        <v>20.084292059999996</v>
      </c>
    </row>
    <row r="102" spans="1:16">
      <c r="A102" s="650">
        <v>100</v>
      </c>
      <c r="B102" s="651" t="s">
        <v>1617</v>
      </c>
      <c r="C102" s="660" t="s">
        <v>173</v>
      </c>
      <c r="D102" s="254">
        <v>1003111111320270</v>
      </c>
      <c r="E102" s="280">
        <v>6077154</v>
      </c>
      <c r="F102" s="659">
        <v>574.55999999999995</v>
      </c>
      <c r="G102" s="654">
        <f t="shared" si="12"/>
        <v>42.402527999999997</v>
      </c>
      <c r="H102" s="659">
        <v>0</v>
      </c>
      <c r="I102" s="656">
        <f t="shared" si="13"/>
        <v>532.15747199999998</v>
      </c>
      <c r="J102" s="667" t="s">
        <v>13</v>
      </c>
      <c r="K102" s="659" t="s">
        <v>26</v>
      </c>
      <c r="L102" s="656">
        <f t="shared" si="11"/>
        <v>79.8236208</v>
      </c>
      <c r="M102" s="656">
        <f t="shared" si="7"/>
        <v>21.28629888</v>
      </c>
      <c r="N102" s="657">
        <f t="shared" si="8"/>
        <v>10.64314944</v>
      </c>
      <c r="O102" s="657">
        <f t="shared" si="9"/>
        <v>10.64314944</v>
      </c>
      <c r="P102" s="654">
        <f t="shared" si="10"/>
        <v>37.251023039999993</v>
      </c>
    </row>
    <row r="103" spans="1:16">
      <c r="A103" s="650">
        <v>101</v>
      </c>
      <c r="B103" s="651" t="s">
        <v>1618</v>
      </c>
      <c r="C103" s="660" t="s">
        <v>1500</v>
      </c>
      <c r="D103" s="254">
        <v>1003111111325100</v>
      </c>
      <c r="E103" s="280" t="s">
        <v>1619</v>
      </c>
      <c r="F103" s="659">
        <v>436.18</v>
      </c>
      <c r="G103" s="654">
        <f t="shared" si="12"/>
        <v>32.190084000000006</v>
      </c>
      <c r="H103" s="659">
        <v>47.77</v>
      </c>
      <c r="I103" s="656">
        <f t="shared" si="13"/>
        <v>356.21991600000001</v>
      </c>
      <c r="J103" s="667" t="s">
        <v>13</v>
      </c>
      <c r="K103" s="659" t="s">
        <v>33</v>
      </c>
      <c r="L103" s="656">
        <f t="shared" si="11"/>
        <v>53.432987400000002</v>
      </c>
      <c r="M103" s="656">
        <f t="shared" si="7"/>
        <v>14.24879664</v>
      </c>
      <c r="N103" s="657">
        <f t="shared" si="8"/>
        <v>7.1243983200000001</v>
      </c>
      <c r="O103" s="657">
        <f t="shared" si="9"/>
        <v>7.1243983200000001</v>
      </c>
      <c r="P103" s="654">
        <f t="shared" si="10"/>
        <v>24.935394120000002</v>
      </c>
    </row>
    <row r="104" spans="1:16">
      <c r="A104" s="650">
        <v>102</v>
      </c>
      <c r="B104" s="226" t="s">
        <v>1620</v>
      </c>
      <c r="C104" s="165" t="s">
        <v>1038</v>
      </c>
      <c r="D104" s="382" t="s">
        <v>32</v>
      </c>
      <c r="E104" s="383">
        <v>6092279</v>
      </c>
      <c r="F104" s="168">
        <v>810.73</v>
      </c>
      <c r="G104" s="169">
        <f t="shared" si="12"/>
        <v>59.831874000000006</v>
      </c>
      <c r="H104" s="168">
        <v>85.34</v>
      </c>
      <c r="I104" s="170">
        <f t="shared" si="13"/>
        <v>665.55812600000002</v>
      </c>
      <c r="J104" s="167" t="s">
        <v>16</v>
      </c>
      <c r="K104" s="168" t="s">
        <v>40</v>
      </c>
      <c r="L104" s="170">
        <f t="shared" si="11"/>
        <v>99.833718899999994</v>
      </c>
      <c r="M104" s="170">
        <f t="shared" si="7"/>
        <v>26.62232504</v>
      </c>
      <c r="N104" s="171">
        <f t="shared" si="8"/>
        <v>13.31116252</v>
      </c>
      <c r="O104" s="171">
        <f t="shared" si="9"/>
        <v>13.31116252</v>
      </c>
      <c r="P104" s="169">
        <f t="shared" si="10"/>
        <v>46.589068819999994</v>
      </c>
    </row>
    <row r="105" spans="1:16">
      <c r="A105" s="650">
        <v>103</v>
      </c>
      <c r="B105" s="651" t="s">
        <v>1621</v>
      </c>
      <c r="C105" s="660" t="s">
        <v>247</v>
      </c>
      <c r="D105" s="254">
        <v>2837395</v>
      </c>
      <c r="E105" s="280">
        <v>6090004</v>
      </c>
      <c r="F105" s="659">
        <v>727.56</v>
      </c>
      <c r="G105" s="654">
        <f t="shared" si="12"/>
        <v>53.693928</v>
      </c>
      <c r="H105" s="659">
        <v>205.91</v>
      </c>
      <c r="I105" s="656">
        <f t="shared" si="13"/>
        <v>467.95607199999995</v>
      </c>
      <c r="J105" s="667" t="s">
        <v>13</v>
      </c>
      <c r="K105" s="659" t="s">
        <v>26</v>
      </c>
      <c r="L105" s="656">
        <f t="shared" si="11"/>
        <v>70.193410799999995</v>
      </c>
      <c r="M105" s="656">
        <f t="shared" si="7"/>
        <v>18.718242879999998</v>
      </c>
      <c r="N105" s="657">
        <f t="shared" si="8"/>
        <v>9.3591214399999991</v>
      </c>
      <c r="O105" s="657">
        <f t="shared" si="9"/>
        <v>9.3591214399999991</v>
      </c>
      <c r="P105" s="654">
        <f t="shared" si="10"/>
        <v>32.756925039999999</v>
      </c>
    </row>
    <row r="106" spans="1:16">
      <c r="A106" s="650">
        <v>104</v>
      </c>
      <c r="B106" s="651" t="s">
        <v>1622</v>
      </c>
      <c r="C106" s="660" t="s">
        <v>931</v>
      </c>
      <c r="D106" s="254">
        <v>10031111327943</v>
      </c>
      <c r="E106" s="280">
        <v>6083658</v>
      </c>
      <c r="F106" s="659">
        <v>676.13</v>
      </c>
      <c r="G106" s="654">
        <f t="shared" si="12"/>
        <v>49.898394000000003</v>
      </c>
      <c r="H106" s="659">
        <v>0</v>
      </c>
      <c r="I106" s="656">
        <f t="shared" si="13"/>
        <v>626.23160599999994</v>
      </c>
      <c r="J106" s="667" t="s">
        <v>13</v>
      </c>
      <c r="K106" s="659" t="s">
        <v>17</v>
      </c>
      <c r="L106" s="656">
        <f t="shared" si="11"/>
        <v>93.934740899999994</v>
      </c>
      <c r="M106" s="656">
        <f t="shared" si="7"/>
        <v>25.049264239999999</v>
      </c>
      <c r="N106" s="657">
        <f t="shared" si="8"/>
        <v>12.52463212</v>
      </c>
      <c r="O106" s="657">
        <f t="shared" si="9"/>
        <v>12.52463212</v>
      </c>
      <c r="P106" s="654">
        <f t="shared" si="10"/>
        <v>43.836212419999995</v>
      </c>
    </row>
    <row r="107" spans="1:16">
      <c r="A107" s="650">
        <v>105</v>
      </c>
      <c r="B107" s="651" t="s">
        <v>1623</v>
      </c>
      <c r="C107" s="660" t="s">
        <v>1500</v>
      </c>
      <c r="D107" s="254">
        <v>37143064</v>
      </c>
      <c r="E107" s="280">
        <v>6090364</v>
      </c>
      <c r="F107" s="659">
        <v>520.12</v>
      </c>
      <c r="G107" s="654">
        <f t="shared" si="12"/>
        <v>38.384855999999999</v>
      </c>
      <c r="H107" s="659">
        <v>130.03</v>
      </c>
      <c r="I107" s="656">
        <f t="shared" si="13"/>
        <v>351.70514400000002</v>
      </c>
      <c r="J107" s="667" t="s">
        <v>13</v>
      </c>
      <c r="K107" s="659" t="s">
        <v>26</v>
      </c>
      <c r="L107" s="656">
        <f t="shared" si="11"/>
        <v>52.755771600000003</v>
      </c>
      <c r="M107" s="656">
        <f t="shared" si="7"/>
        <v>14.068205760000001</v>
      </c>
      <c r="N107" s="657">
        <f t="shared" si="8"/>
        <v>7.0341028800000007</v>
      </c>
      <c r="O107" s="657">
        <f t="shared" si="9"/>
        <v>7.0341028800000007</v>
      </c>
      <c r="P107" s="654">
        <f t="shared" si="10"/>
        <v>24.619360080000007</v>
      </c>
    </row>
    <row r="108" spans="1:16">
      <c r="A108" s="650">
        <v>106</v>
      </c>
      <c r="B108" s="339" t="s">
        <v>1624</v>
      </c>
      <c r="C108" s="327" t="s">
        <v>1500</v>
      </c>
      <c r="D108" s="400">
        <v>10031111341735</v>
      </c>
      <c r="E108" s="401">
        <v>6076437</v>
      </c>
      <c r="F108" s="294">
        <v>498.15</v>
      </c>
      <c r="G108" s="294">
        <f t="shared" si="12"/>
        <v>36.763469999999998</v>
      </c>
      <c r="H108" s="294">
        <v>131.59</v>
      </c>
      <c r="I108" s="293">
        <f t="shared" si="13"/>
        <v>329.79652999999996</v>
      </c>
      <c r="J108" s="329" t="s">
        <v>13</v>
      </c>
      <c r="K108" s="294" t="s">
        <v>14</v>
      </c>
      <c r="L108" s="293">
        <f t="shared" si="11"/>
        <v>49.469479499999991</v>
      </c>
      <c r="M108" s="293">
        <f t="shared" si="7"/>
        <v>13.191861199999998</v>
      </c>
      <c r="N108" s="296">
        <f t="shared" si="8"/>
        <v>6.5959305999999991</v>
      </c>
      <c r="O108" s="296">
        <f t="shared" si="9"/>
        <v>6.5959305999999991</v>
      </c>
      <c r="P108" s="294">
        <f t="shared" si="10"/>
        <v>23.085757099999995</v>
      </c>
    </row>
    <row r="109" spans="1:16">
      <c r="A109" s="650">
        <v>107</v>
      </c>
      <c r="B109" s="339" t="s">
        <v>850</v>
      </c>
      <c r="C109" s="327" t="s">
        <v>99</v>
      </c>
      <c r="D109" s="400">
        <v>100311111341828</v>
      </c>
      <c r="E109" s="401">
        <v>6093199</v>
      </c>
      <c r="F109" s="294">
        <v>775.51</v>
      </c>
      <c r="G109" s="294">
        <f t="shared" si="12"/>
        <v>57.232638000000001</v>
      </c>
      <c r="H109" s="294">
        <v>83.33</v>
      </c>
      <c r="I109" s="293">
        <f t="shared" si="13"/>
        <v>634.947362</v>
      </c>
      <c r="J109" s="329" t="s">
        <v>13</v>
      </c>
      <c r="K109" s="294" t="s">
        <v>14</v>
      </c>
      <c r="L109" s="293">
        <f t="shared" si="11"/>
        <v>95.242104299999994</v>
      </c>
      <c r="M109" s="293">
        <f t="shared" si="7"/>
        <v>25.397894480000001</v>
      </c>
      <c r="N109" s="296">
        <f t="shared" si="8"/>
        <v>12.698947240000001</v>
      </c>
      <c r="O109" s="296">
        <f t="shared" si="9"/>
        <v>12.698947240000001</v>
      </c>
      <c r="P109" s="294">
        <f t="shared" si="10"/>
        <v>44.446315339999984</v>
      </c>
    </row>
    <row r="110" spans="1:16">
      <c r="A110" s="650">
        <v>108</v>
      </c>
      <c r="B110" s="651" t="s">
        <v>1625</v>
      </c>
      <c r="C110" s="660" t="s">
        <v>241</v>
      </c>
      <c r="D110" s="254">
        <v>10031111342104</v>
      </c>
      <c r="E110" s="280">
        <v>6085106</v>
      </c>
      <c r="F110" s="659">
        <v>771.61</v>
      </c>
      <c r="G110" s="654">
        <f t="shared" si="12"/>
        <v>56.944818000000005</v>
      </c>
      <c r="H110" s="659">
        <v>0</v>
      </c>
      <c r="I110" s="656">
        <f t="shared" si="13"/>
        <v>714.66518199999996</v>
      </c>
      <c r="J110" s="667" t="s">
        <v>13</v>
      </c>
      <c r="K110" s="659" t="s">
        <v>17</v>
      </c>
      <c r="L110" s="656">
        <f t="shared" si="11"/>
        <v>107.19977729999999</v>
      </c>
      <c r="M110" s="656">
        <f t="shared" si="7"/>
        <v>28.586607279999999</v>
      </c>
      <c r="N110" s="657">
        <f t="shared" si="8"/>
        <v>14.29330364</v>
      </c>
      <c r="O110" s="657">
        <f t="shared" si="9"/>
        <v>14.29330364</v>
      </c>
      <c r="P110" s="654">
        <f t="shared" si="10"/>
        <v>50.026562739999996</v>
      </c>
    </row>
    <row r="111" spans="1:16">
      <c r="A111" s="650">
        <v>109</v>
      </c>
      <c r="B111" s="339" t="s">
        <v>1626</v>
      </c>
      <c r="C111" s="327" t="s">
        <v>99</v>
      </c>
      <c r="D111" s="400">
        <v>37161119</v>
      </c>
      <c r="E111" s="401">
        <v>6090038</v>
      </c>
      <c r="F111" s="294">
        <v>927.45</v>
      </c>
      <c r="G111" s="294">
        <f t="shared" si="12"/>
        <v>68.445810000000009</v>
      </c>
      <c r="H111" s="294">
        <v>77.239999999999995</v>
      </c>
      <c r="I111" s="293">
        <f t="shared" si="13"/>
        <v>781.76418999999999</v>
      </c>
      <c r="J111" s="329" t="s">
        <v>16</v>
      </c>
      <c r="K111" s="294" t="s">
        <v>330</v>
      </c>
      <c r="L111" s="293">
        <f t="shared" si="11"/>
        <v>117.26462849999999</v>
      </c>
      <c r="M111" s="293">
        <f t="shared" si="7"/>
        <v>31.2705676</v>
      </c>
      <c r="N111" s="296">
        <f t="shared" si="8"/>
        <v>15.6352838</v>
      </c>
      <c r="O111" s="296">
        <f t="shared" si="9"/>
        <v>15.6352838</v>
      </c>
      <c r="P111" s="294">
        <f t="shared" si="10"/>
        <v>54.723493300000001</v>
      </c>
    </row>
    <row r="112" spans="1:16">
      <c r="A112" s="650">
        <v>110</v>
      </c>
      <c r="B112" s="651" t="s">
        <v>1627</v>
      </c>
      <c r="C112" s="660" t="s">
        <v>1516</v>
      </c>
      <c r="D112" s="254">
        <v>2838510</v>
      </c>
      <c r="E112" s="280" t="s">
        <v>1628</v>
      </c>
      <c r="F112" s="659">
        <v>780.9</v>
      </c>
      <c r="G112" s="654">
        <f t="shared" si="12"/>
        <v>57.630420000000001</v>
      </c>
      <c r="H112" s="659">
        <v>78.09</v>
      </c>
      <c r="I112" s="656">
        <f t="shared" si="13"/>
        <v>645.17957999999999</v>
      </c>
      <c r="J112" s="667" t="s">
        <v>16</v>
      </c>
      <c r="K112" s="659" t="s">
        <v>17</v>
      </c>
      <c r="L112" s="656">
        <f t="shared" si="11"/>
        <v>96.77693699999999</v>
      </c>
      <c r="M112" s="656">
        <f t="shared" si="7"/>
        <v>25.807183200000001</v>
      </c>
      <c r="N112" s="657">
        <f t="shared" si="8"/>
        <v>12.9035916</v>
      </c>
      <c r="O112" s="657">
        <f t="shared" si="9"/>
        <v>12.9035916</v>
      </c>
      <c r="P112" s="654">
        <f t="shared" si="10"/>
        <v>45.162570599999995</v>
      </c>
    </row>
    <row r="113" spans="1:16">
      <c r="A113" s="650">
        <v>111</v>
      </c>
      <c r="B113" s="651" t="s">
        <v>1629</v>
      </c>
      <c r="C113" s="660" t="s">
        <v>173</v>
      </c>
      <c r="D113" s="254">
        <v>10031111351079</v>
      </c>
      <c r="E113" s="280">
        <v>6092007</v>
      </c>
      <c r="F113" s="659">
        <v>526.89</v>
      </c>
      <c r="G113" s="654">
        <f t="shared" si="12"/>
        <v>38.884481999999998</v>
      </c>
      <c r="H113" s="659">
        <v>56.62</v>
      </c>
      <c r="I113" s="656">
        <f t="shared" si="13"/>
        <v>431.38551799999999</v>
      </c>
      <c r="J113" s="667" t="s">
        <v>13</v>
      </c>
      <c r="K113" s="659" t="s">
        <v>33</v>
      </c>
      <c r="L113" s="656">
        <f t="shared" si="11"/>
        <v>64.707827699999996</v>
      </c>
      <c r="M113" s="656">
        <f t="shared" si="7"/>
        <v>17.25542072</v>
      </c>
      <c r="N113" s="657">
        <f t="shared" si="8"/>
        <v>8.62771036</v>
      </c>
      <c r="O113" s="657">
        <f t="shared" si="9"/>
        <v>8.62771036</v>
      </c>
      <c r="P113" s="654">
        <f t="shared" si="10"/>
        <v>30.196986259999989</v>
      </c>
    </row>
    <row r="114" spans="1:16">
      <c r="A114" s="650">
        <v>112</v>
      </c>
      <c r="B114" s="651" t="s">
        <v>1630</v>
      </c>
      <c r="C114" s="660" t="s">
        <v>99</v>
      </c>
      <c r="D114" s="254">
        <v>100321111349705</v>
      </c>
      <c r="E114" s="280">
        <v>6099582</v>
      </c>
      <c r="F114" s="659">
        <v>891.57</v>
      </c>
      <c r="G114" s="654">
        <f t="shared" si="12"/>
        <v>65.797866000000013</v>
      </c>
      <c r="H114" s="659">
        <v>297.19</v>
      </c>
      <c r="I114" s="656">
        <f t="shared" si="13"/>
        <v>528.582134</v>
      </c>
      <c r="J114" s="667" t="s">
        <v>13</v>
      </c>
      <c r="K114" s="659" t="s">
        <v>17</v>
      </c>
      <c r="L114" s="656">
        <f t="shared" si="11"/>
        <v>79.287320100000002</v>
      </c>
      <c r="M114" s="656">
        <f t="shared" si="7"/>
        <v>21.14328536</v>
      </c>
      <c r="N114" s="657">
        <f t="shared" si="8"/>
        <v>10.57164268</v>
      </c>
      <c r="O114" s="657">
        <f t="shared" si="9"/>
        <v>10.57164268</v>
      </c>
      <c r="P114" s="654">
        <f t="shared" si="10"/>
        <v>37.000749380000002</v>
      </c>
    </row>
    <row r="115" spans="1:16">
      <c r="A115" s="650">
        <v>113</v>
      </c>
      <c r="B115" s="226" t="s">
        <v>1631</v>
      </c>
      <c r="C115" s="165" t="s">
        <v>12</v>
      </c>
      <c r="D115" s="382" t="s">
        <v>32</v>
      </c>
      <c r="E115" s="383">
        <v>6101222</v>
      </c>
      <c r="F115" s="168">
        <v>651.22</v>
      </c>
      <c r="G115" s="169">
        <f t="shared" si="12"/>
        <v>48.060036000000004</v>
      </c>
      <c r="H115" s="168">
        <v>69.98</v>
      </c>
      <c r="I115" s="170">
        <f t="shared" si="13"/>
        <v>533.17996400000004</v>
      </c>
      <c r="J115" s="167" t="s">
        <v>13</v>
      </c>
      <c r="K115" s="168" t="s">
        <v>14</v>
      </c>
      <c r="L115" s="170">
        <f t="shared" si="11"/>
        <v>79.976994599999998</v>
      </c>
      <c r="M115" s="170">
        <f t="shared" si="7"/>
        <v>21.327198560000003</v>
      </c>
      <c r="N115" s="171">
        <f t="shared" si="8"/>
        <v>10.663599280000001</v>
      </c>
      <c r="O115" s="171">
        <f t="shared" si="9"/>
        <v>10.663599280000001</v>
      </c>
      <c r="P115" s="169">
        <f t="shared" si="10"/>
        <v>37.322597479999999</v>
      </c>
    </row>
    <row r="116" spans="1:16">
      <c r="A116" s="650">
        <v>114</v>
      </c>
      <c r="B116" s="651" t="s">
        <v>1632</v>
      </c>
      <c r="C116" s="660" t="s">
        <v>12</v>
      </c>
      <c r="D116" s="254">
        <v>10031111345752</v>
      </c>
      <c r="E116" s="280">
        <v>6100110</v>
      </c>
      <c r="F116" s="659">
        <v>676.14</v>
      </c>
      <c r="G116" s="654">
        <f t="shared" si="12"/>
        <v>49.899132000000002</v>
      </c>
      <c r="H116" s="659">
        <v>83.39</v>
      </c>
      <c r="I116" s="656">
        <f t="shared" si="13"/>
        <v>542.85086799999999</v>
      </c>
      <c r="J116" s="667" t="s">
        <v>13</v>
      </c>
      <c r="K116" s="659" t="s">
        <v>235</v>
      </c>
      <c r="L116" s="656">
        <f t="shared" si="11"/>
        <v>81.427630199999996</v>
      </c>
      <c r="M116" s="656">
        <f t="shared" si="7"/>
        <v>21.714034720000001</v>
      </c>
      <c r="N116" s="657">
        <f t="shared" si="8"/>
        <v>10.85701736</v>
      </c>
      <c r="O116" s="657">
        <f t="shared" si="9"/>
        <v>10.85701736</v>
      </c>
      <c r="P116" s="654">
        <f t="shared" si="10"/>
        <v>37.999560759999994</v>
      </c>
    </row>
    <row r="117" spans="1:16">
      <c r="A117" s="650">
        <v>115</v>
      </c>
      <c r="B117" s="651" t="s">
        <v>1633</v>
      </c>
      <c r="C117" s="660" t="s">
        <v>12</v>
      </c>
      <c r="D117" s="254">
        <v>2839908</v>
      </c>
      <c r="E117" s="280" t="s">
        <v>1634</v>
      </c>
      <c r="F117" s="659">
        <v>706.28</v>
      </c>
      <c r="G117" s="654">
        <f t="shared" si="12"/>
        <v>52.123463999999998</v>
      </c>
      <c r="H117" s="659">
        <v>117.71</v>
      </c>
      <c r="I117" s="656">
        <f t="shared" si="13"/>
        <v>536.44653599999992</v>
      </c>
      <c r="J117" s="667" t="s">
        <v>16</v>
      </c>
      <c r="K117" s="659" t="s">
        <v>17</v>
      </c>
      <c r="L117" s="656">
        <f t="shared" si="11"/>
        <v>80.466980399999983</v>
      </c>
      <c r="M117" s="656">
        <f t="shared" si="7"/>
        <v>21.457861439999999</v>
      </c>
      <c r="N117" s="657">
        <f t="shared" si="8"/>
        <v>10.728930719999999</v>
      </c>
      <c r="O117" s="657">
        <f t="shared" si="9"/>
        <v>10.728930719999999</v>
      </c>
      <c r="P117" s="654">
        <f t="shared" si="10"/>
        <v>37.551257519999979</v>
      </c>
    </row>
    <row r="118" spans="1:16">
      <c r="A118" s="650">
        <v>116</v>
      </c>
      <c r="B118" s="339" t="s">
        <v>1635</v>
      </c>
      <c r="C118" s="327" t="s">
        <v>1500</v>
      </c>
      <c r="D118" s="400">
        <v>100311111353534</v>
      </c>
      <c r="E118" s="401">
        <v>6076385</v>
      </c>
      <c r="F118" s="294">
        <v>539.12</v>
      </c>
      <c r="G118" s="294">
        <f t="shared" si="12"/>
        <v>39.787056</v>
      </c>
      <c r="H118" s="294">
        <v>57.93</v>
      </c>
      <c r="I118" s="293">
        <f t="shared" si="13"/>
        <v>441.40294399999999</v>
      </c>
      <c r="J118" s="329" t="s">
        <v>13</v>
      </c>
      <c r="K118" s="294" t="s">
        <v>14</v>
      </c>
      <c r="L118" s="293">
        <f t="shared" si="11"/>
        <v>66.210441599999996</v>
      </c>
      <c r="M118" s="293">
        <f t="shared" si="7"/>
        <v>17.656117760000001</v>
      </c>
      <c r="N118" s="296">
        <f t="shared" si="8"/>
        <v>8.8280588800000004</v>
      </c>
      <c r="O118" s="296">
        <f t="shared" si="9"/>
        <v>8.8280588800000004</v>
      </c>
      <c r="P118" s="294">
        <f t="shared" si="10"/>
        <v>30.898206079999994</v>
      </c>
    </row>
    <row r="119" spans="1:16">
      <c r="A119" s="650">
        <v>117</v>
      </c>
      <c r="B119" s="339" t="s">
        <v>1636</v>
      </c>
      <c r="C119" s="327" t="s">
        <v>1500</v>
      </c>
      <c r="D119" s="400">
        <v>100311111353515</v>
      </c>
      <c r="E119" s="401">
        <v>6073644</v>
      </c>
      <c r="F119" s="294">
        <v>507.25</v>
      </c>
      <c r="G119" s="294">
        <f t="shared" si="12"/>
        <v>37.435050000000004</v>
      </c>
      <c r="H119" s="294">
        <v>54.51</v>
      </c>
      <c r="I119" s="293">
        <f t="shared" si="13"/>
        <v>415.30495000000002</v>
      </c>
      <c r="J119" s="329" t="s">
        <v>13</v>
      </c>
      <c r="K119" s="294" t="s">
        <v>33</v>
      </c>
      <c r="L119" s="293">
        <f t="shared" si="11"/>
        <v>62.295742500000003</v>
      </c>
      <c r="M119" s="293">
        <f t="shared" si="7"/>
        <v>16.612197999999999</v>
      </c>
      <c r="N119" s="296">
        <f t="shared" si="8"/>
        <v>8.3060989999999997</v>
      </c>
      <c r="O119" s="296">
        <f t="shared" si="9"/>
        <v>8.3060989999999997</v>
      </c>
      <c r="P119" s="294">
        <f t="shared" si="10"/>
        <v>29.071346500000008</v>
      </c>
    </row>
    <row r="120" spans="1:16">
      <c r="A120" s="650">
        <v>118</v>
      </c>
      <c r="B120" s="339" t="s">
        <v>1637</v>
      </c>
      <c r="C120" s="327" t="s">
        <v>1500</v>
      </c>
      <c r="D120" s="400">
        <v>100311111353503</v>
      </c>
      <c r="E120" s="401">
        <v>6073766</v>
      </c>
      <c r="F120" s="294">
        <v>501.36</v>
      </c>
      <c r="G120" s="294">
        <f t="shared" si="12"/>
        <v>37.000368000000002</v>
      </c>
      <c r="H120" s="294">
        <v>61.84</v>
      </c>
      <c r="I120" s="293">
        <f t="shared" si="13"/>
        <v>402.519632</v>
      </c>
      <c r="J120" s="329" t="s">
        <v>13</v>
      </c>
      <c r="K120" s="294" t="s">
        <v>49</v>
      </c>
      <c r="L120" s="293">
        <f t="shared" si="11"/>
        <v>60.377944799999995</v>
      </c>
      <c r="M120" s="293">
        <f t="shared" si="7"/>
        <v>16.10078528</v>
      </c>
      <c r="N120" s="296">
        <f t="shared" si="8"/>
        <v>8.0503926400000001</v>
      </c>
      <c r="O120" s="296">
        <f t="shared" si="9"/>
        <v>8.0503926400000001</v>
      </c>
      <c r="P120" s="294">
        <f t="shared" si="10"/>
        <v>28.176374240000001</v>
      </c>
    </row>
    <row r="121" spans="1:16">
      <c r="A121" s="650">
        <v>119</v>
      </c>
      <c r="B121" s="651" t="s">
        <v>1638</v>
      </c>
      <c r="C121" s="660" t="s">
        <v>18</v>
      </c>
      <c r="D121" s="254">
        <v>100311111353480</v>
      </c>
      <c r="E121" s="280">
        <v>6087675</v>
      </c>
      <c r="F121" s="659">
        <v>731.21</v>
      </c>
      <c r="G121" s="654">
        <f t="shared" si="12"/>
        <v>53.963298000000009</v>
      </c>
      <c r="H121" s="659">
        <v>193.15</v>
      </c>
      <c r="I121" s="656">
        <f t="shared" si="13"/>
        <v>484.09670200000005</v>
      </c>
      <c r="J121" s="667" t="s">
        <v>13</v>
      </c>
      <c r="K121" s="659" t="s">
        <v>1054</v>
      </c>
      <c r="L121" s="654">
        <f t="shared" si="11"/>
        <v>72.614505300000005</v>
      </c>
      <c r="M121" s="656">
        <f t="shared" si="7"/>
        <v>19.363868080000003</v>
      </c>
      <c r="N121" s="657">
        <f t="shared" si="8"/>
        <v>9.6819340400000016</v>
      </c>
      <c r="O121" s="657">
        <f t="shared" si="9"/>
        <v>9.6819340400000016</v>
      </c>
      <c r="P121" s="654">
        <f t="shared" si="10"/>
        <v>33.886769139999998</v>
      </c>
    </row>
    <row r="122" spans="1:16">
      <c r="A122" s="650">
        <v>120</v>
      </c>
      <c r="B122" s="651" t="s">
        <v>1639</v>
      </c>
      <c r="C122" s="660" t="s">
        <v>1500</v>
      </c>
      <c r="D122" s="254">
        <v>100311111353333</v>
      </c>
      <c r="E122" s="280">
        <v>6087147</v>
      </c>
      <c r="F122" s="659">
        <v>568.37</v>
      </c>
      <c r="G122" s="654">
        <f t="shared" si="12"/>
        <v>41.945706000000001</v>
      </c>
      <c r="H122" s="659">
        <v>61.07</v>
      </c>
      <c r="I122" s="656">
        <f t="shared" si="13"/>
        <v>465.35429400000004</v>
      </c>
      <c r="J122" s="667" t="s">
        <v>13</v>
      </c>
      <c r="K122" s="659" t="s">
        <v>14</v>
      </c>
      <c r="L122" s="654">
        <f t="shared" si="11"/>
        <v>69.803144099999997</v>
      </c>
      <c r="M122" s="656">
        <f t="shared" si="7"/>
        <v>18.614171760000001</v>
      </c>
      <c r="N122" s="657">
        <f t="shared" si="8"/>
        <v>9.3070858800000007</v>
      </c>
      <c r="O122" s="657">
        <f t="shared" si="9"/>
        <v>9.3070858800000007</v>
      </c>
      <c r="P122" s="654">
        <f t="shared" si="10"/>
        <v>32.574800579999987</v>
      </c>
    </row>
    <row r="123" spans="1:16">
      <c r="A123" s="650">
        <v>121</v>
      </c>
      <c r="B123" s="339" t="s">
        <v>1640</v>
      </c>
      <c r="C123" s="327" t="s">
        <v>931</v>
      </c>
      <c r="D123" s="400">
        <v>100311111353492</v>
      </c>
      <c r="E123" s="401">
        <v>6106594</v>
      </c>
      <c r="F123" s="294">
        <v>858.44</v>
      </c>
      <c r="G123" s="294">
        <f t="shared" si="12"/>
        <v>63.352872000000005</v>
      </c>
      <c r="H123" s="294">
        <v>226.76</v>
      </c>
      <c r="I123" s="293">
        <f t="shared" si="13"/>
        <v>568.32712800000002</v>
      </c>
      <c r="J123" s="329" t="s">
        <v>13</v>
      </c>
      <c r="K123" s="294" t="s">
        <v>17</v>
      </c>
      <c r="L123" s="294">
        <f t="shared" si="11"/>
        <v>85.249069199999994</v>
      </c>
      <c r="M123" s="293">
        <f t="shared" si="7"/>
        <v>22.733085120000002</v>
      </c>
      <c r="N123" s="296">
        <f t="shared" si="8"/>
        <v>11.366542560000001</v>
      </c>
      <c r="O123" s="296">
        <f t="shared" si="9"/>
        <v>11.366542560000001</v>
      </c>
      <c r="P123" s="294">
        <f t="shared" si="10"/>
        <v>39.782898959999997</v>
      </c>
    </row>
    <row r="124" spans="1:16">
      <c r="A124" s="650">
        <v>122</v>
      </c>
      <c r="B124" s="651" t="s">
        <v>1641</v>
      </c>
      <c r="C124" s="660" t="s">
        <v>1500</v>
      </c>
      <c r="D124" s="254">
        <v>37172743</v>
      </c>
      <c r="E124" s="280">
        <v>6105115</v>
      </c>
      <c r="F124" s="659">
        <v>434.67</v>
      </c>
      <c r="G124" s="654">
        <f t="shared" si="12"/>
        <v>32.078646000000006</v>
      </c>
      <c r="H124" s="659">
        <v>144.88999999999999</v>
      </c>
      <c r="I124" s="656">
        <f t="shared" si="13"/>
        <v>257.70135400000004</v>
      </c>
      <c r="J124" s="667" t="s">
        <v>13</v>
      </c>
      <c r="K124" s="659" t="s">
        <v>1554</v>
      </c>
      <c r="L124" s="654">
        <f t="shared" si="11"/>
        <v>38.655203100000001</v>
      </c>
      <c r="M124" s="656">
        <f t="shared" si="7"/>
        <v>10.308054160000001</v>
      </c>
      <c r="N124" s="657">
        <f t="shared" si="8"/>
        <v>5.1540270800000005</v>
      </c>
      <c r="O124" s="657">
        <f t="shared" si="9"/>
        <v>5.1540270800000005</v>
      </c>
      <c r="P124" s="654">
        <f t="shared" si="10"/>
        <v>18.039094779999999</v>
      </c>
    </row>
    <row r="125" spans="1:16">
      <c r="A125" s="650">
        <v>123</v>
      </c>
      <c r="B125" s="651" t="s">
        <v>1642</v>
      </c>
      <c r="C125" s="660" t="s">
        <v>931</v>
      </c>
      <c r="D125" s="254">
        <v>2841473</v>
      </c>
      <c r="E125" s="280">
        <v>6105908</v>
      </c>
      <c r="F125" s="659">
        <v>721.36</v>
      </c>
      <c r="G125" s="654">
        <f t="shared" si="12"/>
        <v>53.236368000000006</v>
      </c>
      <c r="H125" s="659">
        <v>63.45</v>
      </c>
      <c r="I125" s="656">
        <f t="shared" si="13"/>
        <v>604.673632</v>
      </c>
      <c r="J125" s="667" t="s">
        <v>16</v>
      </c>
      <c r="K125" s="659" t="s">
        <v>266</v>
      </c>
      <c r="L125" s="654">
        <f t="shared" si="11"/>
        <v>90.701044799999991</v>
      </c>
      <c r="M125" s="656">
        <f t="shared" si="7"/>
        <v>24.18694528</v>
      </c>
      <c r="N125" s="657">
        <f t="shared" si="8"/>
        <v>12.09347264</v>
      </c>
      <c r="O125" s="657">
        <f t="shared" si="9"/>
        <v>12.09347264</v>
      </c>
      <c r="P125" s="654">
        <f t="shared" si="10"/>
        <v>42.327154239999984</v>
      </c>
    </row>
    <row r="126" spans="1:16">
      <c r="A126" s="650">
        <v>124</v>
      </c>
      <c r="B126" s="651" t="s">
        <v>1643</v>
      </c>
      <c r="C126" s="660" t="s">
        <v>12</v>
      </c>
      <c r="D126" s="254">
        <v>1003111135223</v>
      </c>
      <c r="E126" s="280">
        <v>6052770</v>
      </c>
      <c r="F126" s="659">
        <v>644.08000000000004</v>
      </c>
      <c r="G126" s="654">
        <f t="shared" si="12"/>
        <v>47.533104000000009</v>
      </c>
      <c r="H126" s="659">
        <v>0</v>
      </c>
      <c r="I126" s="656">
        <f t="shared" si="13"/>
        <v>596.54689600000006</v>
      </c>
      <c r="J126" s="667" t="s">
        <v>13</v>
      </c>
      <c r="K126" s="659" t="s">
        <v>20</v>
      </c>
      <c r="L126" s="654">
        <f t="shared" si="11"/>
        <v>89.482034400000003</v>
      </c>
      <c r="M126" s="656">
        <f t="shared" si="7"/>
        <v>23.861875840000003</v>
      </c>
      <c r="N126" s="657">
        <f t="shared" si="8"/>
        <v>11.930937920000002</v>
      </c>
      <c r="O126" s="657">
        <f t="shared" si="9"/>
        <v>11.930937920000002</v>
      </c>
      <c r="P126" s="654">
        <f t="shared" si="10"/>
        <v>41.758282719999983</v>
      </c>
    </row>
    <row r="127" spans="1:16" hidden="1">
      <c r="A127" s="650"/>
      <c r="B127" s="651"/>
      <c r="C127" s="660"/>
      <c r="D127" s="254"/>
      <c r="E127" s="280"/>
      <c r="F127" s="659"/>
      <c r="G127" s="654"/>
      <c r="H127" s="659"/>
      <c r="I127" s="656"/>
      <c r="J127" s="667"/>
      <c r="K127" s="659"/>
      <c r="L127" s="654"/>
      <c r="M127" s="656"/>
      <c r="N127" s="657"/>
      <c r="O127" s="657"/>
      <c r="P127" s="654"/>
    </row>
    <row r="128" spans="1:16" hidden="1">
      <c r="A128" s="650"/>
      <c r="B128" s="651"/>
      <c r="C128" s="660"/>
      <c r="D128" s="254"/>
      <c r="E128" s="280"/>
      <c r="F128" s="659"/>
      <c r="G128" s="654"/>
      <c r="H128" s="659"/>
      <c r="I128" s="656"/>
      <c r="J128" s="667"/>
      <c r="K128" s="659"/>
      <c r="L128" s="654"/>
      <c r="M128" s="656"/>
      <c r="N128" s="657"/>
      <c r="O128" s="657"/>
      <c r="P128" s="654"/>
    </row>
    <row r="129" spans="1:16" hidden="1">
      <c r="A129" s="650"/>
      <c r="B129" s="651"/>
      <c r="C129" s="660"/>
      <c r="D129" s="254"/>
      <c r="E129" s="280"/>
      <c r="F129" s="659"/>
      <c r="G129" s="654"/>
      <c r="H129" s="659"/>
      <c r="I129" s="656"/>
      <c r="J129" s="667"/>
      <c r="K129" s="659"/>
      <c r="L129" s="654"/>
      <c r="M129" s="656"/>
      <c r="N129" s="657"/>
      <c r="O129" s="657"/>
      <c r="P129" s="654"/>
    </row>
    <row r="130" spans="1:16" hidden="1">
      <c r="A130" s="650"/>
      <c r="B130" s="651"/>
      <c r="C130" s="660"/>
      <c r="D130" s="254"/>
      <c r="E130" s="280"/>
      <c r="F130" s="659"/>
      <c r="G130" s="654"/>
      <c r="H130" s="659"/>
      <c r="I130" s="656"/>
      <c r="J130" s="667"/>
      <c r="K130" s="659"/>
      <c r="L130" s="654"/>
      <c r="M130" s="656"/>
      <c r="N130" s="657"/>
      <c r="O130" s="657"/>
      <c r="P130" s="654"/>
    </row>
    <row r="131" spans="1:16" hidden="1">
      <c r="A131" s="650"/>
      <c r="B131" s="651"/>
      <c r="C131" s="660"/>
      <c r="D131" s="254"/>
      <c r="E131" s="280"/>
      <c r="F131" s="659"/>
      <c r="G131" s="654"/>
      <c r="H131" s="659"/>
      <c r="I131" s="656"/>
      <c r="J131" s="667"/>
      <c r="K131" s="659"/>
      <c r="L131" s="654"/>
      <c r="M131" s="656"/>
      <c r="N131" s="657"/>
      <c r="O131" s="657"/>
      <c r="P131" s="654"/>
    </row>
    <row r="132" spans="1:16" hidden="1">
      <c r="A132" s="650"/>
      <c r="B132" s="651"/>
      <c r="C132" s="660"/>
      <c r="D132" s="254"/>
      <c r="E132" s="280"/>
      <c r="F132" s="659"/>
      <c r="G132" s="654"/>
      <c r="H132" s="659"/>
      <c r="I132" s="656"/>
      <c r="J132" s="667"/>
      <c r="K132" s="659"/>
      <c r="L132" s="654"/>
      <c r="M132" s="656"/>
      <c r="N132" s="657"/>
      <c r="O132" s="657"/>
      <c r="P132" s="654"/>
    </row>
    <row r="133" spans="1:16" hidden="1">
      <c r="A133" s="650"/>
      <c r="B133" s="651"/>
      <c r="C133" s="660"/>
      <c r="D133" s="254"/>
      <c r="E133" s="280"/>
      <c r="F133" s="659"/>
      <c r="G133" s="654"/>
      <c r="H133" s="659"/>
      <c r="I133" s="656"/>
      <c r="J133" s="667"/>
      <c r="K133" s="659"/>
      <c r="L133" s="654"/>
      <c r="M133" s="656"/>
      <c r="N133" s="657"/>
      <c r="O133" s="657"/>
      <c r="P133" s="654"/>
    </row>
    <row r="134" spans="1:16" hidden="1">
      <c r="A134" s="650"/>
      <c r="B134" s="651"/>
      <c r="C134" s="660"/>
      <c r="D134" s="254"/>
      <c r="E134" s="280"/>
      <c r="F134" s="659"/>
      <c r="G134" s="654"/>
      <c r="H134" s="659"/>
      <c r="I134" s="656"/>
      <c r="J134" s="667"/>
      <c r="K134" s="659"/>
      <c r="L134" s="654"/>
      <c r="M134" s="656"/>
      <c r="N134" s="657"/>
      <c r="O134" s="657"/>
      <c r="P134" s="654"/>
    </row>
    <row r="135" spans="1:16" hidden="1">
      <c r="A135" s="650"/>
      <c r="B135" s="651"/>
      <c r="C135" s="660"/>
      <c r="D135" s="254"/>
      <c r="E135" s="280"/>
      <c r="F135" s="659"/>
      <c r="G135" s="654"/>
      <c r="H135" s="659"/>
      <c r="I135" s="656"/>
      <c r="J135" s="667"/>
      <c r="K135" s="659"/>
      <c r="L135" s="654"/>
      <c r="M135" s="656"/>
      <c r="N135" s="657"/>
      <c r="O135" s="657"/>
      <c r="P135" s="654"/>
    </row>
    <row r="136" spans="1:16" hidden="1">
      <c r="A136" s="650"/>
      <c r="B136" s="651"/>
      <c r="C136" s="660"/>
      <c r="D136" s="254"/>
      <c r="E136" s="280"/>
      <c r="F136" s="659"/>
      <c r="G136" s="654"/>
      <c r="H136" s="659"/>
      <c r="I136" s="656"/>
      <c r="J136" s="667"/>
      <c r="K136" s="659"/>
      <c r="L136" s="654"/>
      <c r="M136" s="656"/>
      <c r="N136" s="657"/>
      <c r="O136" s="657"/>
      <c r="P136" s="654"/>
    </row>
    <row r="137" spans="1:16" hidden="1">
      <c r="A137" s="650"/>
      <c r="B137" s="651"/>
      <c r="C137" s="660"/>
      <c r="D137" s="254"/>
      <c r="E137" s="280"/>
      <c r="F137" s="659"/>
      <c r="G137" s="654"/>
      <c r="H137" s="659"/>
      <c r="I137" s="656"/>
      <c r="J137" s="667"/>
      <c r="K137" s="659"/>
      <c r="L137" s="654"/>
      <c r="M137" s="656"/>
      <c r="N137" s="657"/>
      <c r="O137" s="657"/>
      <c r="P137" s="654"/>
    </row>
    <row r="138" spans="1:16" hidden="1">
      <c r="A138" s="650"/>
      <c r="B138" s="651"/>
      <c r="C138" s="660"/>
      <c r="D138" s="254"/>
      <c r="E138" s="280"/>
      <c r="F138" s="659"/>
      <c r="G138" s="654"/>
      <c r="H138" s="659"/>
      <c r="I138" s="656"/>
      <c r="J138" s="667"/>
      <c r="K138" s="659"/>
      <c r="L138" s="654"/>
      <c r="M138" s="656"/>
      <c r="N138" s="657"/>
      <c r="O138" s="657"/>
      <c r="P138" s="654"/>
    </row>
    <row r="139" spans="1:16" hidden="1">
      <c r="A139" s="650"/>
      <c r="B139" s="651"/>
      <c r="C139" s="660"/>
      <c r="D139" s="254"/>
      <c r="E139" s="280"/>
      <c r="F139" s="659"/>
      <c r="G139" s="654"/>
      <c r="H139" s="659"/>
      <c r="I139" s="656"/>
      <c r="J139" s="667"/>
      <c r="K139" s="659"/>
      <c r="L139" s="654"/>
      <c r="M139" s="656"/>
      <c r="N139" s="657"/>
      <c r="O139" s="657"/>
      <c r="P139" s="654"/>
    </row>
    <row r="140" spans="1:16" hidden="1">
      <c r="A140" s="650"/>
      <c r="B140" s="651"/>
      <c r="C140" s="660"/>
      <c r="D140" s="254"/>
      <c r="E140" s="280"/>
      <c r="F140" s="659"/>
      <c r="G140" s="654"/>
      <c r="H140" s="659"/>
      <c r="I140" s="656"/>
      <c r="J140" s="667"/>
      <c r="K140" s="659"/>
      <c r="L140" s="654"/>
      <c r="M140" s="656"/>
      <c r="N140" s="657"/>
      <c r="O140" s="657"/>
      <c r="P140" s="654"/>
    </row>
    <row r="141" spans="1:16" hidden="1">
      <c r="A141" s="650"/>
      <c r="B141" s="651"/>
      <c r="C141" s="660"/>
      <c r="D141" s="254"/>
      <c r="E141" s="280"/>
      <c r="F141" s="659"/>
      <c r="G141" s="654"/>
      <c r="H141" s="659"/>
      <c r="I141" s="656"/>
      <c r="J141" s="667"/>
      <c r="K141" s="659"/>
      <c r="L141" s="654"/>
      <c r="M141" s="656"/>
      <c r="N141" s="657"/>
      <c r="O141" s="657"/>
      <c r="P141" s="654"/>
    </row>
    <row r="142" spans="1:16" hidden="1">
      <c r="A142" s="650"/>
      <c r="B142" s="651"/>
      <c r="C142" s="660"/>
      <c r="D142" s="254"/>
      <c r="E142" s="280"/>
      <c r="F142" s="659"/>
      <c r="G142" s="654"/>
      <c r="H142" s="659"/>
      <c r="I142" s="656"/>
      <c r="J142" s="667"/>
      <c r="K142" s="659"/>
      <c r="L142" s="654"/>
      <c r="M142" s="656"/>
      <c r="N142" s="657"/>
      <c r="O142" s="657"/>
      <c r="P142" s="654"/>
    </row>
    <row r="143" spans="1:16" hidden="1">
      <c r="A143" s="650"/>
      <c r="B143" s="651"/>
      <c r="C143" s="660"/>
      <c r="D143" s="254"/>
      <c r="E143" s="280"/>
      <c r="F143" s="659"/>
      <c r="G143" s="654"/>
      <c r="H143" s="659"/>
      <c r="I143" s="656"/>
      <c r="J143" s="667"/>
      <c r="K143" s="659"/>
      <c r="L143" s="654"/>
      <c r="M143" s="656"/>
      <c r="N143" s="657"/>
      <c r="O143" s="657"/>
      <c r="P143" s="654"/>
    </row>
    <row r="144" spans="1:16" hidden="1">
      <c r="A144" s="650"/>
      <c r="B144" s="651"/>
      <c r="C144" s="660"/>
      <c r="D144" s="254"/>
      <c r="E144" s="280"/>
      <c r="F144" s="659"/>
      <c r="G144" s="654"/>
      <c r="H144" s="659"/>
      <c r="I144" s="656"/>
      <c r="J144" s="667"/>
      <c r="K144" s="659"/>
      <c r="L144" s="654"/>
      <c r="M144" s="656"/>
      <c r="N144" s="657"/>
      <c r="O144" s="657"/>
      <c r="P144" s="654"/>
    </row>
    <row r="145" spans="1:16" hidden="1">
      <c r="A145" s="650"/>
      <c r="B145" s="651"/>
      <c r="C145" s="660"/>
      <c r="D145" s="254"/>
      <c r="E145" s="280"/>
      <c r="F145" s="659"/>
      <c r="G145" s="654"/>
      <c r="H145" s="659"/>
      <c r="I145" s="656"/>
      <c r="J145" s="667"/>
      <c r="K145" s="659"/>
      <c r="L145" s="654"/>
      <c r="M145" s="656"/>
      <c r="N145" s="657"/>
      <c r="O145" s="657"/>
      <c r="P145" s="654"/>
    </row>
    <row r="146" spans="1:16" hidden="1">
      <c r="A146" s="650"/>
      <c r="B146" s="651"/>
      <c r="C146" s="660"/>
      <c r="D146" s="254"/>
      <c r="E146" s="280"/>
      <c r="F146" s="659"/>
      <c r="G146" s="654"/>
      <c r="H146" s="659"/>
      <c r="I146" s="656"/>
      <c r="J146" s="667"/>
      <c r="K146" s="659"/>
      <c r="L146" s="654"/>
      <c r="M146" s="656"/>
      <c r="N146" s="657"/>
      <c r="O146" s="657"/>
      <c r="P146" s="654"/>
    </row>
    <row r="147" spans="1:16" hidden="1">
      <c r="A147" s="650"/>
      <c r="B147" s="651"/>
      <c r="C147" s="660"/>
      <c r="D147" s="254"/>
      <c r="E147" s="280"/>
      <c r="F147" s="659"/>
      <c r="G147" s="654"/>
      <c r="H147" s="659"/>
      <c r="I147" s="656"/>
      <c r="J147" s="667"/>
      <c r="K147" s="659"/>
      <c r="L147" s="654"/>
      <c r="M147" s="656"/>
      <c r="N147" s="657"/>
      <c r="O147" s="657"/>
      <c r="P147" s="654"/>
    </row>
    <row r="148" spans="1:16" hidden="1">
      <c r="A148" s="650"/>
      <c r="B148" s="651"/>
      <c r="C148" s="660"/>
      <c r="D148" s="254"/>
      <c r="E148" s="280"/>
      <c r="F148" s="659"/>
      <c r="G148" s="654"/>
      <c r="H148" s="659"/>
      <c r="I148" s="656"/>
      <c r="J148" s="667"/>
      <c r="K148" s="659"/>
      <c r="L148" s="654"/>
      <c r="M148" s="656"/>
      <c r="N148" s="657"/>
      <c r="O148" s="657"/>
      <c r="P148" s="654"/>
    </row>
    <row r="149" spans="1:16" hidden="1">
      <c r="A149" s="650"/>
      <c r="B149" s="651"/>
      <c r="C149" s="660"/>
      <c r="D149" s="254"/>
      <c r="E149" s="280"/>
      <c r="F149" s="659"/>
      <c r="G149" s="654">
        <f t="shared" si="12"/>
        <v>0</v>
      </c>
      <c r="H149" s="659"/>
      <c r="I149" s="656">
        <f t="shared" si="13"/>
        <v>0</v>
      </c>
      <c r="J149" s="667"/>
      <c r="K149" s="659"/>
      <c r="L149" s="654">
        <f t="shared" si="11"/>
        <v>0</v>
      </c>
      <c r="M149" s="656">
        <f t="shared" si="7"/>
        <v>0</v>
      </c>
      <c r="N149" s="657">
        <f t="shared" si="8"/>
        <v>0</v>
      </c>
      <c r="O149" s="657">
        <f t="shared" si="9"/>
        <v>0</v>
      </c>
      <c r="P149" s="654">
        <f t="shared" si="10"/>
        <v>0</v>
      </c>
    </row>
    <row r="150" spans="1:16">
      <c r="A150" s="3"/>
      <c r="B150" s="679"/>
      <c r="C150" s="679"/>
      <c r="D150" s="680"/>
      <c r="E150" s="679"/>
      <c r="F150" s="681"/>
      <c r="G150" s="681"/>
      <c r="H150" s="681"/>
      <c r="I150" s="681"/>
      <c r="J150" s="679"/>
      <c r="K150" s="682"/>
      <c r="L150" s="682"/>
      <c r="M150" s="682"/>
      <c r="N150" s="7"/>
      <c r="O150" s="7"/>
      <c r="P150" s="8"/>
    </row>
    <row r="151" spans="1:16" ht="15.6">
      <c r="A151" s="3"/>
      <c r="B151" s="4"/>
      <c r="C151" s="4"/>
      <c r="D151" s="13"/>
      <c r="E151" s="5" t="s">
        <v>11</v>
      </c>
      <c r="F151" s="6">
        <f>SUM(F3:F149)</f>
        <v>81914.489999999991</v>
      </c>
      <c r="G151" s="6">
        <f>SUM(G3:G149)</f>
        <v>6045.2893620000004</v>
      </c>
      <c r="H151" s="6">
        <f>SUM(H3:H149)</f>
        <v>9952.0699999999979</v>
      </c>
      <c r="I151" s="6">
        <f>SUM(I3:I149)</f>
        <v>65917.130638000002</v>
      </c>
      <c r="J151" s="4"/>
      <c r="K151" s="9"/>
      <c r="L151" s="6">
        <f>SUM(L3:L149)</f>
        <v>9887.5695956999989</v>
      </c>
      <c r="M151" s="6">
        <f t="shared" ref="M151:P151" si="14">SUM(M3:M149)</f>
        <v>2636.6852255199997</v>
      </c>
      <c r="N151" s="6">
        <f t="shared" si="14"/>
        <v>1318.3426127599998</v>
      </c>
      <c r="O151" s="6">
        <f t="shared" si="14"/>
        <v>1318.3426127599998</v>
      </c>
      <c r="P151" s="6">
        <f t="shared" si="14"/>
        <v>4614.1991446600005</v>
      </c>
    </row>
  </sheetData>
  <autoFilter ref="B2:P126" xr:uid="{79AC0956-44C3-41B9-A621-7EE0373F3822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0" orientation="landscape" r:id="rId1"/>
  <colBreaks count="1" manualBreakCount="1">
    <brk id="16" max="1048575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EAD1-9363-49ED-8651-4E1DB3D2B1D3}">
  <dimension ref="A1:Q138"/>
  <sheetViews>
    <sheetView topLeftCell="A116" zoomScaleNormal="100" workbookViewId="0">
      <selection activeCell="B122" sqref="B122"/>
    </sheetView>
  </sheetViews>
  <sheetFormatPr defaultRowHeight="14.4"/>
  <cols>
    <col min="2" max="2" width="35.6640625" customWidth="1"/>
    <col min="3" max="3" width="17.33203125" customWidth="1"/>
    <col min="4" max="4" width="17.6640625" customWidth="1"/>
    <col min="5" max="5" width="13.33203125" customWidth="1"/>
    <col min="6" max="6" width="12.6640625" customWidth="1"/>
    <col min="7" max="7" width="12.44140625" customWidth="1"/>
    <col min="8" max="8" width="10.88671875" customWidth="1"/>
    <col min="9" max="9" width="12.44140625" customWidth="1"/>
    <col min="10" max="10" width="11.44140625" customWidth="1"/>
    <col min="11" max="11" width="13.6640625" customWidth="1"/>
    <col min="12" max="12" width="12.5546875" customWidth="1"/>
    <col min="13" max="13" width="11.6640625" customWidth="1"/>
    <col min="14" max="14" width="11.44140625" customWidth="1"/>
    <col min="15" max="15" width="11.6640625" customWidth="1"/>
    <col min="16" max="16" width="13.33203125" customWidth="1"/>
    <col min="17" max="17" width="64.109375" customWidth="1"/>
  </cols>
  <sheetData>
    <row r="1" spans="1:17" ht="23.4">
      <c r="B1" s="742" t="s">
        <v>1644</v>
      </c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4"/>
    </row>
    <row r="2" spans="1:17" ht="23.4" customHeight="1">
      <c r="A2" s="1" t="s">
        <v>0</v>
      </c>
      <c r="B2" s="26" t="s">
        <v>1</v>
      </c>
      <c r="C2" s="10" t="s">
        <v>2</v>
      </c>
      <c r="D2" s="12" t="s">
        <v>3</v>
      </c>
      <c r="E2" s="11" t="s">
        <v>4</v>
      </c>
      <c r="F2" s="1" t="s">
        <v>5</v>
      </c>
      <c r="G2" s="2" t="s">
        <v>6</v>
      </c>
      <c r="H2" s="1" t="s">
        <v>7</v>
      </c>
      <c r="I2" s="2" t="s">
        <v>8</v>
      </c>
      <c r="J2" s="1" t="s">
        <v>43</v>
      </c>
      <c r="K2" s="1" t="s">
        <v>9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10</v>
      </c>
    </row>
    <row r="3" spans="1:17">
      <c r="A3" s="685">
        <v>1</v>
      </c>
      <c r="B3" s="686" t="s">
        <v>1645</v>
      </c>
      <c r="C3" s="687" t="s">
        <v>229</v>
      </c>
      <c r="D3" s="229">
        <v>100311111358961</v>
      </c>
      <c r="E3" s="230">
        <v>6111478</v>
      </c>
      <c r="F3" s="688">
        <v>1205.17</v>
      </c>
      <c r="G3" s="689">
        <f>F3*7.38%</f>
        <v>88.941546000000017</v>
      </c>
      <c r="H3" s="690">
        <v>148.63999999999999</v>
      </c>
      <c r="I3" s="689">
        <f>F3-G3-H3</f>
        <v>967.58845400000007</v>
      </c>
      <c r="J3" s="685" t="s">
        <v>13</v>
      </c>
      <c r="K3" s="690" t="s">
        <v>25</v>
      </c>
      <c r="L3" s="691">
        <f>I3*15%</f>
        <v>145.1382681</v>
      </c>
      <c r="M3" s="691">
        <f t="shared" ref="M3:M66" si="0">I3*4%</f>
        <v>38.703538160000001</v>
      </c>
      <c r="N3" s="692">
        <f t="shared" ref="N3:N66" si="1">I3*2%</f>
        <v>19.35176908</v>
      </c>
      <c r="O3" s="692">
        <f t="shared" ref="O3:O66" si="2">I3*2%</f>
        <v>19.35176908</v>
      </c>
      <c r="P3" s="689">
        <f t="shared" ref="P3:P66" si="3">L3-M3-N3-O3</f>
        <v>67.731191780000017</v>
      </c>
    </row>
    <row r="4" spans="1:17">
      <c r="A4" s="685">
        <v>2</v>
      </c>
      <c r="B4" s="686" t="s">
        <v>1646</v>
      </c>
      <c r="C4" s="693" t="s">
        <v>234</v>
      </c>
      <c r="D4" s="238">
        <v>2845525</v>
      </c>
      <c r="E4" s="230">
        <v>6110879</v>
      </c>
      <c r="F4" s="688">
        <v>968.61</v>
      </c>
      <c r="G4" s="689">
        <f>F4*7.38%</f>
        <v>71.483418</v>
      </c>
      <c r="H4" s="694">
        <v>0</v>
      </c>
      <c r="I4" s="689">
        <f>F4-G4-H4</f>
        <v>897.12658199999998</v>
      </c>
      <c r="J4" s="695" t="s">
        <v>13</v>
      </c>
      <c r="K4" s="694" t="s">
        <v>14</v>
      </c>
      <c r="L4" s="691">
        <f t="shared" ref="L4:L67" si="4">I4*15%</f>
        <v>134.5689873</v>
      </c>
      <c r="M4" s="691">
        <f t="shared" si="0"/>
        <v>35.885063279999997</v>
      </c>
      <c r="N4" s="692">
        <f t="shared" si="1"/>
        <v>17.942531639999999</v>
      </c>
      <c r="O4" s="692">
        <f t="shared" si="2"/>
        <v>17.942531639999999</v>
      </c>
      <c r="P4" s="689">
        <f t="shared" si="3"/>
        <v>62.798860740000009</v>
      </c>
    </row>
    <row r="5" spans="1:17">
      <c r="A5" s="685">
        <v>3</v>
      </c>
      <c r="B5" s="696" t="s">
        <v>1647</v>
      </c>
      <c r="C5" s="685" t="s">
        <v>1648</v>
      </c>
      <c r="D5" s="242">
        <v>10031111357886</v>
      </c>
      <c r="E5" s="243">
        <v>6100043</v>
      </c>
      <c r="F5" s="697">
        <v>522.62</v>
      </c>
      <c r="G5" s="689">
        <f t="shared" ref="G5:G68" si="5">F5*7.38%</f>
        <v>38.569356000000006</v>
      </c>
      <c r="H5" s="698">
        <v>0</v>
      </c>
      <c r="I5" s="689">
        <f t="shared" ref="I5:I68" si="6">F5-G5-H5</f>
        <v>484.05064399999998</v>
      </c>
      <c r="J5" s="685" t="s">
        <v>13</v>
      </c>
      <c r="K5" s="690" t="s">
        <v>40</v>
      </c>
      <c r="L5" s="691">
        <f t="shared" si="4"/>
        <v>72.607596599999994</v>
      </c>
      <c r="M5" s="691">
        <f t="shared" si="0"/>
        <v>19.362025759999998</v>
      </c>
      <c r="N5" s="692">
        <f t="shared" si="1"/>
        <v>9.681012879999999</v>
      </c>
      <c r="O5" s="692">
        <f t="shared" si="2"/>
        <v>9.681012879999999</v>
      </c>
      <c r="P5" s="689">
        <f t="shared" si="3"/>
        <v>33.883545080000005</v>
      </c>
    </row>
    <row r="6" spans="1:17">
      <c r="A6" s="685">
        <v>4</v>
      </c>
      <c r="B6" s="686" t="s">
        <v>1649</v>
      </c>
      <c r="C6" s="695" t="s">
        <v>18</v>
      </c>
      <c r="D6" s="246">
        <v>100311111355017</v>
      </c>
      <c r="E6" s="191">
        <v>6108675</v>
      </c>
      <c r="F6" s="699">
        <v>595.02</v>
      </c>
      <c r="G6" s="700">
        <f t="shared" si="5"/>
        <v>43.912475999999998</v>
      </c>
      <c r="H6" s="694">
        <v>0</v>
      </c>
      <c r="I6" s="700">
        <f t="shared" si="6"/>
        <v>551.10752400000001</v>
      </c>
      <c r="J6" s="695" t="s">
        <v>13</v>
      </c>
      <c r="K6" s="694" t="s">
        <v>211</v>
      </c>
      <c r="L6" s="691">
        <f t="shared" si="4"/>
        <v>82.666128599999993</v>
      </c>
      <c r="M6" s="691">
        <f t="shared" si="0"/>
        <v>22.044300960000001</v>
      </c>
      <c r="N6" s="692">
        <f t="shared" si="1"/>
        <v>11.022150480000001</v>
      </c>
      <c r="O6" s="692">
        <f t="shared" si="2"/>
        <v>11.022150480000001</v>
      </c>
      <c r="P6" s="689">
        <f t="shared" si="3"/>
        <v>38.577526679999991</v>
      </c>
    </row>
    <row r="7" spans="1:17">
      <c r="A7" s="685">
        <v>5</v>
      </c>
      <c r="B7" s="696" t="s">
        <v>1650</v>
      </c>
      <c r="C7" s="685" t="s">
        <v>799</v>
      </c>
      <c r="D7" s="246">
        <v>103311111356757</v>
      </c>
      <c r="E7" s="191">
        <v>6109037</v>
      </c>
      <c r="F7" s="690">
        <v>570.34</v>
      </c>
      <c r="G7" s="700">
        <f t="shared" si="5"/>
        <v>42.091092000000003</v>
      </c>
      <c r="H7" s="690">
        <v>70.34</v>
      </c>
      <c r="I7" s="700">
        <f t="shared" si="6"/>
        <v>457.908908</v>
      </c>
      <c r="J7" s="685" t="s">
        <v>13</v>
      </c>
      <c r="K7" s="690" t="s">
        <v>211</v>
      </c>
      <c r="L7" s="691">
        <f t="shared" si="4"/>
        <v>68.6863362</v>
      </c>
      <c r="M7" s="691">
        <f t="shared" si="0"/>
        <v>18.316356320000001</v>
      </c>
      <c r="N7" s="692">
        <f t="shared" si="1"/>
        <v>9.1581781600000003</v>
      </c>
      <c r="O7" s="692">
        <f t="shared" si="2"/>
        <v>9.1581781600000003</v>
      </c>
      <c r="P7" s="689">
        <f t="shared" si="3"/>
        <v>32.053623560000005</v>
      </c>
    </row>
    <row r="8" spans="1:17">
      <c r="A8" s="685">
        <v>6</v>
      </c>
      <c r="B8" s="686" t="s">
        <v>1651</v>
      </c>
      <c r="C8" s="695" t="s">
        <v>234</v>
      </c>
      <c r="D8" s="249">
        <v>28447979</v>
      </c>
      <c r="E8" s="250" t="s">
        <v>1652</v>
      </c>
      <c r="F8" s="694">
        <v>784.95</v>
      </c>
      <c r="G8" s="700">
        <f t="shared" si="5"/>
        <v>57.929310000000008</v>
      </c>
      <c r="H8" s="694">
        <v>78.489999999999995</v>
      </c>
      <c r="I8" s="700">
        <f>F8-G8-H8</f>
        <v>648.53069000000005</v>
      </c>
      <c r="J8" s="695" t="s">
        <v>16</v>
      </c>
      <c r="K8" s="694" t="s">
        <v>17</v>
      </c>
      <c r="L8" s="691">
        <f t="shared" si="4"/>
        <v>97.279603500000007</v>
      </c>
      <c r="M8" s="691">
        <f t="shared" si="0"/>
        <v>25.941227600000001</v>
      </c>
      <c r="N8" s="692">
        <f t="shared" si="1"/>
        <v>12.970613800000001</v>
      </c>
      <c r="O8" s="692">
        <f t="shared" si="2"/>
        <v>12.970613800000001</v>
      </c>
      <c r="P8" s="689">
        <f t="shared" si="3"/>
        <v>45.397148299999998</v>
      </c>
    </row>
    <row r="9" spans="1:17">
      <c r="A9" s="685">
        <v>7</v>
      </c>
      <c r="B9" s="645" t="s">
        <v>1653</v>
      </c>
      <c r="C9" s="295" t="s">
        <v>1648</v>
      </c>
      <c r="D9" s="403">
        <v>10031111363706</v>
      </c>
      <c r="E9" s="507">
        <v>6086773</v>
      </c>
      <c r="F9" s="683">
        <v>553.92999999999995</v>
      </c>
      <c r="G9" s="294">
        <f t="shared" si="5"/>
        <v>40.880034000000002</v>
      </c>
      <c r="H9" s="293">
        <v>68.28</v>
      </c>
      <c r="I9" s="294">
        <f>F9-G9-H9</f>
        <v>444.76996599999995</v>
      </c>
      <c r="J9" s="295" t="s">
        <v>13</v>
      </c>
      <c r="K9" s="293" t="s">
        <v>25</v>
      </c>
      <c r="L9" s="293">
        <f t="shared" si="4"/>
        <v>66.715494899999996</v>
      </c>
      <c r="M9" s="293">
        <f t="shared" si="0"/>
        <v>17.790798639999998</v>
      </c>
      <c r="N9" s="296">
        <f>I9*2%</f>
        <v>8.8953993199999992</v>
      </c>
      <c r="O9" s="296">
        <f t="shared" si="2"/>
        <v>8.8953993199999992</v>
      </c>
      <c r="P9" s="294">
        <f t="shared" si="3"/>
        <v>31.133897619999995</v>
      </c>
    </row>
    <row r="10" spans="1:17">
      <c r="A10" s="685">
        <v>8</v>
      </c>
      <c r="B10" s="701" t="s">
        <v>1654</v>
      </c>
      <c r="C10" s="695" t="s">
        <v>1648</v>
      </c>
      <c r="D10" s="254">
        <v>10031111363413</v>
      </c>
      <c r="E10" s="255">
        <v>6113881</v>
      </c>
      <c r="F10" s="702">
        <v>579.07000000000005</v>
      </c>
      <c r="G10" s="700">
        <f t="shared" si="5"/>
        <v>42.735366000000006</v>
      </c>
      <c r="H10" s="694">
        <v>62.22</v>
      </c>
      <c r="I10" s="700">
        <f t="shared" si="6"/>
        <v>474.11463400000002</v>
      </c>
      <c r="J10" s="703" t="s">
        <v>13</v>
      </c>
      <c r="K10" s="694" t="s">
        <v>17</v>
      </c>
      <c r="L10" s="691">
        <f t="shared" si="4"/>
        <v>71.117195100000004</v>
      </c>
      <c r="M10" s="691">
        <f t="shared" si="0"/>
        <v>18.964585360000001</v>
      </c>
      <c r="N10" s="692">
        <f t="shared" si="1"/>
        <v>9.4822926800000005</v>
      </c>
      <c r="O10" s="692">
        <f t="shared" si="2"/>
        <v>9.4822926800000005</v>
      </c>
      <c r="P10" s="689">
        <f t="shared" si="3"/>
        <v>33.188024380000002</v>
      </c>
    </row>
    <row r="11" spans="1:17">
      <c r="A11" s="685">
        <v>9</v>
      </c>
      <c r="B11" s="701" t="s">
        <v>1655</v>
      </c>
      <c r="C11" s="685" t="s">
        <v>1180</v>
      </c>
      <c r="D11" s="251">
        <v>2844278</v>
      </c>
      <c r="E11" s="191">
        <v>6104410</v>
      </c>
      <c r="F11" s="704">
        <v>796</v>
      </c>
      <c r="G11" s="700">
        <f t="shared" si="5"/>
        <v>58.744800000000005</v>
      </c>
      <c r="H11" s="690">
        <v>73.709999999999994</v>
      </c>
      <c r="I11" s="705">
        <f t="shared" si="6"/>
        <v>663.54519999999991</v>
      </c>
      <c r="J11" s="706" t="s">
        <v>16</v>
      </c>
      <c r="K11" s="690" t="s">
        <v>1358</v>
      </c>
      <c r="L11" s="691">
        <f t="shared" si="4"/>
        <v>99.531779999999983</v>
      </c>
      <c r="M11" s="691">
        <f t="shared" si="0"/>
        <v>26.541807999999996</v>
      </c>
      <c r="N11" s="692">
        <f t="shared" si="1"/>
        <v>13.270903999999998</v>
      </c>
      <c r="O11" s="707">
        <f t="shared" si="2"/>
        <v>13.270903999999998</v>
      </c>
      <c r="P11" s="691">
        <f t="shared" si="3"/>
        <v>46.448163999999991</v>
      </c>
    </row>
    <row r="12" spans="1:17">
      <c r="A12" s="685">
        <v>10</v>
      </c>
      <c r="B12" s="708" t="s">
        <v>1656</v>
      </c>
      <c r="C12" s="160" t="s">
        <v>31</v>
      </c>
      <c r="D12" s="254">
        <v>100311111361429</v>
      </c>
      <c r="E12" s="262">
        <v>6112991</v>
      </c>
      <c r="F12" s="709">
        <v>616.91999999999996</v>
      </c>
      <c r="G12" s="700">
        <f t="shared" si="5"/>
        <v>45.528695999999997</v>
      </c>
      <c r="H12" s="694">
        <v>66.290000000000006</v>
      </c>
      <c r="I12" s="700">
        <f t="shared" si="6"/>
        <v>505.10130399999997</v>
      </c>
      <c r="J12" s="706" t="s">
        <v>13</v>
      </c>
      <c r="K12" s="694" t="s">
        <v>49</v>
      </c>
      <c r="L12" s="691">
        <f t="shared" si="4"/>
        <v>75.765195599999998</v>
      </c>
      <c r="M12" s="691">
        <f t="shared" si="0"/>
        <v>20.20405216</v>
      </c>
      <c r="N12" s="692">
        <f t="shared" si="1"/>
        <v>10.10202608</v>
      </c>
      <c r="O12" s="692">
        <f t="shared" si="2"/>
        <v>10.10202608</v>
      </c>
      <c r="P12" s="689">
        <f t="shared" si="3"/>
        <v>35.357091279999992</v>
      </c>
    </row>
    <row r="13" spans="1:17">
      <c r="A13" s="685">
        <v>11</v>
      </c>
      <c r="B13" s="701" t="s">
        <v>1657</v>
      </c>
      <c r="C13" s="685" t="s">
        <v>931</v>
      </c>
      <c r="D13" s="251">
        <v>371181871</v>
      </c>
      <c r="E13" s="191">
        <v>6103530</v>
      </c>
      <c r="F13" s="709">
        <v>442.04</v>
      </c>
      <c r="G13" s="705">
        <f t="shared" si="5"/>
        <v>32.622552000000006</v>
      </c>
      <c r="H13" s="690">
        <v>110.51</v>
      </c>
      <c r="I13" s="705">
        <f t="shared" si="6"/>
        <v>298.90744800000004</v>
      </c>
      <c r="J13" s="706" t="s">
        <v>13</v>
      </c>
      <c r="K13" s="690" t="s">
        <v>166</v>
      </c>
      <c r="L13" s="691">
        <f t="shared" si="4"/>
        <v>44.836117200000004</v>
      </c>
      <c r="M13" s="691">
        <f t="shared" si="0"/>
        <v>11.956297920000003</v>
      </c>
      <c r="N13" s="692">
        <f t="shared" si="1"/>
        <v>5.9781489600000013</v>
      </c>
      <c r="O13" s="707">
        <f t="shared" si="2"/>
        <v>5.9781489600000013</v>
      </c>
      <c r="P13" s="691">
        <f t="shared" si="3"/>
        <v>20.923521359999995</v>
      </c>
    </row>
    <row r="14" spans="1:17">
      <c r="A14" s="685">
        <v>12</v>
      </c>
      <c r="B14" s="159" t="s">
        <v>1658</v>
      </c>
      <c r="C14" s="695" t="s">
        <v>12</v>
      </c>
      <c r="D14" s="264">
        <v>2843972</v>
      </c>
      <c r="E14" s="262">
        <v>6111971</v>
      </c>
      <c r="F14" s="709">
        <v>675.59</v>
      </c>
      <c r="G14" s="700">
        <f t="shared" si="5"/>
        <v>49.858542000000007</v>
      </c>
      <c r="H14" s="694">
        <v>0</v>
      </c>
      <c r="I14" s="700">
        <f t="shared" si="6"/>
        <v>625.73145799999998</v>
      </c>
      <c r="J14" s="703" t="s">
        <v>16</v>
      </c>
      <c r="K14" s="694" t="s">
        <v>17</v>
      </c>
      <c r="L14" s="691">
        <f t="shared" si="4"/>
        <v>93.859718699999988</v>
      </c>
      <c r="M14" s="691">
        <f t="shared" si="0"/>
        <v>25.02925832</v>
      </c>
      <c r="N14" s="692">
        <f t="shared" si="1"/>
        <v>12.51462916</v>
      </c>
      <c r="O14" s="692">
        <f t="shared" si="2"/>
        <v>12.51462916</v>
      </c>
      <c r="P14" s="689">
        <f t="shared" si="3"/>
        <v>43.801202059999994</v>
      </c>
    </row>
    <row r="15" spans="1:17">
      <c r="A15" s="685">
        <v>13</v>
      </c>
      <c r="B15" s="402" t="s">
        <v>1659</v>
      </c>
      <c r="C15" s="295" t="s">
        <v>1648</v>
      </c>
      <c r="D15" s="546">
        <v>100311111371033</v>
      </c>
      <c r="E15" s="547">
        <v>6088254</v>
      </c>
      <c r="F15" s="548">
        <v>597.71</v>
      </c>
      <c r="G15" s="293">
        <f t="shared" si="5"/>
        <v>44.110998000000002</v>
      </c>
      <c r="H15" s="294">
        <v>64.23</v>
      </c>
      <c r="I15" s="293">
        <f t="shared" si="6"/>
        <v>489.36900200000002</v>
      </c>
      <c r="J15" s="405" t="s">
        <v>13</v>
      </c>
      <c r="K15" s="293" t="s">
        <v>36</v>
      </c>
      <c r="L15" s="293">
        <f t="shared" si="4"/>
        <v>73.405350299999995</v>
      </c>
      <c r="M15" s="293">
        <f t="shared" si="0"/>
        <v>19.574760080000001</v>
      </c>
      <c r="N15" s="296">
        <f t="shared" si="1"/>
        <v>9.7873800400000004</v>
      </c>
      <c r="O15" s="406">
        <f t="shared" si="2"/>
        <v>9.7873800400000004</v>
      </c>
      <c r="P15" s="293">
        <f t="shared" si="3"/>
        <v>34.255830139999986</v>
      </c>
    </row>
    <row r="16" spans="1:17">
      <c r="A16" s="685">
        <v>14</v>
      </c>
      <c r="B16" s="708" t="s">
        <v>1660</v>
      </c>
      <c r="C16" s="693" t="s">
        <v>12</v>
      </c>
      <c r="D16" s="251">
        <v>10031111370648</v>
      </c>
      <c r="E16" s="268">
        <v>6087281</v>
      </c>
      <c r="F16" s="709">
        <v>714.3</v>
      </c>
      <c r="G16" s="700">
        <f t="shared" si="5"/>
        <v>52.715339999999998</v>
      </c>
      <c r="H16" s="694">
        <v>0</v>
      </c>
      <c r="I16" s="700">
        <f t="shared" si="6"/>
        <v>661.58465999999999</v>
      </c>
      <c r="J16" s="703" t="s">
        <v>13</v>
      </c>
      <c r="K16" s="694" t="s">
        <v>53</v>
      </c>
      <c r="L16" s="691">
        <f t="shared" si="4"/>
        <v>99.237698999999992</v>
      </c>
      <c r="M16" s="691">
        <f t="shared" si="0"/>
        <v>26.463386400000001</v>
      </c>
      <c r="N16" s="692">
        <f t="shared" si="1"/>
        <v>13.2316932</v>
      </c>
      <c r="O16" s="692">
        <f t="shared" si="2"/>
        <v>13.2316932</v>
      </c>
      <c r="P16" s="689">
        <f t="shared" si="3"/>
        <v>46.310926199999983</v>
      </c>
    </row>
    <row r="17" spans="1:16">
      <c r="A17" s="685">
        <v>15</v>
      </c>
      <c r="B17" s="710" t="s">
        <v>1661</v>
      </c>
      <c r="C17" s="711" t="s">
        <v>1648</v>
      </c>
      <c r="D17" s="246">
        <v>37194864</v>
      </c>
      <c r="E17" s="270">
        <v>6087096</v>
      </c>
      <c r="F17" s="690">
        <v>389.55</v>
      </c>
      <c r="G17" s="705">
        <f t="shared" si="5"/>
        <v>28.748790000000003</v>
      </c>
      <c r="H17" s="694">
        <v>97.03</v>
      </c>
      <c r="I17" s="705">
        <f t="shared" si="6"/>
        <v>263.77121</v>
      </c>
      <c r="J17" s="706" t="s">
        <v>13</v>
      </c>
      <c r="K17" s="690" t="s">
        <v>211</v>
      </c>
      <c r="L17" s="691">
        <f t="shared" si="4"/>
        <v>39.565681499999997</v>
      </c>
      <c r="M17" s="691">
        <f t="shared" si="0"/>
        <v>10.5508484</v>
      </c>
      <c r="N17" s="692">
        <f t="shared" si="1"/>
        <v>5.2754241999999998</v>
      </c>
      <c r="O17" s="707">
        <f t="shared" si="2"/>
        <v>5.2754241999999998</v>
      </c>
      <c r="P17" s="691">
        <f t="shared" si="3"/>
        <v>18.463984699999997</v>
      </c>
    </row>
    <row r="18" spans="1:16">
      <c r="A18" s="685">
        <v>16</v>
      </c>
      <c r="B18" s="708" t="s">
        <v>1662</v>
      </c>
      <c r="C18" s="693" t="s">
        <v>931</v>
      </c>
      <c r="D18" s="251">
        <v>37195157</v>
      </c>
      <c r="E18" s="271">
        <v>6076479</v>
      </c>
      <c r="F18" s="694">
        <v>686.6</v>
      </c>
      <c r="G18" s="700">
        <f t="shared" si="5"/>
        <v>50.671080000000003</v>
      </c>
      <c r="H18" s="694">
        <v>0</v>
      </c>
      <c r="I18" s="700">
        <f t="shared" si="6"/>
        <v>635.92892000000006</v>
      </c>
      <c r="J18" s="703" t="s">
        <v>13</v>
      </c>
      <c r="K18" s="694" t="s">
        <v>17</v>
      </c>
      <c r="L18" s="691">
        <f t="shared" si="4"/>
        <v>95.389338000000009</v>
      </c>
      <c r="M18" s="691">
        <f t="shared" si="0"/>
        <v>25.437156800000004</v>
      </c>
      <c r="N18" s="692">
        <f t="shared" si="1"/>
        <v>12.718578400000002</v>
      </c>
      <c r="O18" s="692">
        <f t="shared" si="2"/>
        <v>12.718578400000002</v>
      </c>
      <c r="P18" s="689">
        <f t="shared" si="3"/>
        <v>44.515024400000016</v>
      </c>
    </row>
    <row r="19" spans="1:16">
      <c r="A19" s="685">
        <v>17</v>
      </c>
      <c r="B19" s="710" t="s">
        <v>1663</v>
      </c>
      <c r="C19" s="711" t="s">
        <v>931</v>
      </c>
      <c r="D19" s="251">
        <v>10031111370747</v>
      </c>
      <c r="E19" s="272">
        <v>6117021</v>
      </c>
      <c r="F19" s="690">
        <v>745.82</v>
      </c>
      <c r="G19" s="705">
        <f t="shared" si="5"/>
        <v>55.041516000000009</v>
      </c>
      <c r="H19" s="690">
        <v>0</v>
      </c>
      <c r="I19" s="705">
        <f t="shared" si="6"/>
        <v>690.77848400000005</v>
      </c>
      <c r="J19" s="706" t="s">
        <v>13</v>
      </c>
      <c r="K19" s="690" t="s">
        <v>23</v>
      </c>
      <c r="L19" s="691">
        <f t="shared" si="4"/>
        <v>103.6167726</v>
      </c>
      <c r="M19" s="691">
        <f t="shared" si="0"/>
        <v>27.631139360000002</v>
      </c>
      <c r="N19" s="707">
        <f t="shared" si="1"/>
        <v>13.815569680000001</v>
      </c>
      <c r="O19" s="707">
        <f t="shared" si="2"/>
        <v>13.815569680000001</v>
      </c>
      <c r="P19" s="691">
        <f t="shared" si="3"/>
        <v>48.354493879999993</v>
      </c>
    </row>
    <row r="20" spans="1:16">
      <c r="A20" s="685">
        <v>18</v>
      </c>
      <c r="B20" s="708" t="s">
        <v>1336</v>
      </c>
      <c r="C20" s="711" t="s">
        <v>931</v>
      </c>
      <c r="D20" s="254">
        <v>2848400</v>
      </c>
      <c r="E20" s="268">
        <v>6115987</v>
      </c>
      <c r="F20" s="694">
        <v>522.70000000000005</v>
      </c>
      <c r="G20" s="700">
        <f t="shared" si="5"/>
        <v>38.575260000000007</v>
      </c>
      <c r="H20" s="694">
        <v>48.4</v>
      </c>
      <c r="I20" s="689">
        <f t="shared" si="6"/>
        <v>435.72474000000005</v>
      </c>
      <c r="J20" s="703" t="s">
        <v>16</v>
      </c>
      <c r="K20" s="694" t="s">
        <v>17</v>
      </c>
      <c r="L20" s="691">
        <f t="shared" si="4"/>
        <v>65.358711</v>
      </c>
      <c r="M20" s="691">
        <f t="shared" si="0"/>
        <v>17.428989600000001</v>
      </c>
      <c r="N20" s="692">
        <f t="shared" si="1"/>
        <v>8.7144948000000007</v>
      </c>
      <c r="O20" s="692">
        <f t="shared" si="2"/>
        <v>8.7144948000000007</v>
      </c>
      <c r="P20" s="689">
        <f t="shared" si="3"/>
        <v>30.500731799999993</v>
      </c>
    </row>
    <row r="21" spans="1:16">
      <c r="A21" s="685">
        <v>19</v>
      </c>
      <c r="B21" s="723" t="s">
        <v>1664</v>
      </c>
      <c r="C21" s="392" t="s">
        <v>1648</v>
      </c>
      <c r="D21" s="488" t="s">
        <v>32</v>
      </c>
      <c r="E21" s="724">
        <v>6117303</v>
      </c>
      <c r="F21" s="397">
        <v>536.74</v>
      </c>
      <c r="G21" s="170">
        <f>F21*7.38%</f>
        <v>39.611412000000001</v>
      </c>
      <c r="H21" s="397">
        <v>57.67</v>
      </c>
      <c r="I21" s="170">
        <f>F3-G3-H3</f>
        <v>967.58845400000007</v>
      </c>
      <c r="J21" s="492" t="s">
        <v>13</v>
      </c>
      <c r="K21" s="397" t="s">
        <v>33</v>
      </c>
      <c r="L21" s="170">
        <f t="shared" si="4"/>
        <v>145.1382681</v>
      </c>
      <c r="M21" s="170">
        <f t="shared" si="0"/>
        <v>38.703538160000001</v>
      </c>
      <c r="N21" s="493">
        <f t="shared" si="1"/>
        <v>19.35176908</v>
      </c>
      <c r="O21" s="493">
        <v>19.350000000000001</v>
      </c>
      <c r="P21" s="170">
        <f t="shared" si="3"/>
        <v>67.73296086000002</v>
      </c>
    </row>
    <row r="22" spans="1:16">
      <c r="A22" s="685">
        <v>20</v>
      </c>
      <c r="B22" s="708" t="s">
        <v>1665</v>
      </c>
      <c r="C22" s="695" t="s">
        <v>931</v>
      </c>
      <c r="D22" s="254">
        <v>37413627</v>
      </c>
      <c r="E22" s="268">
        <v>6115513</v>
      </c>
      <c r="F22" s="694">
        <v>501.84</v>
      </c>
      <c r="G22" s="689">
        <f t="shared" si="5"/>
        <v>37.035792000000001</v>
      </c>
      <c r="H22" s="694">
        <v>41.82</v>
      </c>
      <c r="I22" s="689">
        <f t="shared" si="6"/>
        <v>422.98420799999997</v>
      </c>
      <c r="J22" s="703" t="s">
        <v>16</v>
      </c>
      <c r="K22" s="694" t="s">
        <v>17</v>
      </c>
      <c r="L22" s="691">
        <f t="shared" si="4"/>
        <v>63.447631199999989</v>
      </c>
      <c r="M22" s="691">
        <f t="shared" si="0"/>
        <v>16.91936832</v>
      </c>
      <c r="N22" s="692">
        <f t="shared" si="1"/>
        <v>8.4596841600000001</v>
      </c>
      <c r="O22" s="692">
        <f t="shared" si="2"/>
        <v>8.4596841600000001</v>
      </c>
      <c r="P22" s="689">
        <f t="shared" si="3"/>
        <v>29.608894559999982</v>
      </c>
    </row>
    <row r="23" spans="1:16">
      <c r="A23" s="685">
        <v>21</v>
      </c>
      <c r="B23" s="725" t="s">
        <v>1666</v>
      </c>
      <c r="C23" s="392" t="s">
        <v>799</v>
      </c>
      <c r="D23" s="488" t="s">
        <v>32</v>
      </c>
      <c r="E23" s="726">
        <v>6120648</v>
      </c>
      <c r="F23" s="397">
        <v>540.48</v>
      </c>
      <c r="G23" s="170">
        <f t="shared" si="5"/>
        <v>39.887424000000003</v>
      </c>
      <c r="H23" s="397">
        <v>142.77000000000001</v>
      </c>
      <c r="I23" s="170">
        <f t="shared" si="6"/>
        <v>357.82257600000003</v>
      </c>
      <c r="J23" s="492" t="s">
        <v>13</v>
      </c>
      <c r="K23" s="397" t="s">
        <v>17</v>
      </c>
      <c r="L23" s="170">
        <f t="shared" si="4"/>
        <v>53.673386400000005</v>
      </c>
      <c r="M23" s="170">
        <f t="shared" si="0"/>
        <v>14.312903040000002</v>
      </c>
      <c r="N23" s="493">
        <f t="shared" si="1"/>
        <v>7.156451520000001</v>
      </c>
      <c r="O23" s="493">
        <v>7.16</v>
      </c>
      <c r="P23" s="170">
        <f t="shared" si="3"/>
        <v>25.044031839999999</v>
      </c>
    </row>
    <row r="24" spans="1:16">
      <c r="A24" s="685">
        <v>22</v>
      </c>
      <c r="B24" s="710" t="s">
        <v>1667</v>
      </c>
      <c r="C24" s="685" t="s">
        <v>559</v>
      </c>
      <c r="D24" s="251">
        <v>10031111375828</v>
      </c>
      <c r="E24" s="274">
        <v>6120705</v>
      </c>
      <c r="F24" s="690">
        <v>529.96</v>
      </c>
      <c r="G24" s="691">
        <f t="shared" si="5"/>
        <v>39.111048000000004</v>
      </c>
      <c r="H24" s="690">
        <v>176.66</v>
      </c>
      <c r="I24" s="691">
        <f t="shared" si="6"/>
        <v>314.18895200000009</v>
      </c>
      <c r="J24" s="706" t="s">
        <v>13</v>
      </c>
      <c r="K24" s="690" t="s">
        <v>14</v>
      </c>
      <c r="L24" s="691">
        <f t="shared" si="4"/>
        <v>47.128342800000013</v>
      </c>
      <c r="M24" s="691">
        <f t="shared" si="0"/>
        <v>12.567558080000003</v>
      </c>
      <c r="N24" s="707">
        <f t="shared" si="1"/>
        <v>6.2837790400000015</v>
      </c>
      <c r="O24" s="707">
        <f t="shared" si="2"/>
        <v>6.2837790400000015</v>
      </c>
      <c r="P24" s="691">
        <f t="shared" si="3"/>
        <v>21.993226640000003</v>
      </c>
    </row>
    <row r="25" spans="1:16">
      <c r="A25" s="685">
        <v>23</v>
      </c>
      <c r="B25" s="499" t="s">
        <v>1668</v>
      </c>
      <c r="C25" s="327" t="s">
        <v>931</v>
      </c>
      <c r="D25" s="400">
        <v>100311111375051</v>
      </c>
      <c r="E25" s="495">
        <v>6120378</v>
      </c>
      <c r="F25" s="294">
        <v>1104.5</v>
      </c>
      <c r="G25" s="294">
        <f t="shared" si="5"/>
        <v>81.512100000000004</v>
      </c>
      <c r="H25" s="294">
        <v>118.68</v>
      </c>
      <c r="I25" s="293">
        <f t="shared" si="6"/>
        <v>904.30790000000002</v>
      </c>
      <c r="J25" s="329" t="s">
        <v>13</v>
      </c>
      <c r="K25" s="294" t="s">
        <v>410</v>
      </c>
      <c r="L25" s="293">
        <f t="shared" si="4"/>
        <v>135.646185</v>
      </c>
      <c r="M25" s="293">
        <f t="shared" si="0"/>
        <v>36.172316000000002</v>
      </c>
      <c r="N25" s="296">
        <f t="shared" si="1"/>
        <v>18.086158000000001</v>
      </c>
      <c r="O25" s="296">
        <f t="shared" si="2"/>
        <v>18.086158000000001</v>
      </c>
      <c r="P25" s="294">
        <f t="shared" si="3"/>
        <v>63.301553000000013</v>
      </c>
    </row>
    <row r="26" spans="1:16">
      <c r="A26" s="685">
        <v>24</v>
      </c>
      <c r="B26" s="712" t="s">
        <v>1669</v>
      </c>
      <c r="C26" s="713" t="s">
        <v>1648</v>
      </c>
      <c r="D26" s="277">
        <v>2848141</v>
      </c>
      <c r="E26" s="278">
        <v>6118965</v>
      </c>
      <c r="F26" s="694">
        <v>459.72</v>
      </c>
      <c r="G26" s="689">
        <f t="shared" si="5"/>
        <v>33.927336000000004</v>
      </c>
      <c r="H26" s="694">
        <v>114.93</v>
      </c>
      <c r="I26" s="691">
        <f t="shared" si="6"/>
        <v>310.862664</v>
      </c>
      <c r="J26" s="713" t="s">
        <v>16</v>
      </c>
      <c r="K26" s="713" t="s">
        <v>14</v>
      </c>
      <c r="L26" s="691">
        <f t="shared" si="4"/>
        <v>46.629399599999999</v>
      </c>
      <c r="M26" s="691">
        <f t="shared" si="0"/>
        <v>12.434506560000001</v>
      </c>
      <c r="N26" s="692">
        <f t="shared" si="1"/>
        <v>6.2172532800000004</v>
      </c>
      <c r="O26" s="692">
        <f t="shared" si="2"/>
        <v>6.2172532800000004</v>
      </c>
      <c r="P26" s="689">
        <f t="shared" si="3"/>
        <v>21.760386479999994</v>
      </c>
    </row>
    <row r="27" spans="1:16">
      <c r="A27" s="685">
        <v>25</v>
      </c>
      <c r="B27" s="686" t="s">
        <v>1670</v>
      </c>
      <c r="C27" s="695" t="s">
        <v>1648</v>
      </c>
      <c r="D27" s="369">
        <v>100311111372566</v>
      </c>
      <c r="E27" s="268">
        <v>6118650</v>
      </c>
      <c r="F27" s="694">
        <v>557.86</v>
      </c>
      <c r="G27" s="689">
        <f t="shared" si="5"/>
        <v>41.170068000000001</v>
      </c>
      <c r="H27" s="694">
        <v>68.81</v>
      </c>
      <c r="I27" s="691">
        <f t="shared" si="6"/>
        <v>447.879932</v>
      </c>
      <c r="J27" s="703" t="s">
        <v>13</v>
      </c>
      <c r="K27" s="694" t="s">
        <v>235</v>
      </c>
      <c r="L27" s="691">
        <f t="shared" si="4"/>
        <v>67.181989799999997</v>
      </c>
      <c r="M27" s="691">
        <f t="shared" si="0"/>
        <v>17.915197280000001</v>
      </c>
      <c r="N27" s="692">
        <f t="shared" si="1"/>
        <v>8.9575986400000005</v>
      </c>
      <c r="O27" s="692">
        <f t="shared" si="2"/>
        <v>8.9575986400000005</v>
      </c>
      <c r="P27" s="689">
        <f t="shared" si="3"/>
        <v>31.351595239999995</v>
      </c>
    </row>
    <row r="28" spans="1:16">
      <c r="A28" s="685">
        <v>26</v>
      </c>
      <c r="B28" s="686" t="s">
        <v>1671</v>
      </c>
      <c r="C28" s="695" t="s">
        <v>1180</v>
      </c>
      <c r="D28" s="254">
        <v>37196977</v>
      </c>
      <c r="E28" s="268">
        <v>6114771</v>
      </c>
      <c r="F28" s="694">
        <v>493.56</v>
      </c>
      <c r="G28" s="689">
        <f t="shared" si="5"/>
        <v>36.424728000000002</v>
      </c>
      <c r="H28" s="694">
        <v>49.31</v>
      </c>
      <c r="I28" s="691">
        <f t="shared" si="6"/>
        <v>407.82527199999998</v>
      </c>
      <c r="J28" s="703" t="s">
        <v>16</v>
      </c>
      <c r="K28" s="694" t="s">
        <v>211</v>
      </c>
      <c r="L28" s="691">
        <f t="shared" si="4"/>
        <v>61.173790799999992</v>
      </c>
      <c r="M28" s="691">
        <f t="shared" si="0"/>
        <v>16.31301088</v>
      </c>
      <c r="N28" s="692">
        <f t="shared" si="1"/>
        <v>8.1565054400000001</v>
      </c>
      <c r="O28" s="692">
        <f t="shared" si="2"/>
        <v>8.1565054400000001</v>
      </c>
      <c r="P28" s="689">
        <f t="shared" si="3"/>
        <v>28.547769039999995</v>
      </c>
    </row>
    <row r="29" spans="1:16">
      <c r="A29" s="685">
        <v>27</v>
      </c>
      <c r="B29" s="686" t="s">
        <v>1672</v>
      </c>
      <c r="C29" s="695" t="s">
        <v>1648</v>
      </c>
      <c r="D29" s="254">
        <v>100311111370215</v>
      </c>
      <c r="E29" s="268">
        <v>6118174</v>
      </c>
      <c r="F29" s="694">
        <v>552.97</v>
      </c>
      <c r="G29" s="689">
        <f t="shared" si="5"/>
        <v>40.809186000000004</v>
      </c>
      <c r="H29" s="694">
        <v>59.42</v>
      </c>
      <c r="I29" s="691">
        <f t="shared" si="6"/>
        <v>452.74081400000006</v>
      </c>
      <c r="J29" s="703" t="s">
        <v>13</v>
      </c>
      <c r="K29" s="694" t="s">
        <v>211</v>
      </c>
      <c r="L29" s="691">
        <f t="shared" si="4"/>
        <v>67.9111221</v>
      </c>
      <c r="M29" s="691">
        <f t="shared" si="0"/>
        <v>18.109632560000001</v>
      </c>
      <c r="N29" s="692">
        <f t="shared" si="1"/>
        <v>9.0548162800000007</v>
      </c>
      <c r="O29" s="692">
        <f t="shared" si="2"/>
        <v>9.0548162800000007</v>
      </c>
      <c r="P29" s="689">
        <f t="shared" si="3"/>
        <v>31.691856979999994</v>
      </c>
    </row>
    <row r="30" spans="1:16">
      <c r="A30" s="685">
        <v>28</v>
      </c>
      <c r="B30" s="686" t="s">
        <v>1673</v>
      </c>
      <c r="C30" s="695" t="s">
        <v>1180</v>
      </c>
      <c r="D30" s="254">
        <v>2857175</v>
      </c>
      <c r="E30" s="268">
        <v>6124302</v>
      </c>
      <c r="F30" s="694">
        <v>580</v>
      </c>
      <c r="G30" s="689">
        <f t="shared" si="5"/>
        <v>42.804000000000002</v>
      </c>
      <c r="H30" s="694">
        <v>48.33</v>
      </c>
      <c r="I30" s="691">
        <f t="shared" si="6"/>
        <v>488.86600000000004</v>
      </c>
      <c r="J30" s="703" t="s">
        <v>16</v>
      </c>
      <c r="K30" s="694" t="s">
        <v>25</v>
      </c>
      <c r="L30" s="691">
        <f t="shared" si="4"/>
        <v>73.329900000000009</v>
      </c>
      <c r="M30" s="691">
        <f t="shared" si="0"/>
        <v>19.554640000000003</v>
      </c>
      <c r="N30" s="692">
        <f t="shared" si="1"/>
        <v>9.7773200000000013</v>
      </c>
      <c r="O30" s="692">
        <f t="shared" si="2"/>
        <v>9.7773200000000013</v>
      </c>
      <c r="P30" s="689">
        <f t="shared" si="3"/>
        <v>34.220619999999997</v>
      </c>
    </row>
    <row r="31" spans="1:16">
      <c r="A31" s="685">
        <v>29</v>
      </c>
      <c r="B31" s="339" t="s">
        <v>1674</v>
      </c>
      <c r="C31" s="327" t="s">
        <v>1648</v>
      </c>
      <c r="D31" s="400">
        <v>37409791</v>
      </c>
      <c r="E31" s="495">
        <v>6121260</v>
      </c>
      <c r="F31" s="294">
        <v>372.96</v>
      </c>
      <c r="G31" s="294">
        <f t="shared" si="5"/>
        <v>27.524448</v>
      </c>
      <c r="H31" s="294">
        <v>93.24</v>
      </c>
      <c r="I31" s="293">
        <f t="shared" si="6"/>
        <v>252.19555199999996</v>
      </c>
      <c r="J31" s="329" t="s">
        <v>16</v>
      </c>
      <c r="K31" s="294" t="s">
        <v>14</v>
      </c>
      <c r="L31" s="293">
        <f t="shared" si="4"/>
        <v>37.829332799999996</v>
      </c>
      <c r="M31" s="293">
        <f t="shared" si="0"/>
        <v>10.087822079999999</v>
      </c>
      <c r="N31" s="296">
        <f t="shared" si="1"/>
        <v>5.0439110399999993</v>
      </c>
      <c r="O31" s="296">
        <f t="shared" si="2"/>
        <v>5.0439110399999993</v>
      </c>
      <c r="P31" s="294">
        <f t="shared" si="3"/>
        <v>17.653688639999999</v>
      </c>
    </row>
    <row r="32" spans="1:16">
      <c r="A32" s="685">
        <v>30</v>
      </c>
      <c r="B32" s="686" t="s">
        <v>1675</v>
      </c>
      <c r="C32" s="695" t="s">
        <v>1180</v>
      </c>
      <c r="D32" s="254">
        <v>2851070</v>
      </c>
      <c r="E32" s="280">
        <v>6123557</v>
      </c>
      <c r="F32" s="694">
        <v>578.85</v>
      </c>
      <c r="G32" s="689">
        <f t="shared" si="5"/>
        <v>42.719130000000007</v>
      </c>
      <c r="H32" s="694">
        <v>57.89</v>
      </c>
      <c r="I32" s="691">
        <f t="shared" si="6"/>
        <v>478.24086999999997</v>
      </c>
      <c r="J32" s="703" t="s">
        <v>16</v>
      </c>
      <c r="K32" s="694" t="s">
        <v>49</v>
      </c>
      <c r="L32" s="691">
        <f t="shared" si="4"/>
        <v>71.736130499999987</v>
      </c>
      <c r="M32" s="691">
        <f t="shared" si="0"/>
        <v>19.129634799999998</v>
      </c>
      <c r="N32" s="692">
        <f t="shared" si="1"/>
        <v>9.564817399999999</v>
      </c>
      <c r="O32" s="692">
        <f t="shared" si="2"/>
        <v>9.564817399999999</v>
      </c>
      <c r="P32" s="689">
        <f t="shared" si="3"/>
        <v>33.476860899999991</v>
      </c>
    </row>
    <row r="33" spans="1:16">
      <c r="A33" s="685">
        <v>31</v>
      </c>
      <c r="B33" s="686" t="s">
        <v>1676</v>
      </c>
      <c r="C33" s="695" t="s">
        <v>1648</v>
      </c>
      <c r="D33" s="254">
        <v>37406036</v>
      </c>
      <c r="E33" s="280">
        <v>6121404</v>
      </c>
      <c r="F33" s="694">
        <v>387.77</v>
      </c>
      <c r="G33" s="689">
        <f t="shared" si="5"/>
        <v>28.617426000000002</v>
      </c>
      <c r="H33" s="694">
        <v>96.77</v>
      </c>
      <c r="I33" s="691">
        <f t="shared" si="6"/>
        <v>262.38257399999998</v>
      </c>
      <c r="J33" s="703" t="s">
        <v>16</v>
      </c>
      <c r="K33" s="694" t="s">
        <v>211</v>
      </c>
      <c r="L33" s="691">
        <f t="shared" si="4"/>
        <v>39.357386099999992</v>
      </c>
      <c r="M33" s="691">
        <f t="shared" si="0"/>
        <v>10.49530296</v>
      </c>
      <c r="N33" s="692">
        <f t="shared" si="1"/>
        <v>5.24765148</v>
      </c>
      <c r="O33" s="692">
        <f t="shared" si="2"/>
        <v>5.24765148</v>
      </c>
      <c r="P33" s="689">
        <f t="shared" si="3"/>
        <v>18.366780179999992</v>
      </c>
    </row>
    <row r="34" spans="1:16">
      <c r="A34" s="685">
        <v>32</v>
      </c>
      <c r="B34" s="686" t="s">
        <v>1677</v>
      </c>
      <c r="C34" s="695" t="s">
        <v>12</v>
      </c>
      <c r="D34" s="254">
        <v>100311111381462</v>
      </c>
      <c r="E34" s="280">
        <v>6122720</v>
      </c>
      <c r="F34" s="694">
        <v>604.02</v>
      </c>
      <c r="G34" s="689">
        <f t="shared" si="5"/>
        <v>44.576675999999999</v>
      </c>
      <c r="H34" s="694">
        <v>62.86</v>
      </c>
      <c r="I34" s="691">
        <f t="shared" si="6"/>
        <v>496.58332399999995</v>
      </c>
      <c r="J34" s="703" t="s">
        <v>13</v>
      </c>
      <c r="K34" s="694" t="s">
        <v>17</v>
      </c>
      <c r="L34" s="691">
        <f t="shared" si="4"/>
        <v>74.487498599999995</v>
      </c>
      <c r="M34" s="691">
        <f t="shared" si="0"/>
        <v>19.863332959999997</v>
      </c>
      <c r="N34" s="692">
        <f t="shared" si="1"/>
        <v>9.9316664799999987</v>
      </c>
      <c r="O34" s="692">
        <f t="shared" si="2"/>
        <v>9.9316664799999987</v>
      </c>
      <c r="P34" s="689">
        <f t="shared" si="3"/>
        <v>34.760832680000007</v>
      </c>
    </row>
    <row r="35" spans="1:16">
      <c r="A35" s="685">
        <v>33</v>
      </c>
      <c r="B35" s="686" t="s">
        <v>1678</v>
      </c>
      <c r="C35" s="695" t="s">
        <v>12</v>
      </c>
      <c r="D35" s="437">
        <v>2855407</v>
      </c>
      <c r="E35" s="280">
        <v>6125464</v>
      </c>
      <c r="F35" s="694">
        <v>593.51</v>
      </c>
      <c r="G35" s="689">
        <f t="shared" si="5"/>
        <v>43.801038000000005</v>
      </c>
      <c r="H35" s="694">
        <v>0</v>
      </c>
      <c r="I35" s="691">
        <f t="shared" si="6"/>
        <v>549.70896199999993</v>
      </c>
      <c r="J35" s="703" t="s">
        <v>13</v>
      </c>
      <c r="K35" s="694" t="s">
        <v>164</v>
      </c>
      <c r="L35" s="691">
        <f t="shared" si="4"/>
        <v>82.456344299999984</v>
      </c>
      <c r="M35" s="691">
        <f t="shared" si="0"/>
        <v>21.988358479999999</v>
      </c>
      <c r="N35" s="692">
        <f t="shared" si="1"/>
        <v>10.994179239999999</v>
      </c>
      <c r="O35" s="692">
        <f t="shared" si="2"/>
        <v>10.994179239999999</v>
      </c>
      <c r="P35" s="689">
        <f t="shared" si="3"/>
        <v>38.479627339999979</v>
      </c>
    </row>
    <row r="36" spans="1:16">
      <c r="A36" s="685">
        <v>34</v>
      </c>
      <c r="B36" s="686" t="s">
        <v>1679</v>
      </c>
      <c r="C36" s="695" t="s">
        <v>1680</v>
      </c>
      <c r="D36" s="254">
        <v>100311111384435</v>
      </c>
      <c r="E36" s="280">
        <v>6124809</v>
      </c>
      <c r="F36" s="694">
        <v>709.23</v>
      </c>
      <c r="G36" s="689">
        <f t="shared" si="5"/>
        <v>52.341174000000002</v>
      </c>
      <c r="H36" s="694">
        <v>187.35</v>
      </c>
      <c r="I36" s="691">
        <f t="shared" si="6"/>
        <v>469.53882599999997</v>
      </c>
      <c r="J36" s="703" t="s">
        <v>13</v>
      </c>
      <c r="K36" s="694" t="s">
        <v>49</v>
      </c>
      <c r="L36" s="691">
        <f t="shared" si="4"/>
        <v>70.430823899999993</v>
      </c>
      <c r="M36" s="691">
        <f t="shared" si="0"/>
        <v>18.781553039999999</v>
      </c>
      <c r="N36" s="692">
        <f t="shared" si="1"/>
        <v>9.3907765199999993</v>
      </c>
      <c r="O36" s="692">
        <f t="shared" si="2"/>
        <v>9.3907765199999993</v>
      </c>
      <c r="P36" s="689">
        <f t="shared" si="3"/>
        <v>32.867717819999996</v>
      </c>
    </row>
    <row r="37" spans="1:16">
      <c r="A37" s="685">
        <v>35</v>
      </c>
      <c r="B37" s="686" t="s">
        <v>1681</v>
      </c>
      <c r="C37" s="695" t="s">
        <v>190</v>
      </c>
      <c r="D37" s="280">
        <v>100311111384361</v>
      </c>
      <c r="E37" s="280">
        <v>6124924</v>
      </c>
      <c r="F37" s="694">
        <v>504.79</v>
      </c>
      <c r="G37" s="689">
        <f t="shared" si="5"/>
        <v>37.253502000000005</v>
      </c>
      <c r="H37" s="694">
        <v>54.24</v>
      </c>
      <c r="I37" s="691">
        <f t="shared" si="6"/>
        <v>413.29649799999999</v>
      </c>
      <c r="J37" s="703" t="s">
        <v>13</v>
      </c>
      <c r="K37" s="694" t="s">
        <v>25</v>
      </c>
      <c r="L37" s="691">
        <f t="shared" si="4"/>
        <v>61.994474699999998</v>
      </c>
      <c r="M37" s="691">
        <f t="shared" si="0"/>
        <v>16.531859919999999</v>
      </c>
      <c r="N37" s="692">
        <f t="shared" si="1"/>
        <v>8.2659299599999994</v>
      </c>
      <c r="O37" s="692">
        <f t="shared" si="2"/>
        <v>8.2659299599999994</v>
      </c>
      <c r="P37" s="689">
        <f t="shared" si="3"/>
        <v>28.930754859999993</v>
      </c>
    </row>
    <row r="38" spans="1:16">
      <c r="A38" s="685">
        <v>36</v>
      </c>
      <c r="B38" s="686" t="s">
        <v>1682</v>
      </c>
      <c r="C38" s="695" t="s">
        <v>1648</v>
      </c>
      <c r="D38" s="254">
        <v>100311111384326</v>
      </c>
      <c r="E38" s="280">
        <v>6120251</v>
      </c>
      <c r="F38" s="694">
        <v>472.9</v>
      </c>
      <c r="G38" s="689">
        <f t="shared" si="5"/>
        <v>34.900019999999998</v>
      </c>
      <c r="H38" s="694">
        <v>0</v>
      </c>
      <c r="I38" s="691">
        <f t="shared" si="6"/>
        <v>437.99997999999999</v>
      </c>
      <c r="J38" s="703" t="s">
        <v>13</v>
      </c>
      <c r="K38" s="694" t="s">
        <v>20</v>
      </c>
      <c r="L38" s="691">
        <f t="shared" si="4"/>
        <v>65.699996999999996</v>
      </c>
      <c r="M38" s="691">
        <f t="shared" si="0"/>
        <v>17.519999200000001</v>
      </c>
      <c r="N38" s="692">
        <f t="shared" si="1"/>
        <v>8.7599996000000004</v>
      </c>
      <c r="O38" s="692">
        <f t="shared" si="2"/>
        <v>8.7599996000000004</v>
      </c>
      <c r="P38" s="689">
        <f t="shared" si="3"/>
        <v>30.659998599999994</v>
      </c>
    </row>
    <row r="39" spans="1:16">
      <c r="A39" s="685">
        <v>37</v>
      </c>
      <c r="B39" s="686" t="s">
        <v>1683</v>
      </c>
      <c r="C39" s="695" t="s">
        <v>29</v>
      </c>
      <c r="D39" s="254">
        <v>100311111384415</v>
      </c>
      <c r="E39" s="280" t="s">
        <v>1684</v>
      </c>
      <c r="F39" s="694">
        <v>625.08000000000004</v>
      </c>
      <c r="G39" s="689">
        <f t="shared" si="5"/>
        <v>46.130904000000008</v>
      </c>
      <c r="H39" s="694">
        <v>208.36</v>
      </c>
      <c r="I39" s="691">
        <f t="shared" si="6"/>
        <v>370.58909600000004</v>
      </c>
      <c r="J39" s="703" t="s">
        <v>13</v>
      </c>
      <c r="K39" s="694" t="s">
        <v>17</v>
      </c>
      <c r="L39" s="691">
        <f t="shared" si="4"/>
        <v>55.588364400000003</v>
      </c>
      <c r="M39" s="691">
        <f t="shared" si="0"/>
        <v>14.823563840000002</v>
      </c>
      <c r="N39" s="692">
        <f t="shared" si="1"/>
        <v>7.411781920000001</v>
      </c>
      <c r="O39" s="692">
        <f t="shared" si="2"/>
        <v>7.411781920000001</v>
      </c>
      <c r="P39" s="689">
        <f t="shared" si="3"/>
        <v>25.941236719999992</v>
      </c>
    </row>
    <row r="40" spans="1:16">
      <c r="A40" s="685">
        <v>38</v>
      </c>
      <c r="B40" s="686" t="s">
        <v>1685</v>
      </c>
      <c r="C40" s="695" t="s">
        <v>368</v>
      </c>
      <c r="D40" s="254">
        <v>37468520</v>
      </c>
      <c r="E40" s="280" t="s">
        <v>1686</v>
      </c>
      <c r="F40" s="694">
        <v>560.32000000000005</v>
      </c>
      <c r="G40" s="689">
        <f t="shared" si="5"/>
        <v>41.351616000000007</v>
      </c>
      <c r="H40" s="694">
        <v>140.08000000000001</v>
      </c>
      <c r="I40" s="691">
        <f t="shared" si="6"/>
        <v>378.88838399999997</v>
      </c>
      <c r="J40" s="703" t="s">
        <v>13</v>
      </c>
      <c r="K40" s="694" t="s">
        <v>17</v>
      </c>
      <c r="L40" s="691">
        <f t="shared" si="4"/>
        <v>56.833257599999996</v>
      </c>
      <c r="M40" s="691">
        <f t="shared" si="0"/>
        <v>15.15553536</v>
      </c>
      <c r="N40" s="692">
        <f t="shared" si="1"/>
        <v>7.57776768</v>
      </c>
      <c r="O40" s="692">
        <f t="shared" si="2"/>
        <v>7.57776768</v>
      </c>
      <c r="P40" s="689">
        <f t="shared" si="3"/>
        <v>26.522186879999992</v>
      </c>
    </row>
    <row r="41" spans="1:16">
      <c r="A41" s="685">
        <v>39</v>
      </c>
      <c r="B41" s="686" t="s">
        <v>1687</v>
      </c>
      <c r="C41" s="695" t="s">
        <v>559</v>
      </c>
      <c r="D41" s="254">
        <v>37418718</v>
      </c>
      <c r="E41" s="280">
        <v>6128376</v>
      </c>
      <c r="F41" s="694">
        <v>598.54</v>
      </c>
      <c r="G41" s="689">
        <f t="shared" si="5"/>
        <v>44.172252</v>
      </c>
      <c r="H41" s="694">
        <v>149.54</v>
      </c>
      <c r="I41" s="691">
        <f t="shared" si="6"/>
        <v>404.82774800000004</v>
      </c>
      <c r="J41" s="703" t="s">
        <v>13</v>
      </c>
      <c r="K41" s="694" t="s">
        <v>49</v>
      </c>
      <c r="L41" s="691">
        <f t="shared" si="4"/>
        <v>60.724162200000002</v>
      </c>
      <c r="M41" s="691">
        <f t="shared" si="0"/>
        <v>16.193109920000001</v>
      </c>
      <c r="N41" s="692">
        <f t="shared" si="1"/>
        <v>8.0965549600000006</v>
      </c>
      <c r="O41" s="692">
        <f t="shared" si="2"/>
        <v>8.0965549600000006</v>
      </c>
      <c r="P41" s="689">
        <f t="shared" si="3"/>
        <v>28.33794236</v>
      </c>
    </row>
    <row r="42" spans="1:16">
      <c r="A42" s="685">
        <v>40</v>
      </c>
      <c r="B42" s="686" t="s">
        <v>1688</v>
      </c>
      <c r="C42" s="695" t="s">
        <v>52</v>
      </c>
      <c r="D42" s="254">
        <v>10031111139837</v>
      </c>
      <c r="E42" s="280">
        <v>6128025</v>
      </c>
      <c r="F42" s="694">
        <v>513.27</v>
      </c>
      <c r="G42" s="689">
        <f t="shared" si="5"/>
        <v>37.879325999999999</v>
      </c>
      <c r="H42" s="694">
        <v>63.31</v>
      </c>
      <c r="I42" s="691">
        <f t="shared" si="6"/>
        <v>412.08067399999999</v>
      </c>
      <c r="J42" s="703" t="s">
        <v>13</v>
      </c>
      <c r="K42" s="694" t="s">
        <v>235</v>
      </c>
      <c r="L42" s="691">
        <f t="shared" si="4"/>
        <v>61.812101099999992</v>
      </c>
      <c r="M42" s="691">
        <f t="shared" si="0"/>
        <v>16.48322696</v>
      </c>
      <c r="N42" s="692">
        <f t="shared" si="1"/>
        <v>8.2416134799999998</v>
      </c>
      <c r="O42" s="692">
        <f t="shared" si="2"/>
        <v>8.2416134799999998</v>
      </c>
      <c r="P42" s="689">
        <f t="shared" si="3"/>
        <v>28.84564718</v>
      </c>
    </row>
    <row r="43" spans="1:16">
      <c r="A43" s="685">
        <v>41</v>
      </c>
      <c r="B43" s="686" t="s">
        <v>1689</v>
      </c>
      <c r="C43" s="695" t="s">
        <v>12</v>
      </c>
      <c r="D43" s="254">
        <v>100311111389709</v>
      </c>
      <c r="E43" s="280">
        <v>6128003</v>
      </c>
      <c r="F43" s="694">
        <v>552.73</v>
      </c>
      <c r="G43" s="689">
        <f t="shared" si="5"/>
        <v>40.791474000000001</v>
      </c>
      <c r="H43" s="694">
        <v>68.17</v>
      </c>
      <c r="I43" s="691">
        <f t="shared" si="6"/>
        <v>443.76852600000001</v>
      </c>
      <c r="J43" s="703" t="s">
        <v>13</v>
      </c>
      <c r="K43" s="694" t="s">
        <v>235</v>
      </c>
      <c r="L43" s="691">
        <f t="shared" si="4"/>
        <v>66.565278899999996</v>
      </c>
      <c r="M43" s="691">
        <f t="shared" si="0"/>
        <v>17.750741040000001</v>
      </c>
      <c r="N43" s="692">
        <f t="shared" si="1"/>
        <v>8.8753705200000006</v>
      </c>
      <c r="O43" s="692">
        <f t="shared" si="2"/>
        <v>8.8753705200000006</v>
      </c>
      <c r="P43" s="689">
        <f t="shared" si="3"/>
        <v>31.063796819999997</v>
      </c>
    </row>
    <row r="44" spans="1:16">
      <c r="A44" s="685">
        <v>42</v>
      </c>
      <c r="B44" s="686" t="s">
        <v>1690</v>
      </c>
      <c r="C44" s="695" t="s">
        <v>1648</v>
      </c>
      <c r="D44" s="254">
        <v>100311111387054</v>
      </c>
      <c r="E44" s="280">
        <v>6088153</v>
      </c>
      <c r="F44" s="694">
        <v>518.1</v>
      </c>
      <c r="G44" s="689">
        <f t="shared" si="5"/>
        <v>38.235780000000005</v>
      </c>
      <c r="H44" s="694">
        <v>0</v>
      </c>
      <c r="I44" s="691">
        <f t="shared" si="6"/>
        <v>479.86422000000005</v>
      </c>
      <c r="J44" s="703" t="s">
        <v>13</v>
      </c>
      <c r="K44" s="694" t="s">
        <v>20</v>
      </c>
      <c r="L44" s="691">
        <f t="shared" si="4"/>
        <v>71.979633000000007</v>
      </c>
      <c r="M44" s="691">
        <f t="shared" si="0"/>
        <v>19.194568800000003</v>
      </c>
      <c r="N44" s="692">
        <f t="shared" si="1"/>
        <v>9.5972844000000013</v>
      </c>
      <c r="O44" s="692">
        <f t="shared" si="2"/>
        <v>9.5972844000000013</v>
      </c>
      <c r="P44" s="689">
        <f t="shared" si="3"/>
        <v>33.590495400000009</v>
      </c>
    </row>
    <row r="45" spans="1:16">
      <c r="A45" s="685">
        <v>43</v>
      </c>
      <c r="B45" s="686" t="s">
        <v>1691</v>
      </c>
      <c r="C45" s="695" t="s">
        <v>31</v>
      </c>
      <c r="D45" s="254">
        <v>374227886</v>
      </c>
      <c r="E45" s="280">
        <v>6131449</v>
      </c>
      <c r="F45" s="694">
        <v>831.28</v>
      </c>
      <c r="G45" s="689">
        <f t="shared" si="5"/>
        <v>61.348464</v>
      </c>
      <c r="H45" s="694">
        <v>415.64</v>
      </c>
      <c r="I45" s="691">
        <f t="shared" si="6"/>
        <v>354.29153599999995</v>
      </c>
      <c r="J45" s="703" t="s">
        <v>13</v>
      </c>
      <c r="K45" s="694" t="s">
        <v>266</v>
      </c>
      <c r="L45" s="691">
        <f t="shared" si="4"/>
        <v>53.143730399999988</v>
      </c>
      <c r="M45" s="691">
        <f t="shared" si="0"/>
        <v>14.171661439999998</v>
      </c>
      <c r="N45" s="692">
        <f t="shared" si="1"/>
        <v>7.0858307199999988</v>
      </c>
      <c r="O45" s="692">
        <f t="shared" si="2"/>
        <v>7.0858307199999988</v>
      </c>
      <c r="P45" s="689">
        <f t="shared" si="3"/>
        <v>24.800407519999993</v>
      </c>
    </row>
    <row r="46" spans="1:16">
      <c r="A46" s="685">
        <v>44</v>
      </c>
      <c r="B46" s="686" t="s">
        <v>1692</v>
      </c>
      <c r="C46" s="695" t="s">
        <v>799</v>
      </c>
      <c r="D46" s="281">
        <v>100311111397471</v>
      </c>
      <c r="E46" s="280">
        <v>6128488</v>
      </c>
      <c r="F46" s="694">
        <v>574.29</v>
      </c>
      <c r="G46" s="689">
        <f t="shared" si="5"/>
        <v>42.382601999999999</v>
      </c>
      <c r="H46" s="694">
        <v>151.69999999999999</v>
      </c>
      <c r="I46" s="691">
        <f t="shared" si="6"/>
        <v>380.20739799999996</v>
      </c>
      <c r="J46" s="703" t="s">
        <v>13</v>
      </c>
      <c r="K46" s="694" t="s">
        <v>207</v>
      </c>
      <c r="L46" s="691">
        <f t="shared" si="4"/>
        <v>57.031109699999995</v>
      </c>
      <c r="M46" s="691">
        <f t="shared" si="0"/>
        <v>15.208295919999998</v>
      </c>
      <c r="N46" s="692">
        <f t="shared" si="1"/>
        <v>7.6041479599999988</v>
      </c>
      <c r="O46" s="692">
        <f t="shared" si="2"/>
        <v>7.6041479599999988</v>
      </c>
      <c r="P46" s="689">
        <f t="shared" si="3"/>
        <v>26.614517859999999</v>
      </c>
    </row>
    <row r="47" spans="1:16">
      <c r="A47" s="685">
        <v>45</v>
      </c>
      <c r="B47" s="686" t="s">
        <v>1693</v>
      </c>
      <c r="C47" s="695" t="s">
        <v>1648</v>
      </c>
      <c r="D47" s="254">
        <v>100311111396360</v>
      </c>
      <c r="E47" s="280">
        <v>6130894</v>
      </c>
      <c r="F47" s="694">
        <v>524.88</v>
      </c>
      <c r="G47" s="689">
        <f t="shared" si="5"/>
        <v>38.736144000000003</v>
      </c>
      <c r="H47" s="694">
        <v>138.65</v>
      </c>
      <c r="I47" s="691">
        <f t="shared" si="6"/>
        <v>347.49385599999994</v>
      </c>
      <c r="J47" s="703" t="s">
        <v>13</v>
      </c>
      <c r="K47" s="694" t="s">
        <v>1358</v>
      </c>
      <c r="L47" s="691">
        <f t="shared" si="4"/>
        <v>52.124078399999988</v>
      </c>
      <c r="M47" s="691">
        <f t="shared" si="0"/>
        <v>13.899754239999998</v>
      </c>
      <c r="N47" s="692">
        <f t="shared" si="1"/>
        <v>6.9498771199999991</v>
      </c>
      <c r="O47" s="692">
        <f t="shared" si="2"/>
        <v>6.9498771199999991</v>
      </c>
      <c r="P47" s="689">
        <f t="shared" si="3"/>
        <v>24.324569919999988</v>
      </c>
    </row>
    <row r="48" spans="1:16">
      <c r="A48" s="685">
        <v>46</v>
      </c>
      <c r="B48" s="686" t="s">
        <v>1694</v>
      </c>
      <c r="C48" s="695" t="s">
        <v>931</v>
      </c>
      <c r="D48" s="254">
        <v>10031111394455</v>
      </c>
      <c r="E48" s="280" t="s">
        <v>1695</v>
      </c>
      <c r="F48" s="694">
        <v>545.44000000000005</v>
      </c>
      <c r="G48" s="689">
        <f t="shared" si="5"/>
        <v>40.253472000000009</v>
      </c>
      <c r="H48" s="694">
        <v>58.16</v>
      </c>
      <c r="I48" s="691">
        <f t="shared" si="6"/>
        <v>447.0265280000001</v>
      </c>
      <c r="J48" s="703" t="s">
        <v>13</v>
      </c>
      <c r="K48" s="694" t="s">
        <v>17</v>
      </c>
      <c r="L48" s="691">
        <f t="shared" si="4"/>
        <v>67.053979200000015</v>
      </c>
      <c r="M48" s="691">
        <f t="shared" si="0"/>
        <v>17.881061120000005</v>
      </c>
      <c r="N48" s="692">
        <f t="shared" si="1"/>
        <v>8.9405305600000027</v>
      </c>
      <c r="O48" s="692">
        <f t="shared" si="2"/>
        <v>8.9405305600000027</v>
      </c>
      <c r="P48" s="689">
        <f t="shared" si="3"/>
        <v>31.29185696</v>
      </c>
    </row>
    <row r="49" spans="1:16">
      <c r="A49" s="685">
        <v>47</v>
      </c>
      <c r="B49" s="686" t="s">
        <v>1696</v>
      </c>
      <c r="C49" s="695" t="s">
        <v>931</v>
      </c>
      <c r="D49" s="254">
        <v>37437134</v>
      </c>
      <c r="E49" s="280">
        <v>6135486</v>
      </c>
      <c r="F49" s="694">
        <v>1028.6400000000001</v>
      </c>
      <c r="G49" s="689">
        <f t="shared" si="5"/>
        <v>75.913632000000007</v>
      </c>
      <c r="H49" s="694">
        <v>85.72</v>
      </c>
      <c r="I49" s="691">
        <f t="shared" si="6"/>
        <v>867.00636800000007</v>
      </c>
      <c r="J49" s="703" t="s">
        <v>16</v>
      </c>
      <c r="K49" s="694" t="s">
        <v>14</v>
      </c>
      <c r="L49" s="691">
        <f t="shared" si="4"/>
        <v>130.0509552</v>
      </c>
      <c r="M49" s="691">
        <f t="shared" si="0"/>
        <v>34.680254720000001</v>
      </c>
      <c r="N49" s="692">
        <f t="shared" si="1"/>
        <v>17.34012736</v>
      </c>
      <c r="O49" s="692">
        <f t="shared" si="2"/>
        <v>17.34012736</v>
      </c>
      <c r="P49" s="689">
        <f t="shared" si="3"/>
        <v>60.690445760000017</v>
      </c>
    </row>
    <row r="50" spans="1:16">
      <c r="A50" s="685">
        <v>48</v>
      </c>
      <c r="B50" s="686" t="s">
        <v>1697</v>
      </c>
      <c r="C50" s="695" t="s">
        <v>559</v>
      </c>
      <c r="D50" s="254">
        <v>3743471</v>
      </c>
      <c r="E50" s="280">
        <v>6134313</v>
      </c>
      <c r="F50" s="694">
        <v>462.77</v>
      </c>
      <c r="G50" s="689">
        <f t="shared" si="5"/>
        <v>34.152425999999998</v>
      </c>
      <c r="H50" s="694">
        <v>0</v>
      </c>
      <c r="I50" s="691">
        <f t="shared" si="6"/>
        <v>428.61757399999999</v>
      </c>
      <c r="J50" s="703" t="s">
        <v>13</v>
      </c>
      <c r="K50" s="694" t="s">
        <v>211</v>
      </c>
      <c r="L50" s="691">
        <f t="shared" si="4"/>
        <v>64.292636099999996</v>
      </c>
      <c r="M50" s="691">
        <f t="shared" si="0"/>
        <v>17.14470296</v>
      </c>
      <c r="N50" s="692">
        <f t="shared" si="1"/>
        <v>8.57235148</v>
      </c>
      <c r="O50" s="692">
        <f t="shared" si="2"/>
        <v>8.57235148</v>
      </c>
      <c r="P50" s="689">
        <f t="shared" si="3"/>
        <v>30.003230179999989</v>
      </c>
    </row>
    <row r="51" spans="1:16">
      <c r="A51" s="685">
        <v>49</v>
      </c>
      <c r="B51" s="686" t="s">
        <v>1698</v>
      </c>
      <c r="C51" s="695" t="s">
        <v>1648</v>
      </c>
      <c r="D51" s="254">
        <v>100311111402466</v>
      </c>
      <c r="E51" s="280" t="s">
        <v>1699</v>
      </c>
      <c r="F51" s="694">
        <v>447.29</v>
      </c>
      <c r="G51" s="689">
        <f t="shared" si="5"/>
        <v>33.010002</v>
      </c>
      <c r="H51" s="694">
        <v>118.15</v>
      </c>
      <c r="I51" s="691">
        <f t="shared" si="6"/>
        <v>296.129998</v>
      </c>
      <c r="J51" s="703" t="s">
        <v>13</v>
      </c>
      <c r="K51" s="694" t="s">
        <v>17</v>
      </c>
      <c r="L51" s="691">
        <f t="shared" si="4"/>
        <v>44.419499699999996</v>
      </c>
      <c r="M51" s="691">
        <f t="shared" si="0"/>
        <v>11.845199920000001</v>
      </c>
      <c r="N51" s="692">
        <f t="shared" si="1"/>
        <v>5.9225999600000003</v>
      </c>
      <c r="O51" s="692">
        <f t="shared" si="2"/>
        <v>5.9225999600000003</v>
      </c>
      <c r="P51" s="689">
        <f t="shared" si="3"/>
        <v>20.729099859999998</v>
      </c>
    </row>
    <row r="52" spans="1:16">
      <c r="A52" s="685">
        <v>50</v>
      </c>
      <c r="B52" s="686" t="s">
        <v>1700</v>
      </c>
      <c r="C52" s="695" t="s">
        <v>52</v>
      </c>
      <c r="D52" s="281">
        <v>37432209</v>
      </c>
      <c r="E52" s="280" t="s">
        <v>1701</v>
      </c>
      <c r="F52" s="694">
        <v>763.8</v>
      </c>
      <c r="G52" s="689">
        <f t="shared" si="5"/>
        <v>56.36844</v>
      </c>
      <c r="H52" s="694">
        <v>190.95</v>
      </c>
      <c r="I52" s="691">
        <f t="shared" si="6"/>
        <v>516.48155999999994</v>
      </c>
      <c r="J52" s="703" t="s">
        <v>13</v>
      </c>
      <c r="K52" s="694" t="s">
        <v>17</v>
      </c>
      <c r="L52" s="691">
        <f t="shared" si="4"/>
        <v>77.472233999999986</v>
      </c>
      <c r="M52" s="691">
        <f t="shared" si="0"/>
        <v>20.659262399999999</v>
      </c>
      <c r="N52" s="692">
        <f t="shared" si="1"/>
        <v>10.3296312</v>
      </c>
      <c r="O52" s="692">
        <f t="shared" si="2"/>
        <v>10.3296312</v>
      </c>
      <c r="P52" s="689">
        <f t="shared" si="3"/>
        <v>36.15370919999998</v>
      </c>
    </row>
    <row r="53" spans="1:16">
      <c r="A53" s="685">
        <v>51</v>
      </c>
      <c r="B53" s="686" t="s">
        <v>1700</v>
      </c>
      <c r="C53" s="695" t="s">
        <v>931</v>
      </c>
      <c r="D53" s="254">
        <v>37432211</v>
      </c>
      <c r="E53" s="280" t="s">
        <v>1702</v>
      </c>
      <c r="F53" s="694">
        <v>719.24</v>
      </c>
      <c r="G53" s="689">
        <f t="shared" si="5"/>
        <v>53.079912000000007</v>
      </c>
      <c r="H53" s="694">
        <v>179.81</v>
      </c>
      <c r="I53" s="691">
        <f t="shared" si="6"/>
        <v>486.35008799999997</v>
      </c>
      <c r="J53" s="703" t="s">
        <v>13</v>
      </c>
      <c r="K53" s="694" t="s">
        <v>17</v>
      </c>
      <c r="L53" s="691">
        <f t="shared" si="4"/>
        <v>72.952513199999999</v>
      </c>
      <c r="M53" s="691">
        <f t="shared" si="0"/>
        <v>19.454003520000001</v>
      </c>
      <c r="N53" s="692">
        <f t="shared" si="1"/>
        <v>9.7270017600000003</v>
      </c>
      <c r="O53" s="692">
        <f t="shared" si="2"/>
        <v>9.7270017600000003</v>
      </c>
      <c r="P53" s="689">
        <f t="shared" si="3"/>
        <v>34.044506159999997</v>
      </c>
    </row>
    <row r="54" spans="1:16">
      <c r="A54" s="685">
        <v>52</v>
      </c>
      <c r="B54" s="686" t="s">
        <v>1703</v>
      </c>
      <c r="C54" s="695" t="s">
        <v>1648</v>
      </c>
      <c r="D54" s="254">
        <v>37442660</v>
      </c>
      <c r="E54" s="280">
        <v>6138574</v>
      </c>
      <c r="F54" s="694">
        <v>388.36</v>
      </c>
      <c r="G54" s="689">
        <f t="shared" si="5"/>
        <v>28.660968000000004</v>
      </c>
      <c r="H54" s="694">
        <v>97.09</v>
      </c>
      <c r="I54" s="691">
        <f t="shared" si="6"/>
        <v>262.60903199999996</v>
      </c>
      <c r="J54" s="703" t="s">
        <v>13</v>
      </c>
      <c r="K54" s="694" t="s">
        <v>17</v>
      </c>
      <c r="L54" s="691">
        <f t="shared" si="4"/>
        <v>39.391354799999995</v>
      </c>
      <c r="M54" s="691">
        <f t="shared" si="0"/>
        <v>10.504361279999998</v>
      </c>
      <c r="N54" s="692">
        <f t="shared" si="1"/>
        <v>5.2521806399999988</v>
      </c>
      <c r="O54" s="692">
        <f t="shared" si="2"/>
        <v>5.2521806399999988</v>
      </c>
      <c r="P54" s="689">
        <f t="shared" si="3"/>
        <v>18.38263224</v>
      </c>
    </row>
    <row r="55" spans="1:16">
      <c r="A55" s="685">
        <v>53</v>
      </c>
      <c r="B55" s="686" t="s">
        <v>1704</v>
      </c>
      <c r="C55" s="695" t="s">
        <v>559</v>
      </c>
      <c r="D55" s="371">
        <v>1003111405044</v>
      </c>
      <c r="E55" s="280">
        <v>6135505</v>
      </c>
      <c r="F55" s="694">
        <v>583.72</v>
      </c>
      <c r="G55" s="689">
        <f t="shared" si="5"/>
        <v>43.078536000000007</v>
      </c>
      <c r="H55" s="694">
        <v>0</v>
      </c>
      <c r="I55" s="691">
        <f t="shared" si="6"/>
        <v>540.64146400000004</v>
      </c>
      <c r="J55" s="703" t="s">
        <v>13</v>
      </c>
      <c r="K55" s="694" t="s">
        <v>49</v>
      </c>
      <c r="L55" s="691">
        <f t="shared" si="4"/>
        <v>81.096219599999998</v>
      </c>
      <c r="M55" s="691">
        <f t="shared" si="0"/>
        <v>21.625658560000002</v>
      </c>
      <c r="N55" s="692">
        <f t="shared" si="1"/>
        <v>10.812829280000001</v>
      </c>
      <c r="O55" s="692">
        <f t="shared" si="2"/>
        <v>10.812829280000001</v>
      </c>
      <c r="P55" s="689">
        <f t="shared" si="3"/>
        <v>37.844902479999988</v>
      </c>
    </row>
    <row r="56" spans="1:16">
      <c r="A56" s="685">
        <v>54</v>
      </c>
      <c r="B56" s="686" t="s">
        <v>1705</v>
      </c>
      <c r="C56" s="695" t="s">
        <v>1180</v>
      </c>
      <c r="D56" s="254">
        <v>2857710</v>
      </c>
      <c r="E56" s="280">
        <v>6126088</v>
      </c>
      <c r="F56" s="694">
        <v>597.4</v>
      </c>
      <c r="G56" s="689">
        <f t="shared" si="5"/>
        <v>44.088120000000004</v>
      </c>
      <c r="H56" s="694">
        <v>55.16</v>
      </c>
      <c r="I56" s="691">
        <f t="shared" si="6"/>
        <v>498.15188000000001</v>
      </c>
      <c r="J56" s="703" t="s">
        <v>16</v>
      </c>
      <c r="K56" s="694" t="s">
        <v>20</v>
      </c>
      <c r="L56" s="691">
        <f t="shared" si="4"/>
        <v>74.722781999999995</v>
      </c>
      <c r="M56" s="691">
        <f t="shared" si="0"/>
        <v>19.9260752</v>
      </c>
      <c r="N56" s="692">
        <f t="shared" si="1"/>
        <v>9.9630375999999998</v>
      </c>
      <c r="O56" s="692">
        <f t="shared" si="2"/>
        <v>9.9630375999999998</v>
      </c>
      <c r="P56" s="689">
        <f t="shared" si="3"/>
        <v>34.870631599999996</v>
      </c>
    </row>
    <row r="57" spans="1:16">
      <c r="A57" s="685">
        <v>55</v>
      </c>
      <c r="B57" s="686" t="s">
        <v>1706</v>
      </c>
      <c r="C57" s="695" t="s">
        <v>173</v>
      </c>
      <c r="D57" s="254">
        <v>37452366</v>
      </c>
      <c r="E57" s="280">
        <v>6140225</v>
      </c>
      <c r="F57" s="694">
        <v>574.04</v>
      </c>
      <c r="G57" s="689">
        <f t="shared" si="5"/>
        <v>42.364151999999997</v>
      </c>
      <c r="H57" s="694">
        <v>143.51</v>
      </c>
      <c r="I57" s="691">
        <f t="shared" si="6"/>
        <v>388.16584799999998</v>
      </c>
      <c r="J57" s="703" t="s">
        <v>13</v>
      </c>
      <c r="K57" s="694" t="s">
        <v>211</v>
      </c>
      <c r="L57" s="691">
        <f t="shared" si="4"/>
        <v>58.224877199999995</v>
      </c>
      <c r="M57" s="691">
        <f t="shared" si="0"/>
        <v>15.52663392</v>
      </c>
      <c r="N57" s="692">
        <f t="shared" si="1"/>
        <v>7.76331696</v>
      </c>
      <c r="O57" s="692">
        <f t="shared" si="2"/>
        <v>7.76331696</v>
      </c>
      <c r="P57" s="689">
        <f t="shared" si="3"/>
        <v>27.171609359999994</v>
      </c>
    </row>
    <row r="58" spans="1:16">
      <c r="A58" s="685">
        <v>56</v>
      </c>
      <c r="B58" s="686" t="s">
        <v>1707</v>
      </c>
      <c r="C58" s="695" t="s">
        <v>12</v>
      </c>
      <c r="D58" s="254">
        <v>100311111414364</v>
      </c>
      <c r="E58" s="280">
        <v>6141353</v>
      </c>
      <c r="F58" s="694">
        <v>675.63</v>
      </c>
      <c r="G58" s="689">
        <f t="shared" si="5"/>
        <v>49.861494</v>
      </c>
      <c r="H58" s="694">
        <v>72.599999999999994</v>
      </c>
      <c r="I58" s="691">
        <f t="shared" si="6"/>
        <v>553.16850599999998</v>
      </c>
      <c r="J58" s="703" t="s">
        <v>13</v>
      </c>
      <c r="K58" s="694" t="s">
        <v>25</v>
      </c>
      <c r="L58" s="691">
        <f t="shared" si="4"/>
        <v>82.9752759</v>
      </c>
      <c r="M58" s="691">
        <f t="shared" si="0"/>
        <v>22.12674024</v>
      </c>
      <c r="N58" s="692">
        <f t="shared" si="1"/>
        <v>11.06337012</v>
      </c>
      <c r="O58" s="692">
        <f t="shared" si="2"/>
        <v>11.06337012</v>
      </c>
      <c r="P58" s="689">
        <f t="shared" si="3"/>
        <v>38.721795419999992</v>
      </c>
    </row>
    <row r="59" spans="1:16">
      <c r="A59" s="685">
        <v>57</v>
      </c>
      <c r="B59" s="686" t="s">
        <v>1708</v>
      </c>
      <c r="C59" s="695" t="s">
        <v>173</v>
      </c>
      <c r="D59" s="283">
        <v>2861989</v>
      </c>
      <c r="E59" s="280" t="s">
        <v>1709</v>
      </c>
      <c r="F59" s="694">
        <v>622.28</v>
      </c>
      <c r="G59" s="689">
        <f t="shared" si="5"/>
        <v>45.924264000000001</v>
      </c>
      <c r="H59" s="694">
        <v>57.62</v>
      </c>
      <c r="I59" s="691">
        <f t="shared" si="6"/>
        <v>518.73573599999997</v>
      </c>
      <c r="J59" s="703" t="s">
        <v>16</v>
      </c>
      <c r="K59" s="694" t="s">
        <v>17</v>
      </c>
      <c r="L59" s="691">
        <f t="shared" si="4"/>
        <v>77.810360399999993</v>
      </c>
      <c r="M59" s="691">
        <f t="shared" si="0"/>
        <v>20.74942944</v>
      </c>
      <c r="N59" s="692">
        <f t="shared" si="1"/>
        <v>10.37471472</v>
      </c>
      <c r="O59" s="692">
        <f t="shared" si="2"/>
        <v>10.37471472</v>
      </c>
      <c r="P59" s="689">
        <f t="shared" si="3"/>
        <v>36.311501519999993</v>
      </c>
    </row>
    <row r="60" spans="1:16">
      <c r="A60" s="685">
        <v>58</v>
      </c>
      <c r="B60" s="686" t="s">
        <v>1710</v>
      </c>
      <c r="C60" s="695" t="s">
        <v>1648</v>
      </c>
      <c r="D60" s="284">
        <v>103311111449691</v>
      </c>
      <c r="E60" s="280">
        <v>6141511</v>
      </c>
      <c r="F60" s="694">
        <v>480.94</v>
      </c>
      <c r="G60" s="689">
        <f t="shared" si="5"/>
        <v>35.493372000000001</v>
      </c>
      <c r="H60" s="694">
        <v>59.32</v>
      </c>
      <c r="I60" s="691">
        <f t="shared" si="6"/>
        <v>386.12662799999998</v>
      </c>
      <c r="J60" s="703" t="s">
        <v>13</v>
      </c>
      <c r="K60" s="694" t="s">
        <v>211</v>
      </c>
      <c r="L60" s="691">
        <f t="shared" si="4"/>
        <v>57.918994199999993</v>
      </c>
      <c r="M60" s="691">
        <f t="shared" si="0"/>
        <v>15.445065119999999</v>
      </c>
      <c r="N60" s="692">
        <f t="shared" si="1"/>
        <v>7.7225325599999994</v>
      </c>
      <c r="O60" s="692">
        <f t="shared" si="2"/>
        <v>7.7225325599999994</v>
      </c>
      <c r="P60" s="689">
        <f t="shared" si="3"/>
        <v>27.028863959999995</v>
      </c>
    </row>
    <row r="61" spans="1:16">
      <c r="A61" s="685">
        <v>59</v>
      </c>
      <c r="B61" s="686" t="s">
        <v>1711</v>
      </c>
      <c r="C61" s="695" t="s">
        <v>173</v>
      </c>
      <c r="D61" s="254">
        <v>10031111422956</v>
      </c>
      <c r="E61" s="280" t="s">
        <v>1712</v>
      </c>
      <c r="F61" s="694">
        <v>482.82</v>
      </c>
      <c r="G61" s="689">
        <f t="shared" si="5"/>
        <v>35.632116000000003</v>
      </c>
      <c r="H61" s="694">
        <v>59.55</v>
      </c>
      <c r="I61" s="691">
        <f t="shared" si="6"/>
        <v>387.63788399999999</v>
      </c>
      <c r="J61" s="703" t="s">
        <v>13</v>
      </c>
      <c r="K61" s="694" t="s">
        <v>17</v>
      </c>
      <c r="L61" s="691">
        <f t="shared" si="4"/>
        <v>58.145682599999994</v>
      </c>
      <c r="M61" s="691">
        <f t="shared" si="0"/>
        <v>15.50551536</v>
      </c>
      <c r="N61" s="692">
        <f t="shared" si="1"/>
        <v>7.7527576800000002</v>
      </c>
      <c r="O61" s="692">
        <f t="shared" si="2"/>
        <v>7.7527576800000002</v>
      </c>
      <c r="P61" s="689">
        <f t="shared" si="3"/>
        <v>27.134651879999993</v>
      </c>
    </row>
    <row r="62" spans="1:16">
      <c r="A62" s="685">
        <v>60</v>
      </c>
      <c r="B62" s="686" t="s">
        <v>1713</v>
      </c>
      <c r="C62" s="695" t="s">
        <v>931</v>
      </c>
      <c r="D62" s="254">
        <v>10031111422857</v>
      </c>
      <c r="E62" s="280">
        <v>6145053</v>
      </c>
      <c r="F62" s="694">
        <v>760.49</v>
      </c>
      <c r="G62" s="689">
        <f t="shared" si="5"/>
        <v>56.124162000000005</v>
      </c>
      <c r="H62" s="694">
        <v>93.8</v>
      </c>
      <c r="I62" s="691">
        <f t="shared" si="6"/>
        <v>610.5658380000001</v>
      </c>
      <c r="J62" s="703" t="s">
        <v>13</v>
      </c>
      <c r="K62" s="694" t="s">
        <v>266</v>
      </c>
      <c r="L62" s="691">
        <f t="shared" si="4"/>
        <v>91.584875700000012</v>
      </c>
      <c r="M62" s="691">
        <f t="shared" si="0"/>
        <v>24.422633520000005</v>
      </c>
      <c r="N62" s="692">
        <f t="shared" si="1"/>
        <v>12.211316760000003</v>
      </c>
      <c r="O62" s="692">
        <f t="shared" si="2"/>
        <v>12.211316760000003</v>
      </c>
      <c r="P62" s="689">
        <f t="shared" si="3"/>
        <v>42.739608660000002</v>
      </c>
    </row>
    <row r="63" spans="1:16">
      <c r="A63" s="685">
        <v>61</v>
      </c>
      <c r="B63" s="686" t="s">
        <v>1657</v>
      </c>
      <c r="C63" s="695" t="s">
        <v>1648</v>
      </c>
      <c r="D63" s="254">
        <v>37488409</v>
      </c>
      <c r="E63" s="280">
        <v>6141761</v>
      </c>
      <c r="F63" s="694">
        <v>311.76</v>
      </c>
      <c r="G63" s="689">
        <f t="shared" si="5"/>
        <v>23.007888000000001</v>
      </c>
      <c r="H63" s="694">
        <v>77.94</v>
      </c>
      <c r="I63" s="691">
        <f t="shared" si="6"/>
        <v>210.81211200000001</v>
      </c>
      <c r="J63" s="703" t="s">
        <v>13</v>
      </c>
      <c r="K63" s="694" t="s">
        <v>166</v>
      </c>
      <c r="L63" s="691">
        <f t="shared" si="4"/>
        <v>31.621816800000001</v>
      </c>
      <c r="M63" s="691">
        <f t="shared" si="0"/>
        <v>8.4324844800000012</v>
      </c>
      <c r="N63" s="692">
        <f t="shared" si="1"/>
        <v>4.2162422400000006</v>
      </c>
      <c r="O63" s="692">
        <f t="shared" si="2"/>
        <v>4.2162422400000006</v>
      </c>
      <c r="P63" s="689">
        <f t="shared" si="3"/>
        <v>14.756847839999999</v>
      </c>
    </row>
    <row r="64" spans="1:16">
      <c r="A64" s="685">
        <v>62</v>
      </c>
      <c r="B64" s="686" t="s">
        <v>1714</v>
      </c>
      <c r="C64" s="695" t="s">
        <v>173</v>
      </c>
      <c r="D64" s="254">
        <v>10031111418208</v>
      </c>
      <c r="E64" s="280">
        <v>6111319</v>
      </c>
      <c r="F64" s="694">
        <v>618.64</v>
      </c>
      <c r="G64" s="689">
        <f t="shared" si="5"/>
        <v>45.655632000000004</v>
      </c>
      <c r="H64" s="694">
        <v>0</v>
      </c>
      <c r="I64" s="691">
        <f t="shared" si="6"/>
        <v>572.98436800000002</v>
      </c>
      <c r="J64" s="703" t="s">
        <v>13</v>
      </c>
      <c r="K64" s="694" t="s">
        <v>53</v>
      </c>
      <c r="L64" s="691">
        <f t="shared" si="4"/>
        <v>85.9476552</v>
      </c>
      <c r="M64" s="691">
        <f t="shared" si="0"/>
        <v>22.91937472</v>
      </c>
      <c r="N64" s="692">
        <f t="shared" si="1"/>
        <v>11.45968736</v>
      </c>
      <c r="O64" s="692">
        <f t="shared" si="2"/>
        <v>11.45968736</v>
      </c>
      <c r="P64" s="689">
        <f t="shared" si="3"/>
        <v>40.108905759999999</v>
      </c>
    </row>
    <row r="65" spans="1:16">
      <c r="A65" s="685">
        <v>63</v>
      </c>
      <c r="B65" s="686" t="s">
        <v>1715</v>
      </c>
      <c r="C65" s="695" t="s">
        <v>170</v>
      </c>
      <c r="D65" s="282">
        <v>37484905</v>
      </c>
      <c r="E65" s="280" t="s">
        <v>1716</v>
      </c>
      <c r="F65" s="694">
        <v>463.2</v>
      </c>
      <c r="G65" s="689">
        <f t="shared" si="5"/>
        <v>34.184159999999999</v>
      </c>
      <c r="H65" s="694">
        <v>46.32</v>
      </c>
      <c r="I65" s="691">
        <f t="shared" si="6"/>
        <v>382.69583999999998</v>
      </c>
      <c r="J65" s="703" t="s">
        <v>16</v>
      </c>
      <c r="K65" s="694" t="s">
        <v>49</v>
      </c>
      <c r="L65" s="691">
        <f t="shared" si="4"/>
        <v>57.404375999999992</v>
      </c>
      <c r="M65" s="691">
        <f t="shared" si="0"/>
        <v>15.307833599999999</v>
      </c>
      <c r="N65" s="692">
        <f t="shared" si="1"/>
        <v>7.6539167999999993</v>
      </c>
      <c r="O65" s="692">
        <f t="shared" si="2"/>
        <v>7.6539167999999993</v>
      </c>
      <c r="P65" s="689">
        <f t="shared" si="3"/>
        <v>26.788708799999995</v>
      </c>
    </row>
    <row r="66" spans="1:16">
      <c r="A66" s="685">
        <v>64</v>
      </c>
      <c r="B66" s="339" t="s">
        <v>1717</v>
      </c>
      <c r="C66" s="327" t="s">
        <v>1648</v>
      </c>
      <c r="D66" s="733">
        <v>10031111422956</v>
      </c>
      <c r="E66" s="401" t="s">
        <v>1718</v>
      </c>
      <c r="F66" s="294">
        <v>457.02</v>
      </c>
      <c r="G66" s="294">
        <f t="shared" si="5"/>
        <v>33.728076000000001</v>
      </c>
      <c r="H66" s="294">
        <v>49.11</v>
      </c>
      <c r="I66" s="293">
        <f t="shared" si="6"/>
        <v>374.18192399999998</v>
      </c>
      <c r="J66" s="329" t="s">
        <v>13</v>
      </c>
      <c r="K66" s="294" t="s">
        <v>49</v>
      </c>
      <c r="L66" s="293">
        <f t="shared" si="4"/>
        <v>56.127288599999993</v>
      </c>
      <c r="M66" s="293">
        <f t="shared" si="0"/>
        <v>14.96727696</v>
      </c>
      <c r="N66" s="296">
        <f t="shared" si="1"/>
        <v>7.4836384799999998</v>
      </c>
      <c r="O66" s="296">
        <f t="shared" si="2"/>
        <v>7.4836384799999998</v>
      </c>
      <c r="P66" s="294">
        <f t="shared" si="3"/>
        <v>26.192734679999997</v>
      </c>
    </row>
    <row r="67" spans="1:16">
      <c r="A67" s="685">
        <v>65</v>
      </c>
      <c r="B67" s="686" t="s">
        <v>1719</v>
      </c>
      <c r="C67" s="695" t="s">
        <v>12</v>
      </c>
      <c r="D67" s="254">
        <v>2864589</v>
      </c>
      <c r="E67" s="280" t="s">
        <v>1720</v>
      </c>
      <c r="F67" s="694">
        <v>729.08</v>
      </c>
      <c r="G67" s="689">
        <f t="shared" si="5"/>
        <v>53.806104000000005</v>
      </c>
      <c r="H67" s="694">
        <v>72.91</v>
      </c>
      <c r="I67" s="691">
        <f t="shared" si="6"/>
        <v>602.36389600000007</v>
      </c>
      <c r="J67" s="703" t="s">
        <v>16</v>
      </c>
      <c r="K67" s="694" t="s">
        <v>17</v>
      </c>
      <c r="L67" s="691">
        <f t="shared" si="4"/>
        <v>90.354584400000007</v>
      </c>
      <c r="M67" s="691">
        <f t="shared" ref="M67:M136" si="7">I67*4%</f>
        <v>24.094555840000002</v>
      </c>
      <c r="N67" s="692">
        <f t="shared" ref="N67:N136" si="8">I67*2%</f>
        <v>12.047277920000001</v>
      </c>
      <c r="O67" s="692">
        <f t="shared" ref="O67:O136" si="9">I67*2%</f>
        <v>12.047277920000001</v>
      </c>
      <c r="P67" s="689">
        <f t="shared" ref="P67:P136" si="10">L67-M67-N67-O67</f>
        <v>42.165472720000011</v>
      </c>
    </row>
    <row r="68" spans="1:16">
      <c r="A68" s="685">
        <v>66</v>
      </c>
      <c r="B68" s="339" t="s">
        <v>1152</v>
      </c>
      <c r="C68" s="327" t="s">
        <v>173</v>
      </c>
      <c r="D68" s="400">
        <v>100311111461511</v>
      </c>
      <c r="E68" s="401">
        <v>6153543</v>
      </c>
      <c r="F68" s="294">
        <v>522.58000000000004</v>
      </c>
      <c r="G68" s="294">
        <f t="shared" si="5"/>
        <v>38.566404000000006</v>
      </c>
      <c r="H68" s="294">
        <v>56.15</v>
      </c>
      <c r="I68" s="293">
        <f t="shared" si="6"/>
        <v>427.86359600000003</v>
      </c>
      <c r="J68" s="329" t="s">
        <v>13</v>
      </c>
      <c r="K68" s="294" t="s">
        <v>17</v>
      </c>
      <c r="L68" s="293">
        <f t="shared" ref="L68:L136" si="11">I68*15%</f>
        <v>64.179539399999996</v>
      </c>
      <c r="M68" s="293">
        <f t="shared" si="7"/>
        <v>17.114543840000003</v>
      </c>
      <c r="N68" s="296">
        <f t="shared" si="8"/>
        <v>8.5572719200000016</v>
      </c>
      <c r="O68" s="296">
        <f t="shared" si="9"/>
        <v>8.5572719200000016</v>
      </c>
      <c r="P68" s="294">
        <f t="shared" si="10"/>
        <v>29.950451719999993</v>
      </c>
    </row>
    <row r="69" spans="1:16">
      <c r="A69" s="685">
        <v>67</v>
      </c>
      <c r="B69" s="686" t="s">
        <v>1721</v>
      </c>
      <c r="C69" s="695" t="s">
        <v>31</v>
      </c>
      <c r="D69" s="254">
        <v>100311114433952</v>
      </c>
      <c r="E69" s="280">
        <v>6149913</v>
      </c>
      <c r="F69" s="694">
        <v>590.14</v>
      </c>
      <c r="G69" s="715">
        <f t="shared" ref="G69:G136" si="12">F69*7.38%</f>
        <v>43.552332</v>
      </c>
      <c r="H69" s="694">
        <v>63.41</v>
      </c>
      <c r="I69" s="716">
        <f t="shared" ref="I69:I136" si="13">F69-G69-H69</f>
        <v>483.17766800000004</v>
      </c>
      <c r="J69" s="703" t="s">
        <v>13</v>
      </c>
      <c r="K69" s="694" t="s">
        <v>238</v>
      </c>
      <c r="L69" s="691">
        <f t="shared" si="11"/>
        <v>72.476650200000009</v>
      </c>
      <c r="M69" s="691">
        <f t="shared" si="7"/>
        <v>19.327106720000003</v>
      </c>
      <c r="N69" s="714">
        <f t="shared" si="8"/>
        <v>9.6635533600000016</v>
      </c>
      <c r="O69" s="714">
        <f t="shared" si="9"/>
        <v>9.6635533600000016</v>
      </c>
      <c r="P69" s="715">
        <f t="shared" si="10"/>
        <v>33.822436760000002</v>
      </c>
    </row>
    <row r="70" spans="1:16">
      <c r="A70" s="685">
        <v>68</v>
      </c>
      <c r="B70" s="686" t="s">
        <v>1722</v>
      </c>
      <c r="C70" s="695" t="s">
        <v>1585</v>
      </c>
      <c r="D70" s="254">
        <v>10031111488003</v>
      </c>
      <c r="E70" s="280">
        <v>6152204</v>
      </c>
      <c r="F70" s="694">
        <v>661.72</v>
      </c>
      <c r="G70" s="689">
        <f t="shared" si="12"/>
        <v>48.834936000000006</v>
      </c>
      <c r="H70" s="694">
        <v>0</v>
      </c>
      <c r="I70" s="691">
        <f t="shared" si="13"/>
        <v>612.88506400000006</v>
      </c>
      <c r="J70" s="703" t="s">
        <v>13</v>
      </c>
      <c r="K70" s="694" t="s">
        <v>14</v>
      </c>
      <c r="L70" s="691">
        <f t="shared" si="11"/>
        <v>91.932759600000011</v>
      </c>
      <c r="M70" s="691">
        <f t="shared" si="7"/>
        <v>24.515402560000002</v>
      </c>
      <c r="N70" s="692">
        <f t="shared" si="8"/>
        <v>12.257701280000001</v>
      </c>
      <c r="O70" s="692">
        <f t="shared" si="9"/>
        <v>12.257701280000001</v>
      </c>
      <c r="P70" s="689">
        <f t="shared" si="10"/>
        <v>42.901954480000015</v>
      </c>
    </row>
    <row r="71" spans="1:16">
      <c r="A71" s="685">
        <v>69</v>
      </c>
      <c r="B71" s="686" t="s">
        <v>1723</v>
      </c>
      <c r="C71" s="695" t="s">
        <v>31</v>
      </c>
      <c r="D71" s="254">
        <v>100311114393200</v>
      </c>
      <c r="E71" s="280">
        <v>6157042</v>
      </c>
      <c r="F71" s="694">
        <v>547.53</v>
      </c>
      <c r="G71" s="689">
        <f t="shared" si="12"/>
        <v>40.407713999999999</v>
      </c>
      <c r="H71" s="694">
        <v>67.53</v>
      </c>
      <c r="I71" s="691">
        <f t="shared" si="13"/>
        <v>439.59228599999994</v>
      </c>
      <c r="J71" s="703" t="s">
        <v>13</v>
      </c>
      <c r="K71" s="694" t="s">
        <v>17</v>
      </c>
      <c r="L71" s="691">
        <f t="shared" si="11"/>
        <v>65.938842899999983</v>
      </c>
      <c r="M71" s="691">
        <f t="shared" si="7"/>
        <v>17.583691439999999</v>
      </c>
      <c r="N71" s="692">
        <f t="shared" si="8"/>
        <v>8.7918457199999995</v>
      </c>
      <c r="O71" s="692">
        <f t="shared" si="9"/>
        <v>8.7918457199999995</v>
      </c>
      <c r="P71" s="689">
        <f t="shared" si="10"/>
        <v>30.771460019999992</v>
      </c>
    </row>
    <row r="72" spans="1:16">
      <c r="A72" s="685">
        <v>70</v>
      </c>
      <c r="B72" s="339" t="s">
        <v>1724</v>
      </c>
      <c r="C72" s="327" t="s">
        <v>1648</v>
      </c>
      <c r="D72" s="400">
        <v>140031111439757</v>
      </c>
      <c r="E72" s="401">
        <v>6111206</v>
      </c>
      <c r="F72" s="294">
        <v>562.53</v>
      </c>
      <c r="G72" s="294">
        <f t="shared" si="12"/>
        <v>41.514713999999998</v>
      </c>
      <c r="H72" s="294">
        <v>60.4</v>
      </c>
      <c r="I72" s="293">
        <f t="shared" si="13"/>
        <v>460.61528599999997</v>
      </c>
      <c r="J72" s="329" t="s">
        <v>13</v>
      </c>
      <c r="K72" s="294" t="s">
        <v>1554</v>
      </c>
      <c r="L72" s="293">
        <f t="shared" si="11"/>
        <v>69.09229289999999</v>
      </c>
      <c r="M72" s="293">
        <f t="shared" si="7"/>
        <v>18.42461144</v>
      </c>
      <c r="N72" s="296">
        <f t="shared" si="8"/>
        <v>9.2123057199999998</v>
      </c>
      <c r="O72" s="296">
        <f t="shared" si="9"/>
        <v>9.2123057199999998</v>
      </c>
      <c r="P72" s="294">
        <f t="shared" si="10"/>
        <v>32.24307001999999</v>
      </c>
    </row>
    <row r="73" spans="1:16">
      <c r="A73" s="685">
        <v>71</v>
      </c>
      <c r="B73" s="686" t="s">
        <v>1725</v>
      </c>
      <c r="C73" s="695" t="s">
        <v>234</v>
      </c>
      <c r="D73" s="254">
        <v>100311114439805</v>
      </c>
      <c r="E73" s="280">
        <v>6132346</v>
      </c>
      <c r="F73" s="694">
        <v>577.02</v>
      </c>
      <c r="G73" s="689">
        <f t="shared" si="12"/>
        <v>42.584076000000003</v>
      </c>
      <c r="H73" s="694">
        <v>0</v>
      </c>
      <c r="I73" s="691">
        <f t="shared" si="13"/>
        <v>534.435924</v>
      </c>
      <c r="J73" s="703" t="s">
        <v>13</v>
      </c>
      <c r="K73" s="694" t="s">
        <v>330</v>
      </c>
      <c r="L73" s="691">
        <f t="shared" si="11"/>
        <v>80.1653886</v>
      </c>
      <c r="M73" s="691">
        <f t="shared" si="7"/>
        <v>21.377436960000001</v>
      </c>
      <c r="N73" s="692">
        <f t="shared" si="8"/>
        <v>10.68871848</v>
      </c>
      <c r="O73" s="692">
        <f t="shared" si="9"/>
        <v>10.68871848</v>
      </c>
      <c r="P73" s="689">
        <f t="shared" si="10"/>
        <v>37.410514680000006</v>
      </c>
    </row>
    <row r="74" spans="1:16">
      <c r="A74" s="685">
        <v>72</v>
      </c>
      <c r="B74" s="339" t="s">
        <v>1726</v>
      </c>
      <c r="C74" s="327" t="s">
        <v>1648</v>
      </c>
      <c r="D74" s="401">
        <v>10031111440048</v>
      </c>
      <c r="E74" s="401">
        <v>6132304</v>
      </c>
      <c r="F74" s="294">
        <v>612.77</v>
      </c>
      <c r="G74" s="294">
        <f t="shared" si="12"/>
        <v>45.222425999999999</v>
      </c>
      <c r="H74" s="294">
        <v>65.84</v>
      </c>
      <c r="I74" s="293">
        <f t="shared" si="13"/>
        <v>501.70757399999991</v>
      </c>
      <c r="J74" s="329" t="s">
        <v>13</v>
      </c>
      <c r="K74" s="294" t="s">
        <v>207</v>
      </c>
      <c r="L74" s="293">
        <f t="shared" si="11"/>
        <v>75.256136099999978</v>
      </c>
      <c r="M74" s="293">
        <f t="shared" si="7"/>
        <v>20.068302959999997</v>
      </c>
      <c r="N74" s="296">
        <f t="shared" si="8"/>
        <v>10.034151479999998</v>
      </c>
      <c r="O74" s="296">
        <f t="shared" si="9"/>
        <v>10.034151479999998</v>
      </c>
      <c r="P74" s="294">
        <f t="shared" si="10"/>
        <v>35.119530179999984</v>
      </c>
    </row>
    <row r="75" spans="1:16">
      <c r="A75" s="685">
        <v>73</v>
      </c>
      <c r="B75" s="339" t="s">
        <v>1727</v>
      </c>
      <c r="C75" s="327" t="s">
        <v>1648</v>
      </c>
      <c r="D75" s="400">
        <v>10031111439542</v>
      </c>
      <c r="E75" s="401">
        <v>6111249</v>
      </c>
      <c r="F75" s="294">
        <v>538.02</v>
      </c>
      <c r="G75" s="294">
        <f t="shared" si="12"/>
        <v>39.705876000000004</v>
      </c>
      <c r="H75" s="294">
        <v>142.03</v>
      </c>
      <c r="I75" s="293">
        <f t="shared" si="13"/>
        <v>356.28412400000002</v>
      </c>
      <c r="J75" s="329" t="s">
        <v>13</v>
      </c>
      <c r="K75" s="294" t="s">
        <v>17</v>
      </c>
      <c r="L75" s="293">
        <f t="shared" si="11"/>
        <v>53.442618600000003</v>
      </c>
      <c r="M75" s="293">
        <f t="shared" si="7"/>
        <v>14.251364960000002</v>
      </c>
      <c r="N75" s="296">
        <f t="shared" si="8"/>
        <v>7.1256824800000009</v>
      </c>
      <c r="O75" s="296">
        <f t="shared" si="9"/>
        <v>7.1256824800000009</v>
      </c>
      <c r="P75" s="294">
        <f t="shared" si="10"/>
        <v>24.939888679999996</v>
      </c>
    </row>
    <row r="76" spans="1:16">
      <c r="A76" s="685">
        <v>74</v>
      </c>
      <c r="B76" s="339" t="s">
        <v>1728</v>
      </c>
      <c r="C76" s="327" t="s">
        <v>1648</v>
      </c>
      <c r="D76" s="747">
        <v>10031111439174</v>
      </c>
      <c r="E76" s="401">
        <v>6111284</v>
      </c>
      <c r="F76" s="294">
        <v>508.01</v>
      </c>
      <c r="G76" s="294">
        <f t="shared" si="12"/>
        <v>37.491137999999999</v>
      </c>
      <c r="H76" s="294">
        <v>134.19</v>
      </c>
      <c r="I76" s="293">
        <f t="shared" si="13"/>
        <v>336.32886200000002</v>
      </c>
      <c r="J76" s="329" t="s">
        <v>13</v>
      </c>
      <c r="K76" s="294" t="s">
        <v>238</v>
      </c>
      <c r="L76" s="293">
        <f t="shared" si="11"/>
        <v>50.449329300000002</v>
      </c>
      <c r="M76" s="293">
        <f t="shared" si="7"/>
        <v>13.45315448</v>
      </c>
      <c r="N76" s="296">
        <f t="shared" si="8"/>
        <v>6.7265772400000001</v>
      </c>
      <c r="O76" s="296">
        <f t="shared" si="9"/>
        <v>6.7265772400000001</v>
      </c>
      <c r="P76" s="294">
        <f t="shared" si="10"/>
        <v>23.543020339999998</v>
      </c>
    </row>
    <row r="77" spans="1:16">
      <c r="A77" s="685">
        <v>75</v>
      </c>
      <c r="B77" s="686" t="s">
        <v>1729</v>
      </c>
      <c r="C77" s="695" t="s">
        <v>12</v>
      </c>
      <c r="D77" s="254">
        <v>10031111439117</v>
      </c>
      <c r="E77" s="280">
        <v>6130818</v>
      </c>
      <c r="F77" s="694">
        <v>787.1</v>
      </c>
      <c r="G77" s="689">
        <f t="shared" si="12"/>
        <v>58.087980000000002</v>
      </c>
      <c r="H77" s="694">
        <v>207.91</v>
      </c>
      <c r="I77" s="691">
        <f t="shared" si="13"/>
        <v>521.10202000000004</v>
      </c>
      <c r="J77" s="703" t="s">
        <v>13</v>
      </c>
      <c r="K77" s="694" t="s">
        <v>266</v>
      </c>
      <c r="L77" s="691">
        <f t="shared" si="11"/>
        <v>78.165303000000009</v>
      </c>
      <c r="M77" s="691">
        <f t="shared" si="7"/>
        <v>20.8440808</v>
      </c>
      <c r="N77" s="692">
        <f t="shared" si="8"/>
        <v>10.4220404</v>
      </c>
      <c r="O77" s="692">
        <f t="shared" si="9"/>
        <v>10.4220404</v>
      </c>
      <c r="P77" s="689">
        <f t="shared" si="10"/>
        <v>36.477141400000008</v>
      </c>
    </row>
    <row r="78" spans="1:16">
      <c r="A78" s="685">
        <v>76</v>
      </c>
      <c r="B78" s="686" t="s">
        <v>1730</v>
      </c>
      <c r="C78" s="695" t="s">
        <v>931</v>
      </c>
      <c r="D78" s="254">
        <v>37483006</v>
      </c>
      <c r="E78" s="280" t="s">
        <v>1731</v>
      </c>
      <c r="F78" s="694">
        <v>362.52</v>
      </c>
      <c r="G78" s="689">
        <f t="shared" si="12"/>
        <v>26.753976000000002</v>
      </c>
      <c r="H78" s="694">
        <v>31.74</v>
      </c>
      <c r="I78" s="691">
        <f t="shared" si="13"/>
        <v>304.02602399999995</v>
      </c>
      <c r="J78" s="703" t="s">
        <v>16</v>
      </c>
      <c r="K78" s="694" t="s">
        <v>17</v>
      </c>
      <c r="L78" s="691">
        <f t="shared" si="11"/>
        <v>45.603903599999988</v>
      </c>
      <c r="M78" s="691">
        <f t="shared" si="7"/>
        <v>12.161040959999998</v>
      </c>
      <c r="N78" s="692">
        <f t="shared" si="8"/>
        <v>6.0805204799999988</v>
      </c>
      <c r="O78" s="692">
        <f t="shared" si="9"/>
        <v>6.0805204799999988</v>
      </c>
      <c r="P78" s="689">
        <f t="shared" si="10"/>
        <v>21.281821679999993</v>
      </c>
    </row>
    <row r="79" spans="1:16">
      <c r="A79" s="685">
        <v>77</v>
      </c>
      <c r="B79" s="686" t="s">
        <v>1732</v>
      </c>
      <c r="C79" s="695" t="s">
        <v>173</v>
      </c>
      <c r="D79" s="254">
        <v>10031111438754</v>
      </c>
      <c r="E79" s="280" t="s">
        <v>1733</v>
      </c>
      <c r="F79" s="694">
        <v>526.04</v>
      </c>
      <c r="G79" s="689">
        <f t="shared" si="12"/>
        <v>38.821751999999996</v>
      </c>
      <c r="H79" s="694">
        <v>56.52</v>
      </c>
      <c r="I79" s="691">
        <f t="shared" si="13"/>
        <v>430.69824799999998</v>
      </c>
      <c r="J79" s="703" t="s">
        <v>13</v>
      </c>
      <c r="K79" s="694" t="s">
        <v>17</v>
      </c>
      <c r="L79" s="691">
        <f t="shared" si="11"/>
        <v>64.604737199999988</v>
      </c>
      <c r="M79" s="691">
        <f t="shared" si="7"/>
        <v>17.227929920000001</v>
      </c>
      <c r="N79" s="692">
        <f t="shared" si="8"/>
        <v>8.6139649600000006</v>
      </c>
      <c r="O79" s="692">
        <f t="shared" si="9"/>
        <v>8.6139649600000006</v>
      </c>
      <c r="P79" s="689">
        <f t="shared" si="10"/>
        <v>30.14887735999999</v>
      </c>
    </row>
    <row r="80" spans="1:16">
      <c r="A80" s="685">
        <v>78</v>
      </c>
      <c r="B80" s="686" t="s">
        <v>1734</v>
      </c>
      <c r="C80" s="695" t="s">
        <v>234</v>
      </c>
      <c r="D80" s="254">
        <v>37480349</v>
      </c>
      <c r="E80" s="280">
        <v>6155520</v>
      </c>
      <c r="F80" s="694">
        <v>756.62</v>
      </c>
      <c r="G80" s="689">
        <f t="shared" si="12"/>
        <v>55.838556000000004</v>
      </c>
      <c r="H80" s="694">
        <v>98.77</v>
      </c>
      <c r="I80" s="691">
        <f t="shared" si="13"/>
        <v>602.01144399999998</v>
      </c>
      <c r="J80" s="703" t="s">
        <v>13</v>
      </c>
      <c r="K80" s="694" t="s">
        <v>410</v>
      </c>
      <c r="L80" s="691">
        <f t="shared" si="11"/>
        <v>90.301716599999992</v>
      </c>
      <c r="M80" s="691">
        <f t="shared" si="7"/>
        <v>24.080457760000002</v>
      </c>
      <c r="N80" s="692">
        <f t="shared" si="8"/>
        <v>12.040228880000001</v>
      </c>
      <c r="O80" s="692">
        <f t="shared" si="9"/>
        <v>12.040228880000001</v>
      </c>
      <c r="P80" s="689">
        <f t="shared" si="10"/>
        <v>42.140801079999989</v>
      </c>
    </row>
    <row r="81" spans="1:16">
      <c r="A81" s="685">
        <v>79</v>
      </c>
      <c r="B81" s="339" t="s">
        <v>1735</v>
      </c>
      <c r="C81" s="327" t="s">
        <v>1648</v>
      </c>
      <c r="D81" s="400">
        <v>10031111440742</v>
      </c>
      <c r="E81" s="401">
        <v>6154846</v>
      </c>
      <c r="F81" s="294">
        <v>580.04999999999995</v>
      </c>
      <c r="G81" s="294">
        <f t="shared" si="12"/>
        <v>42.807690000000001</v>
      </c>
      <c r="H81" s="294">
        <v>62.33</v>
      </c>
      <c r="I81" s="293">
        <f t="shared" si="13"/>
        <v>474.91230999999999</v>
      </c>
      <c r="J81" s="329" t="s">
        <v>13</v>
      </c>
      <c r="K81" s="294" t="s">
        <v>14</v>
      </c>
      <c r="L81" s="293">
        <f t="shared" si="11"/>
        <v>71.236846499999999</v>
      </c>
      <c r="M81" s="293">
        <f t="shared" si="7"/>
        <v>18.996492400000001</v>
      </c>
      <c r="N81" s="296">
        <f t="shared" si="8"/>
        <v>9.4982462000000005</v>
      </c>
      <c r="O81" s="296">
        <f t="shared" si="9"/>
        <v>9.4982462000000005</v>
      </c>
      <c r="P81" s="294">
        <f t="shared" si="10"/>
        <v>33.243861699999997</v>
      </c>
    </row>
    <row r="82" spans="1:16">
      <c r="A82" s="685">
        <v>80</v>
      </c>
      <c r="B82" s="339" t="s">
        <v>1736</v>
      </c>
      <c r="C82" s="327" t="s">
        <v>1648</v>
      </c>
      <c r="D82" s="400">
        <v>37492838</v>
      </c>
      <c r="E82" s="401">
        <v>6161088</v>
      </c>
      <c r="F82" s="294">
        <v>439.88</v>
      </c>
      <c r="G82" s="294">
        <f t="shared" si="12"/>
        <v>32.463144</v>
      </c>
      <c r="H82" s="294">
        <v>109.97</v>
      </c>
      <c r="I82" s="293">
        <f t="shared" si="13"/>
        <v>297.44685600000003</v>
      </c>
      <c r="J82" s="329" t="s">
        <v>13</v>
      </c>
      <c r="K82" s="294" t="s">
        <v>49</v>
      </c>
      <c r="L82" s="293">
        <f t="shared" si="11"/>
        <v>44.617028400000002</v>
      </c>
      <c r="M82" s="293">
        <f t="shared" si="7"/>
        <v>11.897874240000002</v>
      </c>
      <c r="N82" s="296">
        <f t="shared" si="8"/>
        <v>5.948937120000001</v>
      </c>
      <c r="O82" s="296">
        <f t="shared" si="9"/>
        <v>5.948937120000001</v>
      </c>
      <c r="P82" s="294">
        <f t="shared" si="10"/>
        <v>20.821279920000002</v>
      </c>
    </row>
    <row r="83" spans="1:16">
      <c r="A83" s="685">
        <v>81</v>
      </c>
      <c r="B83" s="686" t="s">
        <v>1737</v>
      </c>
      <c r="C83" s="695" t="s">
        <v>12</v>
      </c>
      <c r="D83" s="254">
        <v>37491782</v>
      </c>
      <c r="E83" s="280">
        <v>6160709</v>
      </c>
      <c r="F83" s="694">
        <v>634.5</v>
      </c>
      <c r="G83" s="689">
        <f t="shared" si="12"/>
        <v>46.826100000000004</v>
      </c>
      <c r="H83" s="694">
        <v>63.4</v>
      </c>
      <c r="I83" s="691">
        <f t="shared" si="13"/>
        <v>524.27390000000003</v>
      </c>
      <c r="J83" s="703" t="s">
        <v>16</v>
      </c>
      <c r="K83" s="694" t="s">
        <v>49</v>
      </c>
      <c r="L83" s="691">
        <f t="shared" si="11"/>
        <v>78.641085000000004</v>
      </c>
      <c r="M83" s="691">
        <f t="shared" si="7"/>
        <v>20.970956000000001</v>
      </c>
      <c r="N83" s="692">
        <f t="shared" si="8"/>
        <v>10.485478000000001</v>
      </c>
      <c r="O83" s="692">
        <f t="shared" si="9"/>
        <v>10.485478000000001</v>
      </c>
      <c r="P83" s="689">
        <f t="shared" si="10"/>
        <v>36.699173000000002</v>
      </c>
    </row>
    <row r="84" spans="1:16">
      <c r="A84" s="685">
        <v>82</v>
      </c>
      <c r="B84" s="686" t="s">
        <v>1738</v>
      </c>
      <c r="C84" s="695" t="s">
        <v>12</v>
      </c>
      <c r="D84" s="254">
        <v>100311111444298</v>
      </c>
      <c r="E84" s="280">
        <v>6160457</v>
      </c>
      <c r="F84" s="694">
        <v>731.67</v>
      </c>
      <c r="G84" s="689">
        <f t="shared" si="12"/>
        <v>53.997245999999997</v>
      </c>
      <c r="H84" s="694">
        <v>78.62</v>
      </c>
      <c r="I84" s="691">
        <f t="shared" si="13"/>
        <v>599.05275399999994</v>
      </c>
      <c r="J84" s="703" t="s">
        <v>13</v>
      </c>
      <c r="K84" s="694" t="s">
        <v>266</v>
      </c>
      <c r="L84" s="691">
        <f t="shared" si="11"/>
        <v>89.85791309999999</v>
      </c>
      <c r="M84" s="691">
        <f t="shared" si="7"/>
        <v>23.962110159999998</v>
      </c>
      <c r="N84" s="692">
        <f t="shared" si="8"/>
        <v>11.981055079999999</v>
      </c>
      <c r="O84" s="692">
        <f t="shared" si="9"/>
        <v>11.981055079999999</v>
      </c>
      <c r="P84" s="689">
        <f t="shared" si="10"/>
        <v>41.933692780000001</v>
      </c>
    </row>
    <row r="85" spans="1:16">
      <c r="A85" s="685">
        <v>83</v>
      </c>
      <c r="B85" s="686" t="s">
        <v>1739</v>
      </c>
      <c r="C85" s="695" t="s">
        <v>234</v>
      </c>
      <c r="D85" s="254">
        <v>100311111444773</v>
      </c>
      <c r="E85" s="280">
        <v>6158972</v>
      </c>
      <c r="F85" s="694">
        <v>564.66999999999996</v>
      </c>
      <c r="G85" s="689">
        <f t="shared" si="12"/>
        <v>41.672646</v>
      </c>
      <c r="H85" s="694">
        <v>60.68</v>
      </c>
      <c r="I85" s="691">
        <f t="shared" si="13"/>
        <v>462.31735399999997</v>
      </c>
      <c r="J85" s="703" t="s">
        <v>16</v>
      </c>
      <c r="K85" s="694" t="s">
        <v>14</v>
      </c>
      <c r="L85" s="691">
        <f t="shared" si="11"/>
        <v>69.347603099999986</v>
      </c>
      <c r="M85" s="691">
        <f t="shared" si="7"/>
        <v>18.492694159999999</v>
      </c>
      <c r="N85" s="692">
        <f t="shared" si="8"/>
        <v>9.2463470799999996</v>
      </c>
      <c r="O85" s="692">
        <f t="shared" si="9"/>
        <v>9.2463470799999996</v>
      </c>
      <c r="P85" s="689">
        <f t="shared" si="10"/>
        <v>32.362214779999988</v>
      </c>
    </row>
    <row r="86" spans="1:16">
      <c r="A86" s="685">
        <v>84</v>
      </c>
      <c r="B86" s="686" t="s">
        <v>1740</v>
      </c>
      <c r="C86" s="695" t="s">
        <v>234</v>
      </c>
      <c r="D86" s="254">
        <v>10031111444352</v>
      </c>
      <c r="E86" s="280">
        <v>6160283</v>
      </c>
      <c r="F86" s="694">
        <v>760.64</v>
      </c>
      <c r="G86" s="689">
        <f t="shared" si="12"/>
        <v>56.135232000000002</v>
      </c>
      <c r="H86" s="694">
        <v>81.73</v>
      </c>
      <c r="I86" s="691">
        <f t="shared" si="13"/>
        <v>622.77476799999999</v>
      </c>
      <c r="J86" s="703" t="s">
        <v>16</v>
      </c>
      <c r="K86" s="694" t="s">
        <v>1358</v>
      </c>
      <c r="L86" s="691">
        <f t="shared" si="11"/>
        <v>93.416215199999996</v>
      </c>
      <c r="M86" s="691">
        <f t="shared" si="7"/>
        <v>24.910990720000001</v>
      </c>
      <c r="N86" s="692">
        <f t="shared" si="8"/>
        <v>12.45549536</v>
      </c>
      <c r="O86" s="692">
        <f t="shared" si="9"/>
        <v>12.45549536</v>
      </c>
      <c r="P86" s="689">
        <f t="shared" si="10"/>
        <v>43.594233759999995</v>
      </c>
    </row>
    <row r="87" spans="1:16">
      <c r="A87" s="685">
        <v>85</v>
      </c>
      <c r="B87" s="686" t="s">
        <v>1741</v>
      </c>
      <c r="C87" s="695" t="s">
        <v>1180</v>
      </c>
      <c r="D87" s="254">
        <v>10031111442268</v>
      </c>
      <c r="E87" s="280">
        <v>6130970</v>
      </c>
      <c r="F87" s="694">
        <v>869.25</v>
      </c>
      <c r="G87" s="689">
        <f t="shared" si="12"/>
        <v>64.150649999999999</v>
      </c>
      <c r="H87" s="694">
        <v>0</v>
      </c>
      <c r="I87" s="691">
        <f t="shared" si="13"/>
        <v>805.09934999999996</v>
      </c>
      <c r="J87" s="703" t="s">
        <v>13</v>
      </c>
      <c r="K87" s="694" t="s">
        <v>24</v>
      </c>
      <c r="L87" s="691">
        <f t="shared" si="11"/>
        <v>120.76490249999999</v>
      </c>
      <c r="M87" s="691">
        <f t="shared" si="7"/>
        <v>32.203974000000002</v>
      </c>
      <c r="N87" s="692">
        <f t="shared" si="8"/>
        <v>16.101987000000001</v>
      </c>
      <c r="O87" s="692">
        <f t="shared" si="9"/>
        <v>16.101987000000001</v>
      </c>
      <c r="P87" s="689">
        <f t="shared" si="10"/>
        <v>56.356954499999979</v>
      </c>
    </row>
    <row r="88" spans="1:16">
      <c r="A88" s="685">
        <v>86</v>
      </c>
      <c r="B88" s="686" t="s">
        <v>1742</v>
      </c>
      <c r="C88" s="695" t="s">
        <v>12</v>
      </c>
      <c r="D88" s="254">
        <v>10031111442135</v>
      </c>
      <c r="E88" s="280">
        <v>6131018</v>
      </c>
      <c r="F88" s="694">
        <v>606.55999999999995</v>
      </c>
      <c r="G88" s="689">
        <f t="shared" si="12"/>
        <v>44.764127999999999</v>
      </c>
      <c r="H88" s="694">
        <v>0</v>
      </c>
      <c r="I88" s="691">
        <f t="shared" si="13"/>
        <v>561.79587199999992</v>
      </c>
      <c r="J88" s="703" t="s">
        <v>13</v>
      </c>
      <c r="K88" s="694" t="s">
        <v>235</v>
      </c>
      <c r="L88" s="691">
        <f t="shared" si="11"/>
        <v>84.269380799999979</v>
      </c>
      <c r="M88" s="691">
        <f t="shared" si="7"/>
        <v>22.471834879999996</v>
      </c>
      <c r="N88" s="692">
        <f t="shared" si="8"/>
        <v>11.235917439999998</v>
      </c>
      <c r="O88" s="692">
        <f t="shared" si="9"/>
        <v>11.235917439999998</v>
      </c>
      <c r="P88" s="689">
        <f t="shared" si="10"/>
        <v>39.325711039999987</v>
      </c>
    </row>
    <row r="89" spans="1:16">
      <c r="A89" s="685">
        <v>87</v>
      </c>
      <c r="B89" s="339" t="s">
        <v>1743</v>
      </c>
      <c r="C89" s="327" t="s">
        <v>1648</v>
      </c>
      <c r="D89" s="400">
        <v>100311114441958</v>
      </c>
      <c r="E89" s="401">
        <v>6130939</v>
      </c>
      <c r="F89" s="294">
        <v>476.28</v>
      </c>
      <c r="G89" s="294">
        <f t="shared" si="12"/>
        <v>35.149464000000002</v>
      </c>
      <c r="H89" s="294">
        <v>125.81</v>
      </c>
      <c r="I89" s="293">
        <f t="shared" si="13"/>
        <v>315.32053599999995</v>
      </c>
      <c r="J89" s="329" t="s">
        <v>13</v>
      </c>
      <c r="K89" s="294" t="s">
        <v>20</v>
      </c>
      <c r="L89" s="293">
        <f t="shared" si="11"/>
        <v>47.298080399999989</v>
      </c>
      <c r="M89" s="293">
        <f t="shared" si="7"/>
        <v>12.612821439999998</v>
      </c>
      <c r="N89" s="296">
        <f t="shared" si="8"/>
        <v>6.3064107199999988</v>
      </c>
      <c r="O89" s="296">
        <f t="shared" si="9"/>
        <v>6.3064107199999988</v>
      </c>
      <c r="P89" s="294">
        <f t="shared" si="10"/>
        <v>22.072437519999994</v>
      </c>
    </row>
    <row r="90" spans="1:16">
      <c r="A90" s="685">
        <v>88</v>
      </c>
      <c r="B90" s="686" t="s">
        <v>1744</v>
      </c>
      <c r="C90" s="695" t="s">
        <v>559</v>
      </c>
      <c r="D90" s="254">
        <v>10031111449583</v>
      </c>
      <c r="E90" s="280">
        <v>6158067</v>
      </c>
      <c r="F90" s="694">
        <v>565.48</v>
      </c>
      <c r="G90" s="689">
        <f t="shared" si="12"/>
        <v>41.732424000000002</v>
      </c>
      <c r="H90" s="694">
        <v>0</v>
      </c>
      <c r="I90" s="691">
        <f t="shared" si="13"/>
        <v>523.74757599999998</v>
      </c>
      <c r="J90" s="703" t="s">
        <v>13</v>
      </c>
      <c r="K90" s="694" t="s">
        <v>40</v>
      </c>
      <c r="L90" s="691">
        <f t="shared" si="11"/>
        <v>78.5621364</v>
      </c>
      <c r="M90" s="691">
        <f t="shared" si="7"/>
        <v>20.949903039999999</v>
      </c>
      <c r="N90" s="692">
        <f t="shared" si="8"/>
        <v>10.474951519999999</v>
      </c>
      <c r="O90" s="692">
        <f t="shared" si="9"/>
        <v>10.474951519999999</v>
      </c>
      <c r="P90" s="689">
        <f t="shared" si="10"/>
        <v>36.662330320000009</v>
      </c>
    </row>
    <row r="91" spans="1:16">
      <c r="A91" s="685">
        <v>89</v>
      </c>
      <c r="B91" s="686" t="s">
        <v>1745</v>
      </c>
      <c r="C91" s="695" t="s">
        <v>12</v>
      </c>
      <c r="D91" s="254">
        <v>10031111449563</v>
      </c>
      <c r="E91" s="280">
        <v>6158899</v>
      </c>
      <c r="F91" s="694">
        <v>726.48</v>
      </c>
      <c r="G91" s="689">
        <f t="shared" si="12"/>
        <v>53.614224000000007</v>
      </c>
      <c r="H91" s="694">
        <v>0</v>
      </c>
      <c r="I91" s="691">
        <f t="shared" si="13"/>
        <v>672.86577599999998</v>
      </c>
      <c r="J91" s="703" t="s">
        <v>13</v>
      </c>
      <c r="K91" s="694" t="s">
        <v>14</v>
      </c>
      <c r="L91" s="691">
        <f t="shared" si="11"/>
        <v>100.92986639999999</v>
      </c>
      <c r="M91" s="691">
        <f t="shared" si="7"/>
        <v>26.91463104</v>
      </c>
      <c r="N91" s="692">
        <f t="shared" si="8"/>
        <v>13.45731552</v>
      </c>
      <c r="O91" s="692">
        <f t="shared" si="9"/>
        <v>13.45731552</v>
      </c>
      <c r="P91" s="689">
        <f t="shared" si="10"/>
        <v>47.100604319999988</v>
      </c>
    </row>
    <row r="92" spans="1:16">
      <c r="A92" s="685">
        <v>90</v>
      </c>
      <c r="B92" s="686" t="s">
        <v>1746</v>
      </c>
      <c r="C92" s="695" t="s">
        <v>1747</v>
      </c>
      <c r="D92" s="254">
        <v>10031111449539</v>
      </c>
      <c r="E92" s="280">
        <v>6161589</v>
      </c>
      <c r="F92" s="694">
        <v>540.41999999999996</v>
      </c>
      <c r="G92" s="689">
        <f t="shared" si="12"/>
        <v>39.882995999999999</v>
      </c>
      <c r="H92" s="694">
        <v>58.07</v>
      </c>
      <c r="I92" s="691">
        <f t="shared" si="13"/>
        <v>442.46700399999997</v>
      </c>
      <c r="J92" s="703" t="s">
        <v>13</v>
      </c>
      <c r="K92" s="694" t="s">
        <v>36</v>
      </c>
      <c r="L92" s="691">
        <f t="shared" si="11"/>
        <v>66.370050599999999</v>
      </c>
      <c r="M92" s="691">
        <f t="shared" si="7"/>
        <v>17.698680159999999</v>
      </c>
      <c r="N92" s="692">
        <f t="shared" si="8"/>
        <v>8.8493400799999993</v>
      </c>
      <c r="O92" s="692">
        <f t="shared" si="9"/>
        <v>8.8493400799999993</v>
      </c>
      <c r="P92" s="689">
        <f t="shared" si="10"/>
        <v>30.972690280000009</v>
      </c>
    </row>
    <row r="93" spans="1:16">
      <c r="A93" s="685">
        <v>91</v>
      </c>
      <c r="B93" s="686" t="s">
        <v>1748</v>
      </c>
      <c r="C93" s="695" t="s">
        <v>276</v>
      </c>
      <c r="D93" s="254">
        <v>37505783</v>
      </c>
      <c r="E93" s="280">
        <v>6161385</v>
      </c>
      <c r="F93" s="694">
        <v>929.4</v>
      </c>
      <c r="G93" s="689">
        <f t="shared" si="12"/>
        <v>68.58972</v>
      </c>
      <c r="H93" s="694">
        <v>77.45</v>
      </c>
      <c r="I93" s="691">
        <f t="shared" si="13"/>
        <v>783.36027999999988</v>
      </c>
      <c r="J93" s="703" t="s">
        <v>16</v>
      </c>
      <c r="K93" s="694" t="s">
        <v>14</v>
      </c>
      <c r="L93" s="691">
        <f t="shared" si="11"/>
        <v>117.50404199999997</v>
      </c>
      <c r="M93" s="691">
        <f t="shared" si="7"/>
        <v>31.334411199999995</v>
      </c>
      <c r="N93" s="692">
        <f t="shared" si="8"/>
        <v>15.667205599999997</v>
      </c>
      <c r="O93" s="692">
        <f t="shared" si="9"/>
        <v>15.667205599999997</v>
      </c>
      <c r="P93" s="689">
        <f t="shared" si="10"/>
        <v>54.835219599999981</v>
      </c>
    </row>
    <row r="94" spans="1:16">
      <c r="A94" s="685">
        <v>92</v>
      </c>
      <c r="B94" s="686" t="s">
        <v>253</v>
      </c>
      <c r="C94" s="695" t="s">
        <v>1648</v>
      </c>
      <c r="D94" s="254">
        <v>100311111449202</v>
      </c>
      <c r="E94" s="280">
        <v>6162261</v>
      </c>
      <c r="F94" s="694">
        <v>517.37</v>
      </c>
      <c r="G94" s="689">
        <f t="shared" si="12"/>
        <v>38.181906000000005</v>
      </c>
      <c r="H94" s="694">
        <v>55.59</v>
      </c>
      <c r="I94" s="691">
        <f t="shared" si="13"/>
        <v>423.59809399999995</v>
      </c>
      <c r="J94" s="703" t="s">
        <v>13</v>
      </c>
      <c r="K94" s="694" t="s">
        <v>14</v>
      </c>
      <c r="L94" s="691">
        <f t="shared" si="11"/>
        <v>63.539714099999991</v>
      </c>
      <c r="M94" s="691">
        <f t="shared" si="7"/>
        <v>16.943923759999997</v>
      </c>
      <c r="N94" s="692">
        <f t="shared" si="8"/>
        <v>8.4719618799999985</v>
      </c>
      <c r="O94" s="692">
        <f t="shared" si="9"/>
        <v>8.4719618799999985</v>
      </c>
      <c r="P94" s="689">
        <f t="shared" si="10"/>
        <v>29.65186658</v>
      </c>
    </row>
    <row r="95" spans="1:16">
      <c r="A95" s="685">
        <v>93</v>
      </c>
      <c r="B95" s="708" t="s">
        <v>1749</v>
      </c>
      <c r="C95" s="695" t="s">
        <v>29</v>
      </c>
      <c r="D95" s="254">
        <v>37494768</v>
      </c>
      <c r="E95" s="280" t="s">
        <v>1750</v>
      </c>
      <c r="F95" s="694">
        <v>384.8</v>
      </c>
      <c r="G95" s="689">
        <f t="shared" si="12"/>
        <v>28.398240000000001</v>
      </c>
      <c r="H95" s="694">
        <v>96.2</v>
      </c>
      <c r="I95" s="691">
        <f t="shared" si="13"/>
        <v>260.20176000000004</v>
      </c>
      <c r="J95" s="703" t="s">
        <v>13</v>
      </c>
      <c r="K95" s="694" t="s">
        <v>17</v>
      </c>
      <c r="L95" s="691">
        <f t="shared" si="11"/>
        <v>39.030264000000003</v>
      </c>
      <c r="M95" s="691">
        <f t="shared" si="7"/>
        <v>10.408070400000001</v>
      </c>
      <c r="N95" s="692">
        <f t="shared" si="8"/>
        <v>5.2040352000000007</v>
      </c>
      <c r="O95" s="692">
        <f t="shared" si="9"/>
        <v>5.2040352000000007</v>
      </c>
      <c r="P95" s="689">
        <f t="shared" si="10"/>
        <v>18.214123200000003</v>
      </c>
    </row>
    <row r="96" spans="1:16">
      <c r="A96" s="685">
        <v>94</v>
      </c>
      <c r="B96" s="686" t="s">
        <v>1751</v>
      </c>
      <c r="C96" s="695" t="s">
        <v>173</v>
      </c>
      <c r="D96" s="254">
        <v>10031111449148</v>
      </c>
      <c r="E96" s="280" t="s">
        <v>1752</v>
      </c>
      <c r="F96" s="694">
        <v>542.97</v>
      </c>
      <c r="G96" s="689">
        <f t="shared" si="12"/>
        <v>40.071186000000004</v>
      </c>
      <c r="H96" s="694">
        <v>58.34</v>
      </c>
      <c r="I96" s="691">
        <f t="shared" si="13"/>
        <v>444.55881399999998</v>
      </c>
      <c r="J96" s="703" t="s">
        <v>13</v>
      </c>
      <c r="K96" s="694" t="s">
        <v>17</v>
      </c>
      <c r="L96" s="691">
        <f t="shared" si="11"/>
        <v>66.6838221</v>
      </c>
      <c r="M96" s="691">
        <f t="shared" si="7"/>
        <v>17.78235256</v>
      </c>
      <c r="N96" s="692">
        <f t="shared" si="8"/>
        <v>8.8911762799999998</v>
      </c>
      <c r="O96" s="692">
        <f t="shared" si="9"/>
        <v>8.8911762799999998</v>
      </c>
      <c r="P96" s="689">
        <f t="shared" si="10"/>
        <v>31.119116979999998</v>
      </c>
    </row>
    <row r="97" spans="1:16">
      <c r="A97" s="685">
        <v>95</v>
      </c>
      <c r="B97" s="686" t="s">
        <v>1753</v>
      </c>
      <c r="C97" s="695" t="s">
        <v>173</v>
      </c>
      <c r="D97" s="254">
        <v>100311111454758</v>
      </c>
      <c r="E97" s="280">
        <v>6162353</v>
      </c>
      <c r="F97" s="694">
        <v>551.94000000000005</v>
      </c>
      <c r="G97" s="689">
        <f t="shared" si="12"/>
        <v>40.733172000000003</v>
      </c>
      <c r="H97" s="694">
        <v>593.11</v>
      </c>
      <c r="I97" s="691">
        <f t="shared" si="13"/>
        <v>-81.903171999999984</v>
      </c>
      <c r="J97" s="703" t="s">
        <v>13</v>
      </c>
      <c r="K97" s="694" t="s">
        <v>14</v>
      </c>
      <c r="L97" s="691">
        <f t="shared" si="11"/>
        <v>-12.285475799999997</v>
      </c>
      <c r="M97" s="691">
        <f t="shared" si="7"/>
        <v>-3.2761268799999996</v>
      </c>
      <c r="N97" s="692">
        <f t="shared" si="8"/>
        <v>-1.6380634399999998</v>
      </c>
      <c r="O97" s="692">
        <f t="shared" si="9"/>
        <v>-1.6380634399999998</v>
      </c>
      <c r="P97" s="689">
        <f t="shared" si="10"/>
        <v>-5.7332220399999976</v>
      </c>
    </row>
    <row r="98" spans="1:16">
      <c r="A98" s="685">
        <v>96</v>
      </c>
      <c r="B98" s="686" t="s">
        <v>1754</v>
      </c>
      <c r="C98" s="695" t="s">
        <v>1648</v>
      </c>
      <c r="D98" s="254">
        <v>100311111454758</v>
      </c>
      <c r="E98" s="280">
        <v>6165162</v>
      </c>
      <c r="F98" s="694">
        <v>436.77</v>
      </c>
      <c r="G98" s="689">
        <f t="shared" si="12"/>
        <v>32.233626000000001</v>
      </c>
      <c r="H98" s="694">
        <v>0</v>
      </c>
      <c r="I98" s="691">
        <f t="shared" si="13"/>
        <v>404.53637399999997</v>
      </c>
      <c r="J98" s="703" t="s">
        <v>13</v>
      </c>
      <c r="K98" s="694" t="s">
        <v>14</v>
      </c>
      <c r="L98" s="691">
        <f t="shared" si="11"/>
        <v>60.680456099999994</v>
      </c>
      <c r="M98" s="691">
        <f t="shared" si="7"/>
        <v>16.18145496</v>
      </c>
      <c r="N98" s="692">
        <f t="shared" si="8"/>
        <v>8.09072748</v>
      </c>
      <c r="O98" s="692">
        <f t="shared" si="9"/>
        <v>8.09072748</v>
      </c>
      <c r="P98" s="689">
        <f t="shared" si="10"/>
        <v>28.317546179999994</v>
      </c>
    </row>
    <row r="99" spans="1:16">
      <c r="A99" s="685">
        <v>97</v>
      </c>
      <c r="B99" s="686" t="s">
        <v>1755</v>
      </c>
      <c r="C99" s="695" t="s">
        <v>1648</v>
      </c>
      <c r="D99" s="254">
        <v>2875734</v>
      </c>
      <c r="E99" s="280" t="s">
        <v>1756</v>
      </c>
      <c r="F99" s="694">
        <v>413.72</v>
      </c>
      <c r="G99" s="689">
        <f t="shared" si="12"/>
        <v>30.532536000000004</v>
      </c>
      <c r="H99" s="694">
        <v>45.97</v>
      </c>
      <c r="I99" s="691">
        <f t="shared" si="13"/>
        <v>337.21746400000006</v>
      </c>
      <c r="J99" s="703" t="s">
        <v>16</v>
      </c>
      <c r="K99" s="694" t="s">
        <v>14</v>
      </c>
      <c r="L99" s="691">
        <f t="shared" si="11"/>
        <v>50.582619600000008</v>
      </c>
      <c r="M99" s="691">
        <f t="shared" si="7"/>
        <v>13.488698560000003</v>
      </c>
      <c r="N99" s="692">
        <f t="shared" si="8"/>
        <v>6.7443492800000016</v>
      </c>
      <c r="O99" s="692">
        <f t="shared" si="9"/>
        <v>6.7443492800000016</v>
      </c>
      <c r="P99" s="689">
        <f t="shared" si="10"/>
        <v>23.605222480000002</v>
      </c>
    </row>
    <row r="100" spans="1:16">
      <c r="A100" s="685">
        <v>98</v>
      </c>
      <c r="B100" s="686" t="s">
        <v>1757</v>
      </c>
      <c r="C100" s="695" t="s">
        <v>1648</v>
      </c>
      <c r="D100" s="254">
        <v>37478924</v>
      </c>
      <c r="E100" s="280" t="s">
        <v>1758</v>
      </c>
      <c r="F100" s="694">
        <v>316.07</v>
      </c>
      <c r="G100" s="689">
        <f t="shared" si="12"/>
        <v>23.325966000000001</v>
      </c>
      <c r="H100" s="694">
        <v>0</v>
      </c>
      <c r="I100" s="691">
        <f t="shared" si="13"/>
        <v>292.744034</v>
      </c>
      <c r="J100" s="703" t="s">
        <v>13</v>
      </c>
      <c r="K100" s="694" t="s">
        <v>20</v>
      </c>
      <c r="L100" s="691">
        <f t="shared" si="11"/>
        <v>43.911605099999996</v>
      </c>
      <c r="M100" s="691">
        <f t="shared" si="7"/>
        <v>11.70976136</v>
      </c>
      <c r="N100" s="692">
        <f t="shared" si="8"/>
        <v>5.8548806799999999</v>
      </c>
      <c r="O100" s="692">
        <f t="shared" si="9"/>
        <v>5.8548806799999999</v>
      </c>
      <c r="P100" s="689">
        <f t="shared" si="10"/>
        <v>20.492082379999992</v>
      </c>
    </row>
    <row r="101" spans="1:16">
      <c r="A101" s="685">
        <v>99</v>
      </c>
      <c r="B101" s="686" t="s">
        <v>1759</v>
      </c>
      <c r="C101" s="695" t="s">
        <v>1180</v>
      </c>
      <c r="D101" s="254">
        <v>10031111462849</v>
      </c>
      <c r="E101" s="280">
        <v>6170857</v>
      </c>
      <c r="F101" s="694">
        <v>1044.1099999999999</v>
      </c>
      <c r="G101" s="689">
        <f t="shared" si="12"/>
        <v>77.055318</v>
      </c>
      <c r="H101" s="694">
        <v>0</v>
      </c>
      <c r="I101" s="691">
        <f t="shared" si="13"/>
        <v>967.05468199999996</v>
      </c>
      <c r="J101" s="703" t="s">
        <v>13</v>
      </c>
      <c r="K101" s="694" t="s">
        <v>211</v>
      </c>
      <c r="L101" s="691">
        <f t="shared" si="11"/>
        <v>145.05820229999998</v>
      </c>
      <c r="M101" s="691">
        <f t="shared" si="7"/>
        <v>38.682187280000001</v>
      </c>
      <c r="N101" s="692">
        <f t="shared" si="8"/>
        <v>19.34109364</v>
      </c>
      <c r="O101" s="692">
        <f t="shared" si="9"/>
        <v>19.34109364</v>
      </c>
      <c r="P101" s="689">
        <f t="shared" si="10"/>
        <v>67.693827739999989</v>
      </c>
    </row>
    <row r="102" spans="1:16">
      <c r="A102" s="685">
        <v>100</v>
      </c>
      <c r="B102" s="686" t="s">
        <v>1760</v>
      </c>
      <c r="C102" s="695" t="s">
        <v>1648</v>
      </c>
      <c r="D102" s="254">
        <v>10031111461849</v>
      </c>
      <c r="E102" s="280">
        <v>6170339</v>
      </c>
      <c r="F102" s="694">
        <v>528.29999999999995</v>
      </c>
      <c r="G102" s="689">
        <f t="shared" si="12"/>
        <v>38.98854</v>
      </c>
      <c r="H102" s="694">
        <v>56.77</v>
      </c>
      <c r="I102" s="691">
        <f t="shared" si="13"/>
        <v>432.54145999999997</v>
      </c>
      <c r="J102" s="703" t="s">
        <v>13</v>
      </c>
      <c r="K102" s="694" t="s">
        <v>1358</v>
      </c>
      <c r="L102" s="691">
        <f t="shared" si="11"/>
        <v>64.881218999999987</v>
      </c>
      <c r="M102" s="691">
        <f t="shared" si="7"/>
        <v>17.301658400000001</v>
      </c>
      <c r="N102" s="692">
        <f t="shared" si="8"/>
        <v>8.6508292000000004</v>
      </c>
      <c r="O102" s="692">
        <f t="shared" si="9"/>
        <v>8.6508292000000004</v>
      </c>
      <c r="P102" s="689">
        <f t="shared" si="10"/>
        <v>30.277902199999989</v>
      </c>
    </row>
    <row r="103" spans="1:16">
      <c r="A103" s="685">
        <v>101</v>
      </c>
      <c r="B103" s="686" t="s">
        <v>1761</v>
      </c>
      <c r="C103" s="695" t="s">
        <v>234</v>
      </c>
      <c r="D103" s="254">
        <v>10031111458584</v>
      </c>
      <c r="E103" s="280">
        <v>6168174</v>
      </c>
      <c r="F103" s="694">
        <v>889.54</v>
      </c>
      <c r="G103" s="689">
        <f t="shared" si="12"/>
        <v>65.648052000000007</v>
      </c>
      <c r="H103" s="694">
        <v>192.13</v>
      </c>
      <c r="I103" s="691">
        <f t="shared" si="13"/>
        <v>631.76194799999996</v>
      </c>
      <c r="J103" s="703" t="s">
        <v>16</v>
      </c>
      <c r="K103" s="694" t="s">
        <v>238</v>
      </c>
      <c r="L103" s="691">
        <f t="shared" si="11"/>
        <v>94.764292199999986</v>
      </c>
      <c r="M103" s="691">
        <f t="shared" si="7"/>
        <v>25.270477919999998</v>
      </c>
      <c r="N103" s="692">
        <f t="shared" si="8"/>
        <v>12.635238959999999</v>
      </c>
      <c r="O103" s="692">
        <f t="shared" si="9"/>
        <v>12.635238959999999</v>
      </c>
      <c r="P103" s="689">
        <f t="shared" si="10"/>
        <v>44.22333635999999</v>
      </c>
    </row>
    <row r="104" spans="1:16">
      <c r="A104" s="685">
        <v>102</v>
      </c>
      <c r="B104" s="686" t="s">
        <v>1762</v>
      </c>
      <c r="C104" s="695" t="s">
        <v>1763</v>
      </c>
      <c r="D104" s="254">
        <v>10031111459824</v>
      </c>
      <c r="E104" s="280">
        <v>6169349</v>
      </c>
      <c r="F104" s="694">
        <v>496.08</v>
      </c>
      <c r="G104" s="689">
        <f t="shared" si="12"/>
        <v>36.610703999999998</v>
      </c>
      <c r="H104" s="694">
        <v>165.36</v>
      </c>
      <c r="I104" s="691">
        <f t="shared" si="13"/>
        <v>294.10929599999997</v>
      </c>
      <c r="J104" s="703" t="s">
        <v>13</v>
      </c>
      <c r="K104" s="694" t="s">
        <v>14</v>
      </c>
      <c r="L104" s="691">
        <f t="shared" si="11"/>
        <v>44.116394399999997</v>
      </c>
      <c r="M104" s="691">
        <f t="shared" si="7"/>
        <v>11.764371839999999</v>
      </c>
      <c r="N104" s="692">
        <f t="shared" si="8"/>
        <v>5.8821859199999995</v>
      </c>
      <c r="O104" s="692">
        <f t="shared" si="9"/>
        <v>5.8821859199999995</v>
      </c>
      <c r="P104" s="689">
        <f t="shared" si="10"/>
        <v>20.587650719999999</v>
      </c>
    </row>
    <row r="105" spans="1:16">
      <c r="A105" s="685">
        <v>103</v>
      </c>
      <c r="B105" s="339" t="s">
        <v>1764</v>
      </c>
      <c r="C105" s="327" t="s">
        <v>1765</v>
      </c>
      <c r="D105" s="400">
        <v>10031111469847</v>
      </c>
      <c r="E105" s="401" t="s">
        <v>1766</v>
      </c>
      <c r="F105" s="294">
        <v>503.98</v>
      </c>
      <c r="G105" s="294">
        <f t="shared" si="12"/>
        <v>37.193724000000003</v>
      </c>
      <c r="H105" s="294">
        <v>54.15</v>
      </c>
      <c r="I105" s="293">
        <f t="shared" si="13"/>
        <v>412.63627600000007</v>
      </c>
      <c r="J105" s="329" t="s">
        <v>13</v>
      </c>
      <c r="K105" s="294" t="s">
        <v>14</v>
      </c>
      <c r="L105" s="293">
        <f t="shared" si="11"/>
        <v>61.89544140000001</v>
      </c>
      <c r="M105" s="293">
        <f t="shared" si="7"/>
        <v>16.505451040000004</v>
      </c>
      <c r="N105" s="296">
        <f t="shared" si="8"/>
        <v>8.252725520000002</v>
      </c>
      <c r="O105" s="296">
        <f t="shared" si="9"/>
        <v>8.252725520000002</v>
      </c>
      <c r="P105" s="294">
        <f t="shared" si="10"/>
        <v>28.884539319999998</v>
      </c>
    </row>
    <row r="106" spans="1:16">
      <c r="A106" s="685">
        <v>104</v>
      </c>
      <c r="B106" s="686" t="s">
        <v>1767</v>
      </c>
      <c r="C106" s="695" t="s">
        <v>1648</v>
      </c>
      <c r="D106" s="254">
        <v>34728965</v>
      </c>
      <c r="E106" s="280">
        <v>6153807</v>
      </c>
      <c r="F106" s="694">
        <v>525.46</v>
      </c>
      <c r="G106" s="689">
        <f t="shared" si="12"/>
        <v>38.778948000000007</v>
      </c>
      <c r="H106" s="694">
        <v>56.46</v>
      </c>
      <c r="I106" s="691">
        <f t="shared" si="13"/>
        <v>430.22105200000004</v>
      </c>
      <c r="J106" s="703" t="s">
        <v>13</v>
      </c>
      <c r="K106" s="694" t="s">
        <v>25</v>
      </c>
      <c r="L106" s="691">
        <f t="shared" si="11"/>
        <v>64.533157799999998</v>
      </c>
      <c r="M106" s="691">
        <f t="shared" si="7"/>
        <v>17.208842080000004</v>
      </c>
      <c r="N106" s="692">
        <f t="shared" si="8"/>
        <v>8.6044210400000019</v>
      </c>
      <c r="O106" s="692">
        <f t="shared" si="9"/>
        <v>8.6044210400000019</v>
      </c>
      <c r="P106" s="689">
        <f t="shared" si="10"/>
        <v>30.115473639999994</v>
      </c>
    </row>
    <row r="107" spans="1:16">
      <c r="A107" s="685">
        <v>105</v>
      </c>
      <c r="B107" s="686" t="s">
        <v>1768</v>
      </c>
      <c r="C107" s="695" t="s">
        <v>12</v>
      </c>
      <c r="D107" s="254">
        <v>10031111466082</v>
      </c>
      <c r="E107" s="280">
        <v>6135600</v>
      </c>
      <c r="F107" s="694">
        <v>649</v>
      </c>
      <c r="G107" s="689">
        <f t="shared" si="12"/>
        <v>47.8962</v>
      </c>
      <c r="H107" s="694">
        <v>0</v>
      </c>
      <c r="I107" s="691">
        <f t="shared" si="13"/>
        <v>601.10379999999998</v>
      </c>
      <c r="J107" s="703" t="s">
        <v>13</v>
      </c>
      <c r="K107" s="694" t="s">
        <v>1769</v>
      </c>
      <c r="L107" s="691">
        <f t="shared" si="11"/>
        <v>90.165569999999988</v>
      </c>
      <c r="M107" s="691">
        <f t="shared" si="7"/>
        <v>24.044152</v>
      </c>
      <c r="N107" s="692">
        <f t="shared" si="8"/>
        <v>12.022076</v>
      </c>
      <c r="O107" s="692">
        <f t="shared" si="9"/>
        <v>12.022076</v>
      </c>
      <c r="P107" s="689">
        <f t="shared" si="10"/>
        <v>42.077265999999995</v>
      </c>
    </row>
    <row r="108" spans="1:16">
      <c r="A108" s="685">
        <v>106</v>
      </c>
      <c r="B108" s="686" t="s">
        <v>1770</v>
      </c>
      <c r="C108" s="695" t="s">
        <v>1648</v>
      </c>
      <c r="D108" s="254">
        <v>10031111466024</v>
      </c>
      <c r="E108" s="280">
        <v>6132263</v>
      </c>
      <c r="F108" s="694">
        <v>533.15</v>
      </c>
      <c r="G108" s="689">
        <f t="shared" si="12"/>
        <v>39.346470000000004</v>
      </c>
      <c r="H108" s="694">
        <v>64.849999999999994</v>
      </c>
      <c r="I108" s="691">
        <f t="shared" si="13"/>
        <v>428.95353</v>
      </c>
      <c r="J108" s="703" t="s">
        <v>13</v>
      </c>
      <c r="K108" s="694" t="s">
        <v>53</v>
      </c>
      <c r="L108" s="691">
        <f t="shared" si="11"/>
        <v>64.3430295</v>
      </c>
      <c r="M108" s="691">
        <f t="shared" si="7"/>
        <v>17.158141199999999</v>
      </c>
      <c r="N108" s="692">
        <f t="shared" si="8"/>
        <v>8.5790705999999997</v>
      </c>
      <c r="O108" s="692">
        <f t="shared" si="9"/>
        <v>8.5790705999999997</v>
      </c>
      <c r="P108" s="689">
        <f t="shared" si="10"/>
        <v>30.026747099999994</v>
      </c>
    </row>
    <row r="109" spans="1:16">
      <c r="A109" s="685">
        <v>107</v>
      </c>
      <c r="B109" s="686" t="s">
        <v>1771</v>
      </c>
      <c r="C109" s="695" t="s">
        <v>173</v>
      </c>
      <c r="D109" s="254">
        <v>10031111465946</v>
      </c>
      <c r="E109" s="280">
        <v>6158139</v>
      </c>
      <c r="F109" s="694">
        <v>633.66999999999996</v>
      </c>
      <c r="G109" s="689">
        <f t="shared" si="12"/>
        <v>46.764845999999999</v>
      </c>
      <c r="H109" s="694">
        <v>0</v>
      </c>
      <c r="I109" s="691">
        <f t="shared" si="13"/>
        <v>586.90515399999992</v>
      </c>
      <c r="J109" s="703" t="s">
        <v>13</v>
      </c>
      <c r="K109" s="694" t="s">
        <v>264</v>
      </c>
      <c r="L109" s="691">
        <f t="shared" si="11"/>
        <v>88.035773099999986</v>
      </c>
      <c r="M109" s="691">
        <f t="shared" si="7"/>
        <v>23.476206159999997</v>
      </c>
      <c r="N109" s="692">
        <f t="shared" si="8"/>
        <v>11.738103079999998</v>
      </c>
      <c r="O109" s="692">
        <f t="shared" si="9"/>
        <v>11.738103079999998</v>
      </c>
      <c r="P109" s="689">
        <f t="shared" si="10"/>
        <v>41.083360779999992</v>
      </c>
    </row>
    <row r="110" spans="1:16">
      <c r="A110" s="685">
        <v>108</v>
      </c>
      <c r="B110" s="686" t="s">
        <v>1772</v>
      </c>
      <c r="C110" s="695" t="s">
        <v>1648</v>
      </c>
      <c r="D110" s="254">
        <v>2875735</v>
      </c>
      <c r="E110" s="280">
        <v>6172057</v>
      </c>
      <c r="F110" s="694">
        <v>459.7</v>
      </c>
      <c r="G110" s="689">
        <f t="shared" si="12"/>
        <v>33.92586</v>
      </c>
      <c r="H110" s="694">
        <v>56.87</v>
      </c>
      <c r="I110" s="691">
        <f t="shared" si="13"/>
        <v>368.90413999999998</v>
      </c>
      <c r="J110" s="703" t="s">
        <v>13</v>
      </c>
      <c r="K110" s="694" t="s">
        <v>17</v>
      </c>
      <c r="L110" s="691">
        <f t="shared" si="11"/>
        <v>55.335620999999996</v>
      </c>
      <c r="M110" s="691">
        <f t="shared" si="7"/>
        <v>14.756165599999999</v>
      </c>
      <c r="N110" s="692">
        <f t="shared" si="8"/>
        <v>7.3780827999999996</v>
      </c>
      <c r="O110" s="692">
        <f t="shared" si="9"/>
        <v>7.3780827999999996</v>
      </c>
      <c r="P110" s="689">
        <f t="shared" si="10"/>
        <v>25.823289799999998</v>
      </c>
    </row>
    <row r="111" spans="1:16">
      <c r="A111" s="685">
        <v>109</v>
      </c>
      <c r="B111" s="686" t="s">
        <v>1773</v>
      </c>
      <c r="C111" s="695" t="s">
        <v>173</v>
      </c>
      <c r="D111" s="254">
        <v>10031111465086</v>
      </c>
      <c r="E111" s="280">
        <v>6171916</v>
      </c>
      <c r="F111" s="694">
        <v>554.94000000000005</v>
      </c>
      <c r="G111" s="689">
        <f t="shared" si="12"/>
        <v>40.954572000000006</v>
      </c>
      <c r="H111" s="694">
        <v>59.63</v>
      </c>
      <c r="I111" s="691">
        <f t="shared" si="13"/>
        <v>454.35542800000007</v>
      </c>
      <c r="J111" s="703" t="s">
        <v>13</v>
      </c>
      <c r="K111" s="694" t="s">
        <v>1774</v>
      </c>
      <c r="L111" s="691">
        <f t="shared" si="11"/>
        <v>68.153314200000011</v>
      </c>
      <c r="M111" s="691">
        <f t="shared" si="7"/>
        <v>18.174217120000005</v>
      </c>
      <c r="N111" s="692">
        <f t="shared" si="8"/>
        <v>9.0871085600000026</v>
      </c>
      <c r="O111" s="692">
        <f t="shared" si="9"/>
        <v>9.0871085600000026</v>
      </c>
      <c r="P111" s="689">
        <f t="shared" si="10"/>
        <v>31.804879959999994</v>
      </c>
    </row>
    <row r="112" spans="1:16">
      <c r="A112" s="685">
        <v>110</v>
      </c>
      <c r="B112" s="686" t="s">
        <v>1775</v>
      </c>
      <c r="C112" s="695" t="s">
        <v>1648</v>
      </c>
      <c r="D112" s="254">
        <v>100311111483014</v>
      </c>
      <c r="E112" s="280" t="s">
        <v>1776</v>
      </c>
      <c r="F112" s="694">
        <v>458.63</v>
      </c>
      <c r="G112" s="689">
        <f t="shared" si="12"/>
        <v>33.846893999999999</v>
      </c>
      <c r="H112" s="694">
        <v>0</v>
      </c>
      <c r="I112" s="691">
        <f t="shared" si="13"/>
        <v>424.78310599999998</v>
      </c>
      <c r="J112" s="703" t="s">
        <v>13</v>
      </c>
      <c r="K112" s="694" t="s">
        <v>211</v>
      </c>
      <c r="L112" s="691">
        <f t="shared" si="11"/>
        <v>63.717465899999993</v>
      </c>
      <c r="M112" s="691">
        <f t="shared" si="7"/>
        <v>16.991324240000001</v>
      </c>
      <c r="N112" s="692">
        <f t="shared" si="8"/>
        <v>8.4956621200000004</v>
      </c>
      <c r="O112" s="692">
        <f t="shared" si="9"/>
        <v>8.4956621200000004</v>
      </c>
      <c r="P112" s="689">
        <f t="shared" si="10"/>
        <v>29.734817419999999</v>
      </c>
    </row>
    <row r="113" spans="1:16">
      <c r="A113" s="685">
        <v>111</v>
      </c>
      <c r="B113" s="339" t="s">
        <v>1777</v>
      </c>
      <c r="C113" s="327" t="s">
        <v>1038</v>
      </c>
      <c r="D113" s="400">
        <v>10031111472006</v>
      </c>
      <c r="E113" s="401">
        <v>6176165</v>
      </c>
      <c r="F113" s="294">
        <v>693.57</v>
      </c>
      <c r="G113" s="294">
        <f t="shared" si="12"/>
        <v>51.185466000000005</v>
      </c>
      <c r="H113" s="294">
        <v>74.53</v>
      </c>
      <c r="I113" s="293">
        <f t="shared" si="13"/>
        <v>567.85453400000006</v>
      </c>
      <c r="J113" s="329" t="s">
        <v>13</v>
      </c>
      <c r="K113" s="294" t="s">
        <v>17</v>
      </c>
      <c r="L113" s="293">
        <f t="shared" si="11"/>
        <v>85.178180100000006</v>
      </c>
      <c r="M113" s="293">
        <f t="shared" si="7"/>
        <v>22.714181360000001</v>
      </c>
      <c r="N113" s="296">
        <f t="shared" si="8"/>
        <v>11.357090680000001</v>
      </c>
      <c r="O113" s="296">
        <f t="shared" si="9"/>
        <v>11.357090680000001</v>
      </c>
      <c r="P113" s="294">
        <f t="shared" si="10"/>
        <v>39.74981738000001</v>
      </c>
    </row>
    <row r="114" spans="1:16">
      <c r="A114" s="685">
        <v>112</v>
      </c>
      <c r="B114" s="686" t="s">
        <v>1778</v>
      </c>
      <c r="C114" s="695" t="s">
        <v>1648</v>
      </c>
      <c r="D114" s="254">
        <v>10031111470156</v>
      </c>
      <c r="E114" s="280">
        <v>6174621</v>
      </c>
      <c r="F114" s="694">
        <v>512.42999999999995</v>
      </c>
      <c r="G114" s="689">
        <f t="shared" si="12"/>
        <v>37.817333999999995</v>
      </c>
      <c r="H114" s="694">
        <v>55.06</v>
      </c>
      <c r="I114" s="691">
        <f t="shared" si="13"/>
        <v>419.55266599999993</v>
      </c>
      <c r="J114" s="703" t="s">
        <v>13</v>
      </c>
      <c r="K114" s="694" t="s">
        <v>14</v>
      </c>
      <c r="L114" s="691">
        <f t="shared" si="11"/>
        <v>62.932899899999988</v>
      </c>
      <c r="M114" s="691">
        <f t="shared" si="7"/>
        <v>16.782106639999999</v>
      </c>
      <c r="N114" s="692">
        <f t="shared" si="8"/>
        <v>8.3910533199999993</v>
      </c>
      <c r="O114" s="692">
        <f t="shared" si="9"/>
        <v>8.3910533199999993</v>
      </c>
      <c r="P114" s="689">
        <f t="shared" si="10"/>
        <v>29.368686619999991</v>
      </c>
    </row>
    <row r="115" spans="1:16">
      <c r="A115" s="685">
        <v>113</v>
      </c>
      <c r="B115" s="686" t="s">
        <v>1779</v>
      </c>
      <c r="C115" s="695" t="s">
        <v>1648</v>
      </c>
      <c r="D115" s="254">
        <v>37521835</v>
      </c>
      <c r="E115" s="280">
        <v>6175682</v>
      </c>
      <c r="F115" s="694">
        <v>409.77</v>
      </c>
      <c r="G115" s="689">
        <f t="shared" si="12"/>
        <v>30.241026000000002</v>
      </c>
      <c r="H115" s="694">
        <v>0</v>
      </c>
      <c r="I115" s="691">
        <f t="shared" si="13"/>
        <v>379.52897400000001</v>
      </c>
      <c r="J115" s="703" t="s">
        <v>13</v>
      </c>
      <c r="K115" s="694" t="s">
        <v>17</v>
      </c>
      <c r="L115" s="691">
        <f t="shared" si="11"/>
        <v>56.929346099999997</v>
      </c>
      <c r="M115" s="691">
        <f t="shared" si="7"/>
        <v>15.181158960000001</v>
      </c>
      <c r="N115" s="692">
        <f t="shared" si="8"/>
        <v>7.5905794800000006</v>
      </c>
      <c r="O115" s="692">
        <f t="shared" si="9"/>
        <v>7.5905794800000006</v>
      </c>
      <c r="P115" s="689">
        <f t="shared" si="10"/>
        <v>26.567028179999994</v>
      </c>
    </row>
    <row r="116" spans="1:16">
      <c r="A116" s="685">
        <v>114</v>
      </c>
      <c r="B116" s="686" t="s">
        <v>1780</v>
      </c>
      <c r="C116" s="695" t="s">
        <v>1648</v>
      </c>
      <c r="D116" s="254">
        <v>10031111468397</v>
      </c>
      <c r="E116" s="280">
        <v>6161617</v>
      </c>
      <c r="F116" s="694">
        <v>531.29</v>
      </c>
      <c r="G116" s="689">
        <f t="shared" si="12"/>
        <v>39.209201999999998</v>
      </c>
      <c r="H116" s="694">
        <v>57.09</v>
      </c>
      <c r="I116" s="691">
        <f t="shared" si="13"/>
        <v>434.99079799999993</v>
      </c>
      <c r="J116" s="703" t="s">
        <v>13</v>
      </c>
      <c r="K116" s="694" t="s">
        <v>20</v>
      </c>
      <c r="L116" s="691">
        <f t="shared" si="11"/>
        <v>65.248619699999992</v>
      </c>
      <c r="M116" s="691">
        <f t="shared" si="7"/>
        <v>17.399631919999997</v>
      </c>
      <c r="N116" s="692">
        <f t="shared" si="8"/>
        <v>8.6998159599999987</v>
      </c>
      <c r="O116" s="692">
        <f t="shared" si="9"/>
        <v>8.6998159599999987</v>
      </c>
      <c r="P116" s="689">
        <f t="shared" si="10"/>
        <v>30.449355859999994</v>
      </c>
    </row>
    <row r="117" spans="1:16">
      <c r="A117" s="685">
        <v>115</v>
      </c>
      <c r="B117" s="686" t="s">
        <v>1781</v>
      </c>
      <c r="C117" s="695" t="s">
        <v>1038</v>
      </c>
      <c r="D117" s="254">
        <v>37513761</v>
      </c>
      <c r="E117" s="280">
        <v>6171905</v>
      </c>
      <c r="F117" s="694">
        <v>769.55</v>
      </c>
      <c r="G117" s="689">
        <f t="shared" si="12"/>
        <v>56.792789999999997</v>
      </c>
      <c r="H117" s="694">
        <v>100.45</v>
      </c>
      <c r="I117" s="691">
        <f t="shared" si="13"/>
        <v>612.30720999999994</v>
      </c>
      <c r="J117" s="703" t="s">
        <v>13</v>
      </c>
      <c r="K117" s="694" t="s">
        <v>211</v>
      </c>
      <c r="L117" s="691">
        <f t="shared" si="11"/>
        <v>91.846081499999983</v>
      </c>
      <c r="M117" s="691">
        <f t="shared" si="7"/>
        <v>24.4922884</v>
      </c>
      <c r="N117" s="692">
        <f t="shared" si="8"/>
        <v>12.2461442</v>
      </c>
      <c r="O117" s="692">
        <f t="shared" si="9"/>
        <v>12.2461442</v>
      </c>
      <c r="P117" s="689">
        <f t="shared" si="10"/>
        <v>42.861504699999983</v>
      </c>
    </row>
    <row r="118" spans="1:16">
      <c r="A118" s="685">
        <v>116</v>
      </c>
      <c r="B118" s="686" t="s">
        <v>1782</v>
      </c>
      <c r="C118" s="695" t="s">
        <v>1648</v>
      </c>
      <c r="D118" s="254">
        <v>10031111472256</v>
      </c>
      <c r="E118" s="280" t="s">
        <v>1783</v>
      </c>
      <c r="F118" s="694">
        <v>431.36</v>
      </c>
      <c r="G118" s="689">
        <f t="shared" si="12"/>
        <v>31.834368000000001</v>
      </c>
      <c r="H118" s="694">
        <v>46.35</v>
      </c>
      <c r="I118" s="691">
        <f t="shared" si="13"/>
        <v>353.17563200000001</v>
      </c>
      <c r="J118" s="703" t="s">
        <v>13</v>
      </c>
      <c r="K118" s="694" t="s">
        <v>20</v>
      </c>
      <c r="L118" s="691">
        <f t="shared" si="11"/>
        <v>52.9763448</v>
      </c>
      <c r="M118" s="691">
        <f t="shared" si="7"/>
        <v>14.12702528</v>
      </c>
      <c r="N118" s="692">
        <f t="shared" si="8"/>
        <v>7.0635126399999999</v>
      </c>
      <c r="O118" s="692">
        <f t="shared" si="9"/>
        <v>7.0635126399999999</v>
      </c>
      <c r="P118" s="689">
        <f t="shared" si="10"/>
        <v>24.722294240000004</v>
      </c>
    </row>
    <row r="119" spans="1:16">
      <c r="A119" s="685">
        <v>117</v>
      </c>
      <c r="B119" s="339" t="s">
        <v>1784</v>
      </c>
      <c r="C119" s="327" t="s">
        <v>1785</v>
      </c>
      <c r="D119" s="400">
        <v>10031111472267</v>
      </c>
      <c r="E119" s="401">
        <v>6178109</v>
      </c>
      <c r="F119" s="294">
        <v>826.32</v>
      </c>
      <c r="G119" s="294">
        <f t="shared" si="12"/>
        <v>60.982416000000008</v>
      </c>
      <c r="H119" s="294">
        <v>88.79</v>
      </c>
      <c r="I119" s="293">
        <f t="shared" si="13"/>
        <v>676.54758400000003</v>
      </c>
      <c r="J119" s="329" t="s">
        <v>13</v>
      </c>
      <c r="K119" s="294" t="s">
        <v>49</v>
      </c>
      <c r="L119" s="293">
        <f t="shared" si="11"/>
        <v>101.4821376</v>
      </c>
      <c r="M119" s="293">
        <f t="shared" si="7"/>
        <v>27.061903360000002</v>
      </c>
      <c r="N119" s="296">
        <f t="shared" si="8"/>
        <v>13.530951680000001</v>
      </c>
      <c r="O119" s="296">
        <f t="shared" si="9"/>
        <v>13.530951680000001</v>
      </c>
      <c r="P119" s="294">
        <f t="shared" si="10"/>
        <v>47.358330879999997</v>
      </c>
    </row>
    <row r="120" spans="1:16">
      <c r="A120" s="685">
        <v>118</v>
      </c>
      <c r="B120" s="686" t="s">
        <v>1786</v>
      </c>
      <c r="C120" s="695" t="s">
        <v>12</v>
      </c>
      <c r="D120" s="254">
        <v>1003111142473</v>
      </c>
      <c r="E120" s="280">
        <v>6149763</v>
      </c>
      <c r="F120" s="694">
        <v>636.45000000000005</v>
      </c>
      <c r="G120" s="689">
        <f t="shared" si="12"/>
        <v>46.970010000000009</v>
      </c>
      <c r="H120" s="694">
        <v>80.66</v>
      </c>
      <c r="I120" s="691">
        <f t="shared" si="13"/>
        <v>508.81999000000008</v>
      </c>
      <c r="J120" s="703" t="s">
        <v>13</v>
      </c>
      <c r="K120" s="694" t="s">
        <v>17</v>
      </c>
      <c r="L120" s="691">
        <f t="shared" si="11"/>
        <v>76.322998500000011</v>
      </c>
      <c r="M120" s="691">
        <f t="shared" si="7"/>
        <v>20.352799600000004</v>
      </c>
      <c r="N120" s="692">
        <f t="shared" si="8"/>
        <v>10.176399800000002</v>
      </c>
      <c r="O120" s="692">
        <f t="shared" si="9"/>
        <v>10.176399800000002</v>
      </c>
      <c r="P120" s="689">
        <f t="shared" si="10"/>
        <v>35.617399300000002</v>
      </c>
    </row>
    <row r="121" spans="1:16">
      <c r="A121" s="685">
        <v>119</v>
      </c>
      <c r="B121" s="686" t="s">
        <v>1787</v>
      </c>
      <c r="C121" s="695" t="s">
        <v>12</v>
      </c>
      <c r="D121" s="254">
        <v>10031111471944</v>
      </c>
      <c r="E121" s="280">
        <v>6177579</v>
      </c>
      <c r="F121" s="694">
        <v>802.18</v>
      </c>
      <c r="G121" s="689">
        <f t="shared" si="12"/>
        <v>59.200884000000002</v>
      </c>
      <c r="H121" s="694">
        <v>86.2</v>
      </c>
      <c r="I121" s="691">
        <f t="shared" si="13"/>
        <v>656.77911599999993</v>
      </c>
      <c r="J121" s="703" t="s">
        <v>13</v>
      </c>
      <c r="K121" s="694" t="s">
        <v>410</v>
      </c>
      <c r="L121" s="689">
        <f t="shared" si="11"/>
        <v>98.516867399999981</v>
      </c>
      <c r="M121" s="691">
        <f t="shared" si="7"/>
        <v>26.271164639999999</v>
      </c>
      <c r="N121" s="692">
        <f t="shared" si="8"/>
        <v>13.135582319999999</v>
      </c>
      <c r="O121" s="692">
        <f t="shared" si="9"/>
        <v>13.135582319999999</v>
      </c>
      <c r="P121" s="689">
        <f t="shared" si="10"/>
        <v>45.974538119999991</v>
      </c>
    </row>
    <row r="122" spans="1:16">
      <c r="A122" s="685">
        <v>120</v>
      </c>
      <c r="B122" s="686" t="s">
        <v>1788</v>
      </c>
      <c r="C122" s="695" t="s">
        <v>31</v>
      </c>
      <c r="D122" s="254">
        <v>10031111471928</v>
      </c>
      <c r="E122" s="280">
        <v>6176054</v>
      </c>
      <c r="F122" s="694">
        <v>648.66</v>
      </c>
      <c r="G122" s="689">
        <f t="shared" si="12"/>
        <v>47.871108</v>
      </c>
      <c r="H122" s="694">
        <v>69.790000000000006</v>
      </c>
      <c r="I122" s="691">
        <f t="shared" si="13"/>
        <v>530.99889199999996</v>
      </c>
      <c r="J122" s="703" t="s">
        <v>13</v>
      </c>
      <c r="K122" s="694" t="s">
        <v>238</v>
      </c>
      <c r="L122" s="689">
        <f t="shared" si="11"/>
        <v>79.649833799999996</v>
      </c>
      <c r="M122" s="691">
        <f t="shared" si="7"/>
        <v>21.239955679999998</v>
      </c>
      <c r="N122" s="692">
        <f t="shared" si="8"/>
        <v>10.619977839999999</v>
      </c>
      <c r="O122" s="692">
        <f t="shared" si="9"/>
        <v>10.619977839999999</v>
      </c>
      <c r="P122" s="689">
        <f t="shared" si="10"/>
        <v>37.169922440000008</v>
      </c>
    </row>
    <row r="123" spans="1:16">
      <c r="A123" s="685">
        <v>121</v>
      </c>
      <c r="B123" s="686" t="s">
        <v>1789</v>
      </c>
      <c r="C123" s="695" t="s">
        <v>1648</v>
      </c>
      <c r="D123" s="254">
        <v>37526570</v>
      </c>
      <c r="E123" s="280">
        <v>6178468</v>
      </c>
      <c r="F123" s="694">
        <v>311.72000000000003</v>
      </c>
      <c r="G123" s="689">
        <f t="shared" si="12"/>
        <v>23.004936000000004</v>
      </c>
      <c r="H123" s="694">
        <v>77.930000000000007</v>
      </c>
      <c r="I123" s="691">
        <f t="shared" si="13"/>
        <v>210.78506400000003</v>
      </c>
      <c r="J123" s="703" t="s">
        <v>13</v>
      </c>
      <c r="K123" s="694" t="s">
        <v>211</v>
      </c>
      <c r="L123" s="689">
        <f t="shared" si="11"/>
        <v>31.617759600000003</v>
      </c>
      <c r="M123" s="691">
        <f t="shared" si="7"/>
        <v>8.4314025600000022</v>
      </c>
      <c r="N123" s="692">
        <f t="shared" si="8"/>
        <v>4.2157012800000011</v>
      </c>
      <c r="O123" s="692">
        <f t="shared" si="9"/>
        <v>4.2157012800000011</v>
      </c>
      <c r="P123" s="689">
        <f t="shared" si="10"/>
        <v>14.754954479999999</v>
      </c>
    </row>
    <row r="124" spans="1:16">
      <c r="A124" s="685">
        <v>122</v>
      </c>
      <c r="B124" s="686" t="s">
        <v>1790</v>
      </c>
      <c r="C124" s="695" t="s">
        <v>1648</v>
      </c>
      <c r="D124" s="254">
        <v>100311111484478</v>
      </c>
      <c r="E124" s="280">
        <v>6180494</v>
      </c>
      <c r="F124" s="694">
        <v>469.26</v>
      </c>
      <c r="G124" s="689">
        <f t="shared" si="12"/>
        <v>34.631388000000001</v>
      </c>
      <c r="H124" s="694">
        <v>57.88</v>
      </c>
      <c r="I124" s="691">
        <f t="shared" si="13"/>
        <v>376.74861199999998</v>
      </c>
      <c r="J124" s="703" t="s">
        <v>13</v>
      </c>
      <c r="K124" s="694" t="s">
        <v>1554</v>
      </c>
      <c r="L124" s="689">
        <f t="shared" si="11"/>
        <v>56.512291799999993</v>
      </c>
      <c r="M124" s="691">
        <f t="shared" si="7"/>
        <v>15.06994448</v>
      </c>
      <c r="N124" s="692">
        <f t="shared" si="8"/>
        <v>7.5349722400000001</v>
      </c>
      <c r="O124" s="692">
        <f t="shared" si="9"/>
        <v>7.5349722400000001</v>
      </c>
      <c r="P124" s="689">
        <f t="shared" si="10"/>
        <v>26.372402839999992</v>
      </c>
    </row>
    <row r="125" spans="1:16">
      <c r="A125" s="685">
        <v>123</v>
      </c>
      <c r="B125" s="686" t="s">
        <v>1791</v>
      </c>
      <c r="C125" s="695" t="s">
        <v>1648</v>
      </c>
      <c r="D125" s="254">
        <v>10031111476847</v>
      </c>
      <c r="E125" s="280">
        <v>6181688</v>
      </c>
      <c r="F125" s="694">
        <v>520.58000000000004</v>
      </c>
      <c r="G125" s="689">
        <f t="shared" si="12"/>
        <v>38.418804000000009</v>
      </c>
      <c r="H125" s="694">
        <v>55.94</v>
      </c>
      <c r="I125" s="691">
        <f t="shared" si="13"/>
        <v>426.22119600000002</v>
      </c>
      <c r="J125" s="703" t="s">
        <v>13</v>
      </c>
      <c r="K125" s="694" t="s">
        <v>14</v>
      </c>
      <c r="L125" s="689">
        <f t="shared" si="11"/>
        <v>63.9331794</v>
      </c>
      <c r="M125" s="691">
        <f t="shared" si="7"/>
        <v>17.048847840000001</v>
      </c>
      <c r="N125" s="692">
        <f t="shared" si="8"/>
        <v>8.5244239200000003</v>
      </c>
      <c r="O125" s="692">
        <f t="shared" si="9"/>
        <v>8.5244239200000003</v>
      </c>
      <c r="P125" s="689">
        <f t="shared" si="10"/>
        <v>29.835483720000003</v>
      </c>
    </row>
    <row r="126" spans="1:16">
      <c r="A126" s="685">
        <v>124</v>
      </c>
      <c r="B126" s="686" t="s">
        <v>1792</v>
      </c>
      <c r="C126" s="695" t="s">
        <v>229</v>
      </c>
      <c r="D126" s="254">
        <v>100311111476605</v>
      </c>
      <c r="E126" s="280">
        <v>6172887</v>
      </c>
      <c r="F126" s="694">
        <v>846.9</v>
      </c>
      <c r="G126" s="689">
        <f t="shared" si="12"/>
        <v>62.501220000000004</v>
      </c>
      <c r="H126" s="694">
        <v>0</v>
      </c>
      <c r="I126" s="691">
        <f t="shared" si="13"/>
        <v>784.39877999999999</v>
      </c>
      <c r="J126" s="703" t="s">
        <v>13</v>
      </c>
      <c r="K126" s="694" t="s">
        <v>266</v>
      </c>
      <c r="L126" s="689">
        <f t="shared" si="11"/>
        <v>117.65981699999999</v>
      </c>
      <c r="M126" s="691">
        <f t="shared" si="7"/>
        <v>31.375951199999999</v>
      </c>
      <c r="N126" s="692">
        <f t="shared" si="8"/>
        <v>15.6879756</v>
      </c>
      <c r="O126" s="692">
        <f t="shared" si="9"/>
        <v>15.6879756</v>
      </c>
      <c r="P126" s="689">
        <f t="shared" si="10"/>
        <v>54.907914599999984</v>
      </c>
    </row>
    <row r="127" spans="1:16">
      <c r="A127" s="685">
        <v>125</v>
      </c>
      <c r="B127" s="686" t="s">
        <v>1793</v>
      </c>
      <c r="C127" s="695" t="s">
        <v>1648</v>
      </c>
      <c r="D127" s="254">
        <v>100311111476538</v>
      </c>
      <c r="E127" s="280">
        <v>6151398</v>
      </c>
      <c r="F127" s="694">
        <v>504.6</v>
      </c>
      <c r="G127" s="689">
        <f t="shared" si="12"/>
        <v>37.239480000000007</v>
      </c>
      <c r="H127" s="694">
        <v>131.36000000000001</v>
      </c>
      <c r="I127" s="691">
        <f t="shared" si="13"/>
        <v>336.00051999999999</v>
      </c>
      <c r="J127" s="703" t="s">
        <v>13</v>
      </c>
      <c r="K127" s="694" t="s">
        <v>166</v>
      </c>
      <c r="L127" s="689">
        <f t="shared" si="11"/>
        <v>50.400078000000001</v>
      </c>
      <c r="M127" s="691">
        <f t="shared" si="7"/>
        <v>13.440020799999999</v>
      </c>
      <c r="N127" s="692">
        <f t="shared" si="8"/>
        <v>6.7200103999999996</v>
      </c>
      <c r="O127" s="692">
        <f t="shared" si="9"/>
        <v>6.7200103999999996</v>
      </c>
      <c r="P127" s="689">
        <f t="shared" si="10"/>
        <v>23.520036400000002</v>
      </c>
    </row>
    <row r="128" spans="1:16">
      <c r="A128" s="685">
        <v>126</v>
      </c>
      <c r="B128" s="339" t="s">
        <v>1794</v>
      </c>
      <c r="C128" s="327" t="s">
        <v>1648</v>
      </c>
      <c r="D128" s="400">
        <v>10031111476449</v>
      </c>
      <c r="E128" s="401">
        <v>6151457</v>
      </c>
      <c r="F128" s="294">
        <v>574.58000000000004</v>
      </c>
      <c r="G128" s="294">
        <f t="shared" si="12"/>
        <v>42.404004000000008</v>
      </c>
      <c r="H128" s="294">
        <v>149.69</v>
      </c>
      <c r="I128" s="293">
        <f t="shared" si="13"/>
        <v>382.48599600000006</v>
      </c>
      <c r="J128" s="329" t="s">
        <v>13</v>
      </c>
      <c r="K128" s="294" t="s">
        <v>211</v>
      </c>
      <c r="L128" s="294">
        <f t="shared" si="11"/>
        <v>57.372899400000009</v>
      </c>
      <c r="M128" s="293">
        <f t="shared" si="7"/>
        <v>15.299439840000003</v>
      </c>
      <c r="N128" s="296">
        <f t="shared" si="8"/>
        <v>7.6497199200000017</v>
      </c>
      <c r="O128" s="296">
        <f t="shared" si="9"/>
        <v>7.6497199200000017</v>
      </c>
      <c r="P128" s="294">
        <f t="shared" si="10"/>
        <v>26.774019719999998</v>
      </c>
    </row>
    <row r="129" spans="1:16">
      <c r="A129" s="685">
        <v>127</v>
      </c>
      <c r="B129" s="339" t="s">
        <v>1795</v>
      </c>
      <c r="C129" s="327" t="s">
        <v>1648</v>
      </c>
      <c r="D129" s="400">
        <v>100311111476369</v>
      </c>
      <c r="E129" s="401">
        <v>6151550</v>
      </c>
      <c r="F129" s="294">
        <v>573.37</v>
      </c>
      <c r="G129" s="294">
        <f t="shared" si="12"/>
        <v>42.314706000000001</v>
      </c>
      <c r="H129" s="294">
        <v>69.78</v>
      </c>
      <c r="I129" s="293">
        <f t="shared" si="13"/>
        <v>461.27529400000003</v>
      </c>
      <c r="J129" s="329" t="s">
        <v>13</v>
      </c>
      <c r="K129" s="294" t="s">
        <v>266</v>
      </c>
      <c r="L129" s="294">
        <f t="shared" si="11"/>
        <v>69.191294100000007</v>
      </c>
      <c r="M129" s="293">
        <f t="shared" si="7"/>
        <v>18.45101176</v>
      </c>
      <c r="N129" s="296">
        <f t="shared" si="8"/>
        <v>9.22550588</v>
      </c>
      <c r="O129" s="296">
        <f t="shared" si="9"/>
        <v>9.22550588</v>
      </c>
      <c r="P129" s="294">
        <f t="shared" si="10"/>
        <v>32.289270580000007</v>
      </c>
    </row>
    <row r="130" spans="1:16">
      <c r="A130" s="685">
        <v>128</v>
      </c>
      <c r="B130" s="686" t="s">
        <v>1796</v>
      </c>
      <c r="C130" s="695" t="s">
        <v>173</v>
      </c>
      <c r="D130" s="254">
        <v>100311111476215</v>
      </c>
      <c r="E130" s="280">
        <v>6172912</v>
      </c>
      <c r="F130" s="694">
        <v>596.78</v>
      </c>
      <c r="G130" s="689">
        <f t="shared" si="12"/>
        <v>44.042363999999999</v>
      </c>
      <c r="H130" s="694">
        <v>0</v>
      </c>
      <c r="I130" s="691">
        <f t="shared" si="13"/>
        <v>552.73763599999995</v>
      </c>
      <c r="J130" s="703" t="s">
        <v>13</v>
      </c>
      <c r="K130" s="694" t="s">
        <v>238</v>
      </c>
      <c r="L130" s="689">
        <f t="shared" si="11"/>
        <v>82.910645399999993</v>
      </c>
      <c r="M130" s="691">
        <f t="shared" si="7"/>
        <v>22.10950544</v>
      </c>
      <c r="N130" s="692">
        <f t="shared" si="8"/>
        <v>11.05475272</v>
      </c>
      <c r="O130" s="692">
        <f t="shared" si="9"/>
        <v>11.05475272</v>
      </c>
      <c r="P130" s="689">
        <f t="shared" si="10"/>
        <v>38.691634519999994</v>
      </c>
    </row>
    <row r="131" spans="1:16">
      <c r="A131" s="685">
        <v>129</v>
      </c>
      <c r="B131" s="686" t="s">
        <v>1797</v>
      </c>
      <c r="C131" s="695" t="s">
        <v>1648</v>
      </c>
      <c r="D131" s="254">
        <v>100311111476287</v>
      </c>
      <c r="E131" s="280">
        <v>6174693</v>
      </c>
      <c r="F131" s="694">
        <v>490.34</v>
      </c>
      <c r="G131" s="689">
        <f t="shared" si="12"/>
        <v>36.187092</v>
      </c>
      <c r="H131" s="694">
        <v>129.53</v>
      </c>
      <c r="I131" s="691">
        <f t="shared" si="13"/>
        <v>324.62290799999994</v>
      </c>
      <c r="J131" s="703" t="s">
        <v>13</v>
      </c>
      <c r="K131" s="694" t="s">
        <v>353</v>
      </c>
      <c r="L131" s="689">
        <f t="shared" si="11"/>
        <v>48.693436199999987</v>
      </c>
      <c r="M131" s="691">
        <f t="shared" si="7"/>
        <v>12.984916319999998</v>
      </c>
      <c r="N131" s="692">
        <f t="shared" si="8"/>
        <v>6.4924581599999991</v>
      </c>
      <c r="O131" s="692">
        <f t="shared" si="9"/>
        <v>6.4924581599999991</v>
      </c>
      <c r="P131" s="689">
        <f t="shared" si="10"/>
        <v>22.723603559999994</v>
      </c>
    </row>
    <row r="132" spans="1:16">
      <c r="A132" s="685">
        <v>130</v>
      </c>
      <c r="B132" s="686" t="s">
        <v>1798</v>
      </c>
      <c r="C132" s="695" t="s">
        <v>12</v>
      </c>
      <c r="D132" s="254">
        <v>100311111475971</v>
      </c>
      <c r="E132" s="280">
        <v>6181713</v>
      </c>
      <c r="F132" s="694">
        <v>700.56</v>
      </c>
      <c r="G132" s="689">
        <f t="shared" si="12"/>
        <v>51.701327999999997</v>
      </c>
      <c r="H132" s="694">
        <v>75.28</v>
      </c>
      <c r="I132" s="691">
        <f t="shared" si="13"/>
        <v>573.57867199999998</v>
      </c>
      <c r="J132" s="703" t="s">
        <v>13</v>
      </c>
      <c r="K132" s="694" t="s">
        <v>17</v>
      </c>
      <c r="L132" s="689">
        <f t="shared" si="11"/>
        <v>86.036800799999995</v>
      </c>
      <c r="M132" s="691">
        <f t="shared" si="7"/>
        <v>22.94314688</v>
      </c>
      <c r="N132" s="692">
        <f t="shared" si="8"/>
        <v>11.47157344</v>
      </c>
      <c r="O132" s="692">
        <f t="shared" si="9"/>
        <v>11.47157344</v>
      </c>
      <c r="P132" s="689">
        <f t="shared" si="10"/>
        <v>40.150507039999994</v>
      </c>
    </row>
    <row r="133" spans="1:16">
      <c r="A133" s="685">
        <v>131</v>
      </c>
      <c r="B133" s="686" t="s">
        <v>1799</v>
      </c>
      <c r="C133" s="695" t="s">
        <v>1800</v>
      </c>
      <c r="D133" s="254">
        <v>2884520</v>
      </c>
      <c r="E133" s="280">
        <v>6180158</v>
      </c>
      <c r="F133" s="694">
        <v>1552.66</v>
      </c>
      <c r="G133" s="689">
        <f t="shared" si="12"/>
        <v>114.58630800000002</v>
      </c>
      <c r="H133" s="694">
        <v>172.52</v>
      </c>
      <c r="I133" s="691">
        <f t="shared" si="13"/>
        <v>1265.5536920000002</v>
      </c>
      <c r="J133" s="703" t="s">
        <v>16</v>
      </c>
      <c r="K133" s="694" t="s">
        <v>17</v>
      </c>
      <c r="L133" s="689">
        <f t="shared" si="11"/>
        <v>189.83305380000002</v>
      </c>
      <c r="M133" s="691">
        <f t="shared" si="7"/>
        <v>50.622147680000012</v>
      </c>
      <c r="N133" s="692">
        <f t="shared" si="8"/>
        <v>25.311073840000006</v>
      </c>
      <c r="O133" s="692">
        <f t="shared" si="9"/>
        <v>25.311073840000006</v>
      </c>
      <c r="P133" s="689">
        <f t="shared" si="10"/>
        <v>88.588758439999992</v>
      </c>
    </row>
    <row r="134" spans="1:16">
      <c r="A134" s="685">
        <v>132</v>
      </c>
      <c r="B134" s="686" t="s">
        <v>1801</v>
      </c>
      <c r="C134" s="695" t="s">
        <v>1648</v>
      </c>
      <c r="D134" s="254">
        <v>100311111477004</v>
      </c>
      <c r="E134" s="280" t="s">
        <v>1802</v>
      </c>
      <c r="F134" s="694">
        <v>434.52</v>
      </c>
      <c r="G134" s="689">
        <f t="shared" si="12"/>
        <v>32.067576000000003</v>
      </c>
      <c r="H134" s="694">
        <v>53.59</v>
      </c>
      <c r="I134" s="691">
        <f t="shared" si="13"/>
        <v>348.86242399999992</v>
      </c>
      <c r="J134" s="703" t="s">
        <v>13</v>
      </c>
      <c r="K134" s="694" t="s">
        <v>211</v>
      </c>
      <c r="L134" s="689">
        <f t="shared" si="11"/>
        <v>52.329363599999986</v>
      </c>
      <c r="M134" s="691">
        <f t="shared" si="7"/>
        <v>13.954496959999997</v>
      </c>
      <c r="N134" s="692">
        <f t="shared" si="8"/>
        <v>6.9772484799999983</v>
      </c>
      <c r="O134" s="692">
        <f t="shared" si="9"/>
        <v>6.9772484799999983</v>
      </c>
      <c r="P134" s="689">
        <f t="shared" si="10"/>
        <v>24.420369679999993</v>
      </c>
    </row>
    <row r="135" spans="1:16">
      <c r="A135" s="685"/>
      <c r="B135" s="686"/>
      <c r="C135" s="695"/>
      <c r="D135" s="254"/>
      <c r="E135" s="280"/>
      <c r="F135" s="694"/>
      <c r="G135" s="689">
        <f t="shared" si="12"/>
        <v>0</v>
      </c>
      <c r="H135" s="694"/>
      <c r="I135" s="691">
        <f t="shared" si="13"/>
        <v>0</v>
      </c>
      <c r="J135" s="703"/>
      <c r="K135" s="694"/>
      <c r="L135" s="689">
        <f t="shared" si="11"/>
        <v>0</v>
      </c>
      <c r="M135" s="691">
        <f t="shared" si="7"/>
        <v>0</v>
      </c>
      <c r="N135" s="692">
        <f t="shared" si="8"/>
        <v>0</v>
      </c>
      <c r="O135" s="692">
        <f t="shared" si="9"/>
        <v>0</v>
      </c>
      <c r="P135" s="689">
        <f t="shared" si="10"/>
        <v>0</v>
      </c>
    </row>
    <row r="136" spans="1:16">
      <c r="A136" s="685"/>
      <c r="B136" s="686"/>
      <c r="C136" s="695"/>
      <c r="D136" s="254"/>
      <c r="E136" s="280"/>
      <c r="F136" s="694"/>
      <c r="G136" s="689">
        <f t="shared" si="12"/>
        <v>0</v>
      </c>
      <c r="H136" s="694"/>
      <c r="I136" s="691">
        <f t="shared" si="13"/>
        <v>0</v>
      </c>
      <c r="J136" s="703"/>
      <c r="K136" s="694"/>
      <c r="L136" s="689">
        <f t="shared" si="11"/>
        <v>0</v>
      </c>
      <c r="M136" s="691">
        <f t="shared" si="7"/>
        <v>0</v>
      </c>
      <c r="N136" s="692">
        <f t="shared" si="8"/>
        <v>0</v>
      </c>
      <c r="O136" s="692">
        <f t="shared" si="9"/>
        <v>0</v>
      </c>
      <c r="P136" s="689">
        <f t="shared" si="10"/>
        <v>0</v>
      </c>
    </row>
    <row r="137" spans="1:16">
      <c r="A137" s="3"/>
      <c r="B137" s="717"/>
      <c r="C137" s="717"/>
      <c r="D137" s="718"/>
      <c r="E137" s="717"/>
      <c r="F137" s="719"/>
      <c r="G137" s="719"/>
      <c r="H137" s="719"/>
      <c r="I137" s="719"/>
      <c r="J137" s="717"/>
      <c r="K137" s="720"/>
      <c r="L137" s="720"/>
      <c r="M137" s="720"/>
      <c r="N137" s="7"/>
      <c r="O137" s="7"/>
      <c r="P137" s="8"/>
    </row>
    <row r="138" spans="1:16" ht="15.6">
      <c r="A138" s="3"/>
      <c r="B138" s="4"/>
      <c r="C138" s="4"/>
      <c r="D138" s="13"/>
      <c r="E138" s="5" t="s">
        <v>11</v>
      </c>
      <c r="F138" s="6">
        <f>SUM(F3:F136)</f>
        <v>79315.179999999993</v>
      </c>
      <c r="G138" s="6">
        <f>SUM(G3:G136)</f>
        <v>5853.4602840000025</v>
      </c>
      <c r="H138" s="6">
        <f>SUM(H3:H136)</f>
        <v>10062.460000000005</v>
      </c>
      <c r="I138" s="6">
        <f>SUM(I3:I136)</f>
        <v>63927.389582000033</v>
      </c>
      <c r="J138" s="4"/>
      <c r="K138" s="9"/>
      <c r="L138" s="6">
        <f>SUM(L3:L136)</f>
        <v>9589.1084372999958</v>
      </c>
      <c r="M138" s="6">
        <f>SUM(M3:M136)</f>
        <v>2557.09558328</v>
      </c>
      <c r="N138" s="6">
        <f>SUM(N3:N136)</f>
        <v>1278.54779164</v>
      </c>
      <c r="O138" s="6">
        <f>SUM(O3:O136)</f>
        <v>1278.54957104</v>
      </c>
      <c r="P138" s="6">
        <f>SUM(P3:P136)</f>
        <v>4474.9154913399989</v>
      </c>
    </row>
  </sheetData>
  <autoFilter ref="A2:Q136" xr:uid="{6279EAD1-9363-49ED-8651-4E1DB3D2B1D3}"/>
  <mergeCells count="1">
    <mergeCell ref="B1:Q1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9</vt:i4>
      </vt:variant>
    </vt:vector>
  </HeadingPairs>
  <TitlesOfParts>
    <vt:vector size="21" baseType="lpstr">
      <vt:lpstr>JANEIRO 2025</vt:lpstr>
      <vt:lpstr>FEVEREIRO 2025</vt:lpstr>
      <vt:lpstr>MARÇO 2025</vt:lpstr>
      <vt:lpstr>ABRIL 2025</vt:lpstr>
      <vt:lpstr>MAIO_25</vt:lpstr>
      <vt:lpstr>JUNHO_25</vt:lpstr>
      <vt:lpstr>JULHO 25</vt:lpstr>
      <vt:lpstr>AGOSTO 25</vt:lpstr>
      <vt:lpstr>SETEMBRO 25</vt:lpstr>
      <vt:lpstr>OUT 25</vt:lpstr>
      <vt:lpstr>NOV_25</vt:lpstr>
      <vt:lpstr>DEZ 25</vt:lpstr>
      <vt:lpstr>'ABRIL 2025'!Area_de_impressao</vt:lpstr>
      <vt:lpstr>'AGOSTO 25'!Area_de_impressao</vt:lpstr>
      <vt:lpstr>'DEZ 25'!Area_de_impressao</vt:lpstr>
      <vt:lpstr>'FEVEREIRO 2025'!Area_de_impressao</vt:lpstr>
      <vt:lpstr>'JANEIRO 2025'!Area_de_impressao</vt:lpstr>
      <vt:lpstr>'JULHO 25'!Area_de_impressao</vt:lpstr>
      <vt:lpstr>'MARÇO 2025'!Area_de_impressao</vt:lpstr>
      <vt:lpstr>NOV_25!Area_de_impressao</vt:lpstr>
      <vt:lpstr>'SETEMBRO 25'!Area_de_impressao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Cintia</dc:creator>
  <cp:keywords/>
  <dc:description/>
  <cp:lastModifiedBy>PATRICIA - Aliança GBA - Financeiro</cp:lastModifiedBy>
  <cp:revision/>
  <cp:lastPrinted>2026-01-16T18:25:01Z</cp:lastPrinted>
  <dcterms:created xsi:type="dcterms:W3CDTF">2020-02-07T12:45:00Z</dcterms:created>
  <dcterms:modified xsi:type="dcterms:W3CDTF">2026-04-23T20:12:20Z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681D40459A7245BDA437DAF218DFBADD</vt:lpwstr>
  </property>
  <property fmtid="{D5CDD505-2E9C-101B-9397-08002B2CF9AE}" pid="3" name="KSOProductBuildVer">
    <vt:lpwstr>1046-11.2.0.11486</vt:lpwstr>
  </property>
</Properties>
</file>