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0.10.10.3\financeiro\2026\PG APOLICE SEGURO 2026\"/>
    </mc:Choice>
  </mc:AlternateContent>
  <xr:revisionPtr revIDLastSave="0" documentId="13_ncr:1_{3784A1C5-030B-4477-9CC2-7299B6E781A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JAN 26" sheetId="61" r:id="rId1"/>
    <sheet name="FEV 26 ELIDA" sheetId="62" r:id="rId2"/>
    <sheet name="FEV 26 SUELANE" sheetId="63" r:id="rId3"/>
    <sheet name="MAR 26" sheetId="66" r:id="rId4"/>
  </sheets>
  <externalReferences>
    <externalReference r:id="rId5"/>
  </externalReferences>
  <definedNames>
    <definedName name="_xlnm._FilterDatabase" localSheetId="1" hidden="1">'FEV 26 ELIDA'!$A$2:$Q$64</definedName>
    <definedName name="_xlnm._FilterDatabase" localSheetId="2" hidden="1">'FEV 26 SUELANE'!$B$2:$P$63</definedName>
    <definedName name="_xlnm._FilterDatabase" localSheetId="0" hidden="1">'JAN 26'!$A$2:$Q$105</definedName>
    <definedName name="_xlnm._FilterDatabase" localSheetId="3" hidden="1">'MAR 26'!$A$2:$P$179</definedName>
    <definedName name="_xlnm.Print_Area" localSheetId="2">'FEV 26 SUELANE'!$A$1:$P$65</definedName>
    <definedName name="_xlnm.Print_Area" localSheetId="0">'JAN 26'!$A$1:$P$107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66" l="1"/>
  <c r="F181" i="66"/>
  <c r="G179" i="66"/>
  <c r="I179" i="66" s="1"/>
  <c r="O179" i="66" s="1"/>
  <c r="G178" i="66"/>
  <c r="I178" i="66" s="1"/>
  <c r="G177" i="66"/>
  <c r="I177" i="66" s="1"/>
  <c r="G176" i="66"/>
  <c r="I176" i="66" s="1"/>
  <c r="G175" i="66"/>
  <c r="I175" i="66" s="1"/>
  <c r="G174" i="66"/>
  <c r="I174" i="66" s="1"/>
  <c r="O174" i="66" s="1"/>
  <c r="G173" i="66"/>
  <c r="I173" i="66" s="1"/>
  <c r="M173" i="66" s="1"/>
  <c r="G172" i="66"/>
  <c r="I172" i="66" s="1"/>
  <c r="N172" i="66" s="1"/>
  <c r="G171" i="66"/>
  <c r="I171" i="66" s="1"/>
  <c r="G170" i="66"/>
  <c r="I170" i="66" s="1"/>
  <c r="L170" i="66" s="1"/>
  <c r="G169" i="66"/>
  <c r="I169" i="66" s="1"/>
  <c r="G168" i="66"/>
  <c r="I168" i="66" s="1"/>
  <c r="G167" i="66"/>
  <c r="I167" i="66" s="1"/>
  <c r="G166" i="66"/>
  <c r="I166" i="66" s="1"/>
  <c r="G165" i="66"/>
  <c r="I165" i="66" s="1"/>
  <c r="G164" i="66"/>
  <c r="I164" i="66" s="1"/>
  <c r="M164" i="66" s="1"/>
  <c r="G163" i="66"/>
  <c r="I163" i="66" s="1"/>
  <c r="O163" i="66" s="1"/>
  <c r="G162" i="66"/>
  <c r="I162" i="66" s="1"/>
  <c r="L162" i="66" s="1"/>
  <c r="G161" i="66"/>
  <c r="I161" i="66" s="1"/>
  <c r="G160" i="66"/>
  <c r="I160" i="66" s="1"/>
  <c r="G159" i="66"/>
  <c r="I159" i="66" s="1"/>
  <c r="G158" i="66"/>
  <c r="I158" i="66" s="1"/>
  <c r="G157" i="66"/>
  <c r="I157" i="66" s="1"/>
  <c r="M157" i="66" s="1"/>
  <c r="G156" i="66"/>
  <c r="I156" i="66" s="1"/>
  <c r="G155" i="66"/>
  <c r="I155" i="66" s="1"/>
  <c r="G154" i="66"/>
  <c r="I154" i="66" s="1"/>
  <c r="G153" i="66"/>
  <c r="I153" i="66" s="1"/>
  <c r="G152" i="66"/>
  <c r="I152" i="66" s="1"/>
  <c r="G151" i="66"/>
  <c r="I151" i="66" s="1"/>
  <c r="G150" i="66"/>
  <c r="I150" i="66" s="1"/>
  <c r="G149" i="66"/>
  <c r="I149" i="66" s="1"/>
  <c r="M149" i="66" s="1"/>
  <c r="G148" i="66"/>
  <c r="I148" i="66" s="1"/>
  <c r="G147" i="66"/>
  <c r="I147" i="66" s="1"/>
  <c r="O147" i="66" s="1"/>
  <c r="G146" i="66"/>
  <c r="I146" i="66" s="1"/>
  <c r="G145" i="66"/>
  <c r="I145" i="66" s="1"/>
  <c r="G144" i="66"/>
  <c r="I144" i="66" s="1"/>
  <c r="G143" i="66"/>
  <c r="I143" i="66" s="1"/>
  <c r="G142" i="66"/>
  <c r="I142" i="66" s="1"/>
  <c r="G141" i="66"/>
  <c r="I141" i="66" s="1"/>
  <c r="G140" i="66"/>
  <c r="I140" i="66" s="1"/>
  <c r="N140" i="66" s="1"/>
  <c r="G139" i="66"/>
  <c r="I139" i="66" s="1"/>
  <c r="O139" i="66" s="1"/>
  <c r="G138" i="66"/>
  <c r="I138" i="66" s="1"/>
  <c r="G137" i="66"/>
  <c r="I137" i="66" s="1"/>
  <c r="G136" i="66"/>
  <c r="I136" i="66" s="1"/>
  <c r="G135" i="66"/>
  <c r="I135" i="66" s="1"/>
  <c r="G134" i="66"/>
  <c r="I134" i="66" s="1"/>
  <c r="M134" i="66" s="1"/>
  <c r="G133" i="66"/>
  <c r="I133" i="66" s="1"/>
  <c r="G132" i="66"/>
  <c r="I132" i="66" s="1"/>
  <c r="N132" i="66" s="1"/>
  <c r="G131" i="66"/>
  <c r="I131" i="66" s="1"/>
  <c r="G130" i="66"/>
  <c r="I130" i="66" s="1"/>
  <c r="G129" i="66"/>
  <c r="I129" i="66" s="1"/>
  <c r="G128" i="66"/>
  <c r="I128" i="66" s="1"/>
  <c r="G127" i="66"/>
  <c r="I127" i="66" s="1"/>
  <c r="G126" i="66"/>
  <c r="I126" i="66" s="1"/>
  <c r="I125" i="66"/>
  <c r="M125" i="66" s="1"/>
  <c r="G125" i="66"/>
  <c r="G124" i="66"/>
  <c r="I124" i="66" s="1"/>
  <c r="M124" i="66" s="1"/>
  <c r="G123" i="66"/>
  <c r="I123" i="66" s="1"/>
  <c r="G122" i="66"/>
  <c r="I122" i="66" s="1"/>
  <c r="L122" i="66" s="1"/>
  <c r="G121" i="66"/>
  <c r="I121" i="66" s="1"/>
  <c r="G120" i="66"/>
  <c r="I120" i="66" s="1"/>
  <c r="G119" i="66"/>
  <c r="I119" i="66" s="1"/>
  <c r="M119" i="66" s="1"/>
  <c r="G118" i="66"/>
  <c r="I118" i="66" s="1"/>
  <c r="M118" i="66" s="1"/>
  <c r="G117" i="66"/>
  <c r="I117" i="66" s="1"/>
  <c r="G116" i="66"/>
  <c r="I116" i="66" s="1"/>
  <c r="O116" i="66" s="1"/>
  <c r="G115" i="66"/>
  <c r="I115" i="66" s="1"/>
  <c r="I114" i="66"/>
  <c r="G113" i="66"/>
  <c r="I113" i="66" s="1"/>
  <c r="G112" i="66"/>
  <c r="I112" i="66" s="1"/>
  <c r="G111" i="66"/>
  <c r="I111" i="66" s="1"/>
  <c r="G110" i="66"/>
  <c r="I110" i="66" s="1"/>
  <c r="L110" i="66" s="1"/>
  <c r="G109" i="66"/>
  <c r="I109" i="66" s="1"/>
  <c r="O109" i="66" s="1"/>
  <c r="G108" i="66"/>
  <c r="I108" i="66" s="1"/>
  <c r="L108" i="66" s="1"/>
  <c r="G107" i="66"/>
  <c r="I107" i="66" s="1"/>
  <c r="G106" i="66"/>
  <c r="I106" i="66" s="1"/>
  <c r="G105" i="66"/>
  <c r="I105" i="66" s="1"/>
  <c r="N105" i="66" s="1"/>
  <c r="G104" i="66"/>
  <c r="I104" i="66" s="1"/>
  <c r="G103" i="66"/>
  <c r="I103" i="66" s="1"/>
  <c r="G102" i="66"/>
  <c r="I102" i="66" s="1"/>
  <c r="G101" i="66"/>
  <c r="I101" i="66" s="1"/>
  <c r="O101" i="66" s="1"/>
  <c r="G100" i="66"/>
  <c r="I100" i="66" s="1"/>
  <c r="G99" i="66"/>
  <c r="I99" i="66" s="1"/>
  <c r="G98" i="66"/>
  <c r="I98" i="66" s="1"/>
  <c r="G97" i="66"/>
  <c r="I97" i="66" s="1"/>
  <c r="G96" i="66"/>
  <c r="I96" i="66" s="1"/>
  <c r="O96" i="66" s="1"/>
  <c r="G95" i="66"/>
  <c r="I95" i="66" s="1"/>
  <c r="M95" i="66" s="1"/>
  <c r="G94" i="66"/>
  <c r="I94" i="66" s="1"/>
  <c r="L94" i="66" s="1"/>
  <c r="G93" i="66"/>
  <c r="I93" i="66" s="1"/>
  <c r="O93" i="66" s="1"/>
  <c r="G92" i="66"/>
  <c r="I92" i="66" s="1"/>
  <c r="G91" i="66"/>
  <c r="I91" i="66" s="1"/>
  <c r="O91" i="66" s="1"/>
  <c r="G90" i="66"/>
  <c r="I90" i="66" s="1"/>
  <c r="G89" i="66"/>
  <c r="I89" i="66" s="1"/>
  <c r="G88" i="66"/>
  <c r="I88" i="66" s="1"/>
  <c r="N88" i="66" s="1"/>
  <c r="G87" i="66"/>
  <c r="I87" i="66" s="1"/>
  <c r="G86" i="66"/>
  <c r="I86" i="66" s="1"/>
  <c r="G85" i="66"/>
  <c r="I85" i="66" s="1"/>
  <c r="O85" i="66" s="1"/>
  <c r="G84" i="66"/>
  <c r="I84" i="66" s="1"/>
  <c r="G83" i="66"/>
  <c r="I83" i="66" s="1"/>
  <c r="G82" i="66"/>
  <c r="I82" i="66" s="1"/>
  <c r="M82" i="66" s="1"/>
  <c r="G81" i="66"/>
  <c r="I81" i="66" s="1"/>
  <c r="G80" i="66"/>
  <c r="I80" i="66" s="1"/>
  <c r="N80" i="66" s="1"/>
  <c r="G79" i="66"/>
  <c r="I79" i="66" s="1"/>
  <c r="M79" i="66" s="1"/>
  <c r="G78" i="66"/>
  <c r="I78" i="66" s="1"/>
  <c r="G77" i="66"/>
  <c r="I77" i="66" s="1"/>
  <c r="L77" i="66" s="1"/>
  <c r="G76" i="66"/>
  <c r="I76" i="66" s="1"/>
  <c r="G75" i="66"/>
  <c r="I75" i="66" s="1"/>
  <c r="G74" i="66"/>
  <c r="I74" i="66" s="1"/>
  <c r="G73" i="66"/>
  <c r="I73" i="66" s="1"/>
  <c r="G72" i="66"/>
  <c r="I72" i="66" s="1"/>
  <c r="N72" i="66" s="1"/>
  <c r="G71" i="66"/>
  <c r="I71" i="66" s="1"/>
  <c r="G70" i="66"/>
  <c r="I70" i="66" s="1"/>
  <c r="G69" i="66"/>
  <c r="I69" i="66" s="1"/>
  <c r="O69" i="66" s="1"/>
  <c r="G68" i="66"/>
  <c r="I68" i="66" s="1"/>
  <c r="G67" i="66"/>
  <c r="I67" i="66" s="1"/>
  <c r="G66" i="66"/>
  <c r="I66" i="66" s="1"/>
  <c r="G65" i="66"/>
  <c r="I65" i="66" s="1"/>
  <c r="O65" i="66" s="1"/>
  <c r="G64" i="66"/>
  <c r="I64" i="66" s="1"/>
  <c r="G63" i="66"/>
  <c r="I63" i="66" s="1"/>
  <c r="O63" i="66" s="1"/>
  <c r="G62" i="66"/>
  <c r="I62" i="66" s="1"/>
  <c r="G61" i="66"/>
  <c r="I61" i="66" s="1"/>
  <c r="G60" i="66"/>
  <c r="I60" i="66" s="1"/>
  <c r="G59" i="66"/>
  <c r="I59" i="66" s="1"/>
  <c r="G58" i="66"/>
  <c r="I58" i="66" s="1"/>
  <c r="G57" i="66"/>
  <c r="I57" i="66" s="1"/>
  <c r="G56" i="66"/>
  <c r="I56" i="66" s="1"/>
  <c r="G55" i="66"/>
  <c r="I55" i="66" s="1"/>
  <c r="O55" i="66" s="1"/>
  <c r="G54" i="66"/>
  <c r="I54" i="66" s="1"/>
  <c r="G53" i="66"/>
  <c r="I53" i="66" s="1"/>
  <c r="G52" i="66"/>
  <c r="I52" i="66" s="1"/>
  <c r="G51" i="66"/>
  <c r="I51" i="66" s="1"/>
  <c r="G50" i="66"/>
  <c r="I50" i="66" s="1"/>
  <c r="G49" i="66"/>
  <c r="I49" i="66" s="1"/>
  <c r="G48" i="66"/>
  <c r="I48" i="66" s="1"/>
  <c r="G47" i="66"/>
  <c r="I47" i="66" s="1"/>
  <c r="O47" i="66" s="1"/>
  <c r="G46" i="66"/>
  <c r="I46" i="66" s="1"/>
  <c r="G45" i="66"/>
  <c r="I45" i="66" s="1"/>
  <c r="G44" i="66"/>
  <c r="I44" i="66" s="1"/>
  <c r="G43" i="66"/>
  <c r="I43" i="66" s="1"/>
  <c r="G42" i="66"/>
  <c r="I42" i="66" s="1"/>
  <c r="G41" i="66"/>
  <c r="I41" i="66" s="1"/>
  <c r="G40" i="66"/>
  <c r="I40" i="66" s="1"/>
  <c r="G39" i="66"/>
  <c r="I39" i="66" s="1"/>
  <c r="O39" i="66" s="1"/>
  <c r="G38" i="66"/>
  <c r="I38" i="66" s="1"/>
  <c r="G37" i="66"/>
  <c r="I37" i="66" s="1"/>
  <c r="G36" i="66"/>
  <c r="I36" i="66" s="1"/>
  <c r="G35" i="66"/>
  <c r="I35" i="66" s="1"/>
  <c r="G34" i="66"/>
  <c r="I34" i="66" s="1"/>
  <c r="G33" i="66"/>
  <c r="I33" i="66" s="1"/>
  <c r="G32" i="66"/>
  <c r="I32" i="66" s="1"/>
  <c r="G31" i="66"/>
  <c r="I31" i="66" s="1"/>
  <c r="O31" i="66" s="1"/>
  <c r="G30" i="66"/>
  <c r="I30" i="66" s="1"/>
  <c r="G29" i="66"/>
  <c r="I29" i="66" s="1"/>
  <c r="G28" i="66"/>
  <c r="I28" i="66" s="1"/>
  <c r="G27" i="66"/>
  <c r="I27" i="66" s="1"/>
  <c r="G26" i="66"/>
  <c r="I26" i="66" s="1"/>
  <c r="G25" i="66"/>
  <c r="I25" i="66" s="1"/>
  <c r="G24" i="66"/>
  <c r="I24" i="66" s="1"/>
  <c r="G23" i="66"/>
  <c r="I23" i="66" s="1"/>
  <c r="O23" i="66" s="1"/>
  <c r="G22" i="66"/>
  <c r="I22" i="66" s="1"/>
  <c r="G21" i="66"/>
  <c r="I21" i="66" s="1"/>
  <c r="G20" i="66"/>
  <c r="I20" i="66" s="1"/>
  <c r="G19" i="66"/>
  <c r="I19" i="66" s="1"/>
  <c r="L19" i="66" s="1"/>
  <c r="G18" i="66"/>
  <c r="I18" i="66" s="1"/>
  <c r="N18" i="66" s="1"/>
  <c r="G17" i="66"/>
  <c r="I17" i="66" s="1"/>
  <c r="G16" i="66"/>
  <c r="I16" i="66" s="1"/>
  <c r="I15" i="66"/>
  <c r="G15" i="66"/>
  <c r="G14" i="66"/>
  <c r="I14" i="66" s="1"/>
  <c r="G13" i="66"/>
  <c r="I13" i="66" s="1"/>
  <c r="G12" i="66"/>
  <c r="I12" i="66" s="1"/>
  <c r="G11" i="66"/>
  <c r="I11" i="66" s="1"/>
  <c r="G10" i="66"/>
  <c r="I10" i="66" s="1"/>
  <c r="N10" i="66" s="1"/>
  <c r="G9" i="66"/>
  <c r="I9" i="66" s="1"/>
  <c r="G8" i="66"/>
  <c r="I8" i="66" s="1"/>
  <c r="G7" i="66"/>
  <c r="I7" i="66" s="1"/>
  <c r="G6" i="66"/>
  <c r="I6" i="66" s="1"/>
  <c r="G5" i="66"/>
  <c r="I5" i="66" s="1"/>
  <c r="G4" i="66"/>
  <c r="I4" i="66" s="1"/>
  <c r="G3" i="66"/>
  <c r="I3" i="66" s="1"/>
  <c r="L11" i="66" l="1"/>
  <c r="N11" i="66"/>
  <c r="M11" i="66"/>
  <c r="N124" i="66"/>
  <c r="M77" i="66"/>
  <c r="O77" i="66"/>
  <c r="L102" i="66"/>
  <c r="M102" i="66"/>
  <c r="O155" i="66"/>
  <c r="M155" i="66"/>
  <c r="O49" i="66"/>
  <c r="M49" i="66"/>
  <c r="M141" i="66"/>
  <c r="N141" i="66"/>
  <c r="L70" i="66"/>
  <c r="N70" i="66"/>
  <c r="M166" i="66"/>
  <c r="O166" i="66"/>
  <c r="N166" i="66"/>
  <c r="L166" i="66"/>
  <c r="O33" i="66"/>
  <c r="N33" i="66"/>
  <c r="M33" i="66"/>
  <c r="M92" i="66"/>
  <c r="L92" i="66"/>
  <c r="O11" i="66"/>
  <c r="N109" i="66"/>
  <c r="L134" i="66"/>
  <c r="O134" i="66"/>
  <c r="M65" i="66"/>
  <c r="N77" i="66"/>
  <c r="N94" i="66"/>
  <c r="O117" i="66"/>
  <c r="N117" i="66"/>
  <c r="O41" i="66"/>
  <c r="M41" i="66"/>
  <c r="N41" i="66"/>
  <c r="O84" i="66"/>
  <c r="N84" i="66"/>
  <c r="L86" i="66"/>
  <c r="O86" i="66"/>
  <c r="N86" i="66"/>
  <c r="O17" i="66"/>
  <c r="N17" i="66"/>
  <c r="M17" i="66"/>
  <c r="L115" i="66"/>
  <c r="M115" i="66"/>
  <c r="M126" i="66"/>
  <c r="L126" i="66"/>
  <c r="O126" i="66"/>
  <c r="N126" i="66"/>
  <c r="M133" i="66"/>
  <c r="O133" i="66"/>
  <c r="N133" i="66"/>
  <c r="M142" i="66"/>
  <c r="O142" i="66"/>
  <c r="N142" i="66"/>
  <c r="L142" i="66"/>
  <c r="O123" i="66"/>
  <c r="M123" i="66"/>
  <c r="L123" i="66"/>
  <c r="O57" i="66"/>
  <c r="M57" i="66"/>
  <c r="N57" i="66"/>
  <c r="O76" i="66"/>
  <c r="L76" i="66"/>
  <c r="M76" i="66"/>
  <c r="M103" i="66"/>
  <c r="L103" i="66"/>
  <c r="N103" i="66"/>
  <c r="O103" i="66"/>
  <c r="O9" i="66"/>
  <c r="N9" i="66"/>
  <c r="M9" i="66"/>
  <c r="M150" i="66"/>
  <c r="O150" i="66"/>
  <c r="N150" i="66"/>
  <c r="L150" i="66"/>
  <c r="L3" i="66"/>
  <c r="O3" i="66"/>
  <c r="N3" i="66"/>
  <c r="M3" i="66"/>
  <c r="M111" i="66"/>
  <c r="O111" i="66"/>
  <c r="N111" i="66"/>
  <c r="L111" i="66"/>
  <c r="O171" i="66"/>
  <c r="M171" i="66"/>
  <c r="L171" i="66"/>
  <c r="M87" i="66"/>
  <c r="O87" i="66"/>
  <c r="N87" i="66"/>
  <c r="M158" i="66"/>
  <c r="O158" i="66"/>
  <c r="N158" i="66"/>
  <c r="L158" i="66"/>
  <c r="O25" i="66"/>
  <c r="M25" i="66"/>
  <c r="N25" i="66"/>
  <c r="M71" i="66"/>
  <c r="N71" i="66"/>
  <c r="O71" i="66"/>
  <c r="M100" i="66"/>
  <c r="L100" i="66"/>
  <c r="O131" i="66"/>
  <c r="M131" i="66"/>
  <c r="L131" i="66"/>
  <c r="M165" i="66"/>
  <c r="O165" i="66"/>
  <c r="N165" i="66"/>
  <c r="L80" i="66"/>
  <c r="O94" i="66"/>
  <c r="L118" i="66"/>
  <c r="L139" i="66"/>
  <c r="N149" i="66"/>
  <c r="N173" i="66"/>
  <c r="M80" i="66"/>
  <c r="N118" i="66"/>
  <c r="M139" i="66"/>
  <c r="O149" i="66"/>
  <c r="O173" i="66"/>
  <c r="O80" i="66"/>
  <c r="O118" i="66"/>
  <c r="M19" i="66"/>
  <c r="N49" i="66"/>
  <c r="N65" i="66"/>
  <c r="O70" i="66"/>
  <c r="L95" i="66"/>
  <c r="N102" i="66"/>
  <c r="N125" i="66"/>
  <c r="L147" i="66"/>
  <c r="N157" i="66"/>
  <c r="L163" i="66"/>
  <c r="L179" i="66"/>
  <c r="N19" i="66"/>
  <c r="N95" i="66"/>
  <c r="O125" i="66"/>
  <c r="M147" i="66"/>
  <c r="O157" i="66"/>
  <c r="M163" i="66"/>
  <c r="M179" i="66"/>
  <c r="O19" i="66"/>
  <c r="O95" i="66"/>
  <c r="P95" i="66" s="1"/>
  <c r="M132" i="66"/>
  <c r="N134" i="66"/>
  <c r="O141" i="66"/>
  <c r="L155" i="66"/>
  <c r="O16" i="66"/>
  <c r="N16" i="66"/>
  <c r="M16" i="66"/>
  <c r="O22" i="66"/>
  <c r="N22" i="66"/>
  <c r="M22" i="66"/>
  <c r="L22" i="66"/>
  <c r="O26" i="66"/>
  <c r="M26" i="66"/>
  <c r="L26" i="66"/>
  <c r="O32" i="66"/>
  <c r="L32" i="66"/>
  <c r="N32" i="66"/>
  <c r="M32" i="66"/>
  <c r="N37" i="66"/>
  <c r="M37" i="66"/>
  <c r="L37" i="66"/>
  <c r="O37" i="66"/>
  <c r="O48" i="66"/>
  <c r="L48" i="66"/>
  <c r="N48" i="66"/>
  <c r="M48" i="66"/>
  <c r="N53" i="66"/>
  <c r="M53" i="66"/>
  <c r="L53" i="66"/>
  <c r="O53" i="66"/>
  <c r="O64" i="66"/>
  <c r="N64" i="66"/>
  <c r="M64" i="66"/>
  <c r="L64" i="66"/>
  <c r="N5" i="66"/>
  <c r="M5" i="66"/>
  <c r="L5" i="66"/>
  <c r="O5" i="66"/>
  <c r="L16" i="66"/>
  <c r="N26" i="66"/>
  <c r="O38" i="66"/>
  <c r="N38" i="66"/>
  <c r="M38" i="66"/>
  <c r="L38" i="66"/>
  <c r="N42" i="66"/>
  <c r="O42" i="66"/>
  <c r="M42" i="66"/>
  <c r="L42" i="66"/>
  <c r="O54" i="66"/>
  <c r="N54" i="66"/>
  <c r="M54" i="66"/>
  <c r="L54" i="66"/>
  <c r="O58" i="66"/>
  <c r="M58" i="66"/>
  <c r="L58" i="66"/>
  <c r="N58" i="66"/>
  <c r="O6" i="66"/>
  <c r="N6" i="66"/>
  <c r="M6" i="66"/>
  <c r="L6" i="66"/>
  <c r="M12" i="66"/>
  <c r="L12" i="66"/>
  <c r="O12" i="66"/>
  <c r="N12" i="66"/>
  <c r="L27" i="66"/>
  <c r="O27" i="66"/>
  <c r="N27" i="66"/>
  <c r="M27" i="66"/>
  <c r="L43" i="66"/>
  <c r="O43" i="66"/>
  <c r="N43" i="66"/>
  <c r="M43" i="66"/>
  <c r="L59" i="66"/>
  <c r="N59" i="66"/>
  <c r="O59" i="66"/>
  <c r="M59" i="66"/>
  <c r="L73" i="66"/>
  <c r="O73" i="66"/>
  <c r="N73" i="66"/>
  <c r="M73" i="66"/>
  <c r="O153" i="66"/>
  <c r="N153" i="66"/>
  <c r="M153" i="66"/>
  <c r="L153" i="66"/>
  <c r="P3" i="66"/>
  <c r="O10" i="66"/>
  <c r="M10" i="66"/>
  <c r="L10" i="66"/>
  <c r="O24" i="66"/>
  <c r="N24" i="66"/>
  <c r="L24" i="66"/>
  <c r="M24" i="66"/>
  <c r="M28" i="66"/>
  <c r="L28" i="66"/>
  <c r="O28" i="66"/>
  <c r="N28" i="66"/>
  <c r="M44" i="66"/>
  <c r="L44" i="66"/>
  <c r="O44" i="66"/>
  <c r="N44" i="66"/>
  <c r="M60" i="66"/>
  <c r="L60" i="66"/>
  <c r="O60" i="66"/>
  <c r="N60" i="66"/>
  <c r="M74" i="66"/>
  <c r="L74" i="66"/>
  <c r="O74" i="66"/>
  <c r="N74" i="66"/>
  <c r="O99" i="66"/>
  <c r="N99" i="66"/>
  <c r="M99" i="66"/>
  <c r="L99" i="66"/>
  <c r="O7" i="66"/>
  <c r="N7" i="66"/>
  <c r="M7" i="66"/>
  <c r="L7" i="66"/>
  <c r="N13" i="66"/>
  <c r="M13" i="66"/>
  <c r="L13" i="66"/>
  <c r="O13" i="66"/>
  <c r="N29" i="66"/>
  <c r="M29" i="66"/>
  <c r="L29" i="66"/>
  <c r="O29" i="66"/>
  <c r="O40" i="66"/>
  <c r="L40" i="66"/>
  <c r="N40" i="66"/>
  <c r="M40" i="66"/>
  <c r="N45" i="66"/>
  <c r="M45" i="66"/>
  <c r="L45" i="66"/>
  <c r="O45" i="66"/>
  <c r="O56" i="66"/>
  <c r="L56" i="66"/>
  <c r="N56" i="66"/>
  <c r="M56" i="66"/>
  <c r="N61" i="66"/>
  <c r="M61" i="66"/>
  <c r="L61" i="66"/>
  <c r="O61" i="66"/>
  <c r="N75" i="66"/>
  <c r="O75" i="66"/>
  <c r="M75" i="66"/>
  <c r="L75" i="66"/>
  <c r="L81" i="66"/>
  <c r="O81" i="66"/>
  <c r="N81" i="66"/>
  <c r="M81" i="66"/>
  <c r="O8" i="66"/>
  <c r="N8" i="66"/>
  <c r="M8" i="66"/>
  <c r="O14" i="66"/>
  <c r="N14" i="66"/>
  <c r="M14" i="66"/>
  <c r="L14" i="66"/>
  <c r="M20" i="66"/>
  <c r="L20" i="66"/>
  <c r="O20" i="66"/>
  <c r="N20" i="66"/>
  <c r="O30" i="66"/>
  <c r="N30" i="66"/>
  <c r="M30" i="66"/>
  <c r="L30" i="66"/>
  <c r="N34" i="66"/>
  <c r="O34" i="66"/>
  <c r="M34" i="66"/>
  <c r="L34" i="66"/>
  <c r="O46" i="66"/>
  <c r="N46" i="66"/>
  <c r="M46" i="66"/>
  <c r="L46" i="66"/>
  <c r="O50" i="66"/>
  <c r="M50" i="66"/>
  <c r="N50" i="66"/>
  <c r="L50" i="66"/>
  <c r="O62" i="66"/>
  <c r="N62" i="66"/>
  <c r="M62" i="66"/>
  <c r="L62" i="66"/>
  <c r="N66" i="66"/>
  <c r="O66" i="66"/>
  <c r="M66" i="66"/>
  <c r="L66" i="66"/>
  <c r="L78" i="66"/>
  <c r="O78" i="66"/>
  <c r="N78" i="66"/>
  <c r="M78" i="66"/>
  <c r="L89" i="66"/>
  <c r="O89" i="66"/>
  <c r="M89" i="66"/>
  <c r="N89" i="66"/>
  <c r="L8" i="66"/>
  <c r="O18" i="66"/>
  <c r="M18" i="66"/>
  <c r="L18" i="66"/>
  <c r="L35" i="66"/>
  <c r="O35" i="66"/>
  <c r="N35" i="66"/>
  <c r="M35" i="66"/>
  <c r="L51" i="66"/>
  <c r="O51" i="66"/>
  <c r="N51" i="66"/>
  <c r="M51" i="66"/>
  <c r="L67" i="66"/>
  <c r="O67" i="66"/>
  <c r="N67" i="66"/>
  <c r="M67" i="66"/>
  <c r="M90" i="66"/>
  <c r="L90" i="66"/>
  <c r="N90" i="66"/>
  <c r="O90" i="66"/>
  <c r="N106" i="66"/>
  <c r="M106" i="66"/>
  <c r="L106" i="66"/>
  <c r="O106" i="66"/>
  <c r="O161" i="66"/>
  <c r="N161" i="66"/>
  <c r="M161" i="66"/>
  <c r="L161" i="66"/>
  <c r="M4" i="66"/>
  <c r="L4" i="66"/>
  <c r="O4" i="66"/>
  <c r="N4" i="66"/>
  <c r="O15" i="66"/>
  <c r="N15" i="66"/>
  <c r="M15" i="66"/>
  <c r="L15" i="66"/>
  <c r="N21" i="66"/>
  <c r="M21" i="66"/>
  <c r="L21" i="66"/>
  <c r="O21" i="66"/>
  <c r="M36" i="66"/>
  <c r="L36" i="66"/>
  <c r="O36" i="66"/>
  <c r="N36" i="66"/>
  <c r="M52" i="66"/>
  <c r="L52" i="66"/>
  <c r="O52" i="66"/>
  <c r="N52" i="66"/>
  <c r="O68" i="66"/>
  <c r="M68" i="66"/>
  <c r="L68" i="66"/>
  <c r="N68" i="66"/>
  <c r="N83" i="66"/>
  <c r="M83" i="66"/>
  <c r="L83" i="66"/>
  <c r="O83" i="66"/>
  <c r="O107" i="66"/>
  <c r="N107" i="66"/>
  <c r="M107" i="66"/>
  <c r="L107" i="66"/>
  <c r="N121" i="66"/>
  <c r="M121" i="66"/>
  <c r="L121" i="66"/>
  <c r="O121" i="66"/>
  <c r="O145" i="66"/>
  <c r="N145" i="66"/>
  <c r="M145" i="66"/>
  <c r="L145" i="66"/>
  <c r="O177" i="66"/>
  <c r="N177" i="66"/>
  <c r="M177" i="66"/>
  <c r="L177" i="66"/>
  <c r="O137" i="66"/>
  <c r="N137" i="66"/>
  <c r="M137" i="66"/>
  <c r="L137" i="66"/>
  <c r="M113" i="66"/>
  <c r="L113" i="66"/>
  <c r="O113" i="66"/>
  <c r="L119" i="66"/>
  <c r="O119" i="66"/>
  <c r="N119" i="66"/>
  <c r="O124" i="66"/>
  <c r="L124" i="66"/>
  <c r="N136" i="66"/>
  <c r="M136" i="66"/>
  <c r="L136" i="66"/>
  <c r="O136" i="66"/>
  <c r="M151" i="66"/>
  <c r="L151" i="66"/>
  <c r="O151" i="66"/>
  <c r="N151" i="66"/>
  <c r="O170" i="66"/>
  <c r="N170" i="66"/>
  <c r="M170" i="66"/>
  <c r="M175" i="66"/>
  <c r="L175" i="66"/>
  <c r="O175" i="66"/>
  <c r="N175" i="66"/>
  <c r="N98" i="66"/>
  <c r="M98" i="66"/>
  <c r="L98" i="66"/>
  <c r="N152" i="66"/>
  <c r="M152" i="66"/>
  <c r="L152" i="66"/>
  <c r="O152" i="66"/>
  <c r="L9" i="66"/>
  <c r="L17" i="66"/>
  <c r="L25" i="66"/>
  <c r="P25" i="66" s="1"/>
  <c r="L33" i="66"/>
  <c r="P33" i="66" s="1"/>
  <c r="L41" i="66"/>
  <c r="L49" i="66"/>
  <c r="L57" i="66"/>
  <c r="L65" i="66"/>
  <c r="M70" i="66"/>
  <c r="M86" i="66"/>
  <c r="M94" i="66"/>
  <c r="O100" i="66"/>
  <c r="N100" i="66"/>
  <c r="N113" i="66"/>
  <c r="O122" i="66"/>
  <c r="N122" i="66"/>
  <c r="M122" i="66"/>
  <c r="O129" i="66"/>
  <c r="N129" i="66"/>
  <c r="M129" i="66"/>
  <c r="L129" i="66"/>
  <c r="O132" i="66"/>
  <c r="L132" i="66"/>
  <c r="N144" i="66"/>
  <c r="M144" i="66"/>
  <c r="L144" i="66"/>
  <c r="O144" i="66"/>
  <c r="M159" i="66"/>
  <c r="L159" i="66"/>
  <c r="O159" i="66"/>
  <c r="N159" i="66"/>
  <c r="L23" i="66"/>
  <c r="L31" i="66"/>
  <c r="L39" i="66"/>
  <c r="L47" i="66"/>
  <c r="L55" i="66"/>
  <c r="L63" i="66"/>
  <c r="L69" i="66"/>
  <c r="L79" i="66"/>
  <c r="L82" i="66"/>
  <c r="L85" i="66"/>
  <c r="L91" i="66"/>
  <c r="M96" i="66"/>
  <c r="O98" i="66"/>
  <c r="L104" i="66"/>
  <c r="N104" i="66"/>
  <c r="M110" i="66"/>
  <c r="O114" i="66"/>
  <c r="N114" i="66"/>
  <c r="M114" i="66"/>
  <c r="L116" i="66"/>
  <c r="M120" i="66"/>
  <c r="L120" i="66"/>
  <c r="O120" i="66"/>
  <c r="O130" i="66"/>
  <c r="N130" i="66"/>
  <c r="M130" i="66"/>
  <c r="M140" i="66"/>
  <c r="O148" i="66"/>
  <c r="L148" i="66"/>
  <c r="N160" i="66"/>
  <c r="M160" i="66"/>
  <c r="L160" i="66"/>
  <c r="O160" i="66"/>
  <c r="O108" i="66"/>
  <c r="N108" i="66"/>
  <c r="M23" i="66"/>
  <c r="M31" i="66"/>
  <c r="M39" i="66"/>
  <c r="M47" i="66"/>
  <c r="M55" i="66"/>
  <c r="M63" i="66"/>
  <c r="M69" i="66"/>
  <c r="L72" i="66"/>
  <c r="N76" i="66"/>
  <c r="P76" i="66" s="1"/>
  <c r="N79" i="66"/>
  <c r="N82" i="66"/>
  <c r="M85" i="66"/>
  <c r="L88" i="66"/>
  <c r="L93" i="66"/>
  <c r="O102" i="66"/>
  <c r="M104" i="66"/>
  <c r="M108" i="66"/>
  <c r="N110" i="66"/>
  <c r="L112" i="66"/>
  <c r="N112" i="66"/>
  <c r="L114" i="66"/>
  <c r="M116" i="66"/>
  <c r="N120" i="66"/>
  <c r="L130" i="66"/>
  <c r="O138" i="66"/>
  <c r="N138" i="66"/>
  <c r="M138" i="66"/>
  <c r="M148" i="66"/>
  <c r="O156" i="66"/>
  <c r="L156" i="66"/>
  <c r="N168" i="66"/>
  <c r="M168" i="66"/>
  <c r="L168" i="66"/>
  <c r="O168" i="66"/>
  <c r="O140" i="66"/>
  <c r="L140" i="66"/>
  <c r="N176" i="66"/>
  <c r="M176" i="66"/>
  <c r="L176" i="66"/>
  <c r="O176" i="66"/>
  <c r="G181" i="66"/>
  <c r="N23" i="66"/>
  <c r="N31" i="66"/>
  <c r="N39" i="66"/>
  <c r="N47" i="66"/>
  <c r="N55" i="66"/>
  <c r="N63" i="66"/>
  <c r="N69" i="66"/>
  <c r="M72" i="66"/>
  <c r="O79" i="66"/>
  <c r="O82" i="66"/>
  <c r="N85" i="66"/>
  <c r="M88" i="66"/>
  <c r="M93" i="66"/>
  <c r="L101" i="66"/>
  <c r="O104" i="66"/>
  <c r="O110" i="66"/>
  <c r="M112" i="66"/>
  <c r="N116" i="66"/>
  <c r="M127" i="66"/>
  <c r="L127" i="66"/>
  <c r="O127" i="66"/>
  <c r="N127" i="66"/>
  <c r="L138" i="66"/>
  <c r="O146" i="66"/>
  <c r="N146" i="66"/>
  <c r="M146" i="66"/>
  <c r="N148" i="66"/>
  <c r="M156" i="66"/>
  <c r="O164" i="66"/>
  <c r="L164" i="66"/>
  <c r="L174" i="66"/>
  <c r="N174" i="66"/>
  <c r="M174" i="66"/>
  <c r="L96" i="66"/>
  <c r="N96" i="66"/>
  <c r="O72" i="66"/>
  <c r="L84" i="66"/>
  <c r="O88" i="66"/>
  <c r="N93" i="66"/>
  <c r="M97" i="66"/>
  <c r="L97" i="66"/>
  <c r="O97" i="66"/>
  <c r="M101" i="66"/>
  <c r="L109" i="66"/>
  <c r="O112" i="66"/>
  <c r="M135" i="66"/>
  <c r="L135" i="66"/>
  <c r="O135" i="66"/>
  <c r="N135" i="66"/>
  <c r="L146" i="66"/>
  <c r="O154" i="66"/>
  <c r="N154" i="66"/>
  <c r="M154" i="66"/>
  <c r="N156" i="66"/>
  <c r="O169" i="66"/>
  <c r="N169" i="66"/>
  <c r="M169" i="66"/>
  <c r="L169" i="66"/>
  <c r="O172" i="66"/>
  <c r="L172" i="66"/>
  <c r="O178" i="66"/>
  <c r="N178" i="66"/>
  <c r="M178" i="66"/>
  <c r="I181" i="66"/>
  <c r="N91" i="66"/>
  <c r="M91" i="66"/>
  <c r="M167" i="66"/>
  <c r="L167" i="66"/>
  <c r="O167" i="66"/>
  <c r="N167" i="66"/>
  <c r="L71" i="66"/>
  <c r="M84" i="66"/>
  <c r="L87" i="66"/>
  <c r="P87" i="66" s="1"/>
  <c r="O92" i="66"/>
  <c r="N92" i="66"/>
  <c r="P92" i="66" s="1"/>
  <c r="N97" i="66"/>
  <c r="N101" i="66"/>
  <c r="M105" i="66"/>
  <c r="L105" i="66"/>
  <c r="O105" i="66"/>
  <c r="M109" i="66"/>
  <c r="O115" i="66"/>
  <c r="N115" i="66"/>
  <c r="M117" i="66"/>
  <c r="L117" i="66"/>
  <c r="N128" i="66"/>
  <c r="M128" i="66"/>
  <c r="L128" i="66"/>
  <c r="O128" i="66"/>
  <c r="M143" i="66"/>
  <c r="L143" i="66"/>
  <c r="O143" i="66"/>
  <c r="N143" i="66"/>
  <c r="L154" i="66"/>
  <c r="O162" i="66"/>
  <c r="N162" i="66"/>
  <c r="M162" i="66"/>
  <c r="N164" i="66"/>
  <c r="M172" i="66"/>
  <c r="L178" i="66"/>
  <c r="L125" i="66"/>
  <c r="P125" i="66" s="1"/>
  <c r="L133" i="66"/>
  <c r="L141" i="66"/>
  <c r="L149" i="66"/>
  <c r="L157" i="66"/>
  <c r="L165" i="66"/>
  <c r="L173" i="66"/>
  <c r="P173" i="66" s="1"/>
  <c r="N123" i="66"/>
  <c r="N131" i="66"/>
  <c r="P131" i="66" s="1"/>
  <c r="N139" i="66"/>
  <c r="N147" i="66"/>
  <c r="N155" i="66"/>
  <c r="P155" i="66" s="1"/>
  <c r="N163" i="66"/>
  <c r="N171" i="66"/>
  <c r="N179" i="66"/>
  <c r="P77" i="66" l="1"/>
  <c r="P19" i="66"/>
  <c r="P149" i="66"/>
  <c r="P94" i="66"/>
  <c r="P11" i="66"/>
  <c r="P17" i="66"/>
  <c r="P89" i="66"/>
  <c r="P166" i="66"/>
  <c r="P102" i="66"/>
  <c r="P147" i="66"/>
  <c r="P141" i="66"/>
  <c r="P128" i="66"/>
  <c r="P108" i="66"/>
  <c r="P170" i="66"/>
  <c r="P20" i="66"/>
  <c r="P123" i="66"/>
  <c r="P178" i="66"/>
  <c r="P117" i="66"/>
  <c r="P84" i="66"/>
  <c r="P65" i="66"/>
  <c r="P134" i="66"/>
  <c r="P179" i="66"/>
  <c r="P165" i="66"/>
  <c r="P115" i="66"/>
  <c r="P49" i="66"/>
  <c r="P158" i="66"/>
  <c r="P126" i="66"/>
  <c r="P86" i="66"/>
  <c r="P157" i="66"/>
  <c r="P162" i="66"/>
  <c r="P41" i="66"/>
  <c r="P121" i="66"/>
  <c r="P83" i="66"/>
  <c r="P16" i="66"/>
  <c r="P109" i="66"/>
  <c r="P132" i="66"/>
  <c r="P57" i="66"/>
  <c r="P152" i="66"/>
  <c r="P68" i="66"/>
  <c r="M181" i="66"/>
  <c r="P7" i="66"/>
  <c r="P142" i="66"/>
  <c r="P163" i="66"/>
  <c r="P169" i="66"/>
  <c r="P146" i="66"/>
  <c r="P120" i="66"/>
  <c r="P104" i="66"/>
  <c r="P100" i="66"/>
  <c r="P103" i="66"/>
  <c r="P110" i="66"/>
  <c r="P148" i="66"/>
  <c r="P59" i="66"/>
  <c r="P27" i="66"/>
  <c r="P111" i="66"/>
  <c r="P171" i="66"/>
  <c r="P116" i="66"/>
  <c r="O181" i="66"/>
  <c r="P64" i="66"/>
  <c r="P80" i="66"/>
  <c r="P150" i="66"/>
  <c r="P139" i="66"/>
  <c r="P133" i="66"/>
  <c r="P71" i="66"/>
  <c r="P135" i="66"/>
  <c r="P130" i="66"/>
  <c r="P42" i="66"/>
  <c r="P118" i="66"/>
  <c r="P164" i="66"/>
  <c r="N181" i="66"/>
  <c r="P176" i="66"/>
  <c r="P122" i="66"/>
  <c r="P70" i="66"/>
  <c r="P9" i="66"/>
  <c r="P154" i="66"/>
  <c r="P105" i="66"/>
  <c r="P160" i="66"/>
  <c r="P79" i="66"/>
  <c r="P98" i="66"/>
  <c r="P119" i="66"/>
  <c r="P145" i="66"/>
  <c r="P107" i="66"/>
  <c r="P67" i="66"/>
  <c r="P35" i="66"/>
  <c r="P66" i="66"/>
  <c r="P50" i="66"/>
  <c r="P34" i="66"/>
  <c r="P13" i="66"/>
  <c r="P174" i="66"/>
  <c r="P138" i="66"/>
  <c r="P112" i="66"/>
  <c r="P69" i="66"/>
  <c r="P136" i="66"/>
  <c r="P15" i="66"/>
  <c r="P161" i="66"/>
  <c r="P18" i="66"/>
  <c r="P56" i="66"/>
  <c r="P40" i="66"/>
  <c r="P60" i="66"/>
  <c r="P28" i="66"/>
  <c r="P22" i="66"/>
  <c r="P63" i="66"/>
  <c r="P143" i="66"/>
  <c r="P167" i="66"/>
  <c r="P172" i="66"/>
  <c r="P168" i="66"/>
  <c r="P55" i="66"/>
  <c r="P159" i="66"/>
  <c r="P113" i="66"/>
  <c r="P36" i="66"/>
  <c r="P90" i="66"/>
  <c r="L181" i="66"/>
  <c r="P101" i="66"/>
  <c r="P127" i="66"/>
  <c r="P72" i="66"/>
  <c r="P47" i="66"/>
  <c r="P129" i="66"/>
  <c r="P124" i="66"/>
  <c r="P177" i="66"/>
  <c r="P51" i="66"/>
  <c r="P62" i="66"/>
  <c r="P46" i="66"/>
  <c r="P30" i="66"/>
  <c r="P14" i="66"/>
  <c r="P61" i="66"/>
  <c r="P45" i="66"/>
  <c r="P29" i="66"/>
  <c r="P24" i="66"/>
  <c r="P153" i="66"/>
  <c r="P73" i="66"/>
  <c r="P12" i="66"/>
  <c r="P58" i="66"/>
  <c r="P48" i="66"/>
  <c r="P32" i="66"/>
  <c r="P91" i="66"/>
  <c r="P39" i="66"/>
  <c r="P175" i="66"/>
  <c r="P151" i="66"/>
  <c r="P8" i="66"/>
  <c r="P74" i="66"/>
  <c r="P44" i="66"/>
  <c r="P43" i="66"/>
  <c r="P96" i="66"/>
  <c r="P140" i="66"/>
  <c r="P156" i="66"/>
  <c r="P93" i="66"/>
  <c r="P85" i="66"/>
  <c r="P31" i="66"/>
  <c r="P21" i="66"/>
  <c r="P106" i="66"/>
  <c r="P81" i="66"/>
  <c r="P6" i="66"/>
  <c r="P26" i="66"/>
  <c r="P97" i="66"/>
  <c r="P114" i="66"/>
  <c r="P88" i="66"/>
  <c r="P82" i="66"/>
  <c r="P23" i="66"/>
  <c r="P144" i="66"/>
  <c r="P137" i="66"/>
  <c r="P52" i="66"/>
  <c r="P4" i="66"/>
  <c r="P78" i="66"/>
  <c r="P75" i="66"/>
  <c r="P99" i="66"/>
  <c r="P10" i="66"/>
  <c r="P54" i="66"/>
  <c r="P38" i="66"/>
  <c r="P5" i="66"/>
  <c r="P53" i="66"/>
  <c r="P37" i="66"/>
  <c r="P181" i="66" l="1"/>
  <c r="O51" i="62" l="1"/>
  <c r="D3" i="62"/>
  <c r="D4" i="62"/>
  <c r="D5" i="62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H65" i="63" l="1"/>
  <c r="F65" i="63"/>
  <c r="G63" i="63"/>
  <c r="I63" i="63" s="1"/>
  <c r="G62" i="63"/>
  <c r="I62" i="63" s="1"/>
  <c r="O62" i="63" s="1"/>
  <c r="G61" i="63"/>
  <c r="I61" i="63" s="1"/>
  <c r="G60" i="63"/>
  <c r="I60" i="63" s="1"/>
  <c r="G59" i="63"/>
  <c r="I59" i="63" s="1"/>
  <c r="L59" i="63" s="1"/>
  <c r="G58" i="63"/>
  <c r="I58" i="63" s="1"/>
  <c r="G57" i="63"/>
  <c r="I57" i="63" s="1"/>
  <c r="G56" i="63"/>
  <c r="I56" i="63" s="1"/>
  <c r="N56" i="63" s="1"/>
  <c r="G55" i="63"/>
  <c r="I55" i="63" s="1"/>
  <c r="G54" i="63"/>
  <c r="I54" i="63" s="1"/>
  <c r="O54" i="63" s="1"/>
  <c r="G53" i="63"/>
  <c r="I53" i="63" s="1"/>
  <c r="O53" i="63" s="1"/>
  <c r="I52" i="63"/>
  <c r="L52" i="63" s="1"/>
  <c r="G51" i="63"/>
  <c r="I51" i="63" s="1"/>
  <c r="G50" i="63"/>
  <c r="I50" i="63" s="1"/>
  <c r="G49" i="63"/>
  <c r="I49" i="63" s="1"/>
  <c r="O49" i="63" s="1"/>
  <c r="G48" i="63"/>
  <c r="I48" i="63" s="1"/>
  <c r="G47" i="63"/>
  <c r="I47" i="63" s="1"/>
  <c r="O47" i="63" s="1"/>
  <c r="G46" i="63"/>
  <c r="I46" i="63" s="1"/>
  <c r="G45" i="63"/>
  <c r="I45" i="63" s="1"/>
  <c r="G44" i="63"/>
  <c r="I44" i="63" s="1"/>
  <c r="L44" i="63" s="1"/>
  <c r="G43" i="63"/>
  <c r="I43" i="63" s="1"/>
  <c r="L42" i="63"/>
  <c r="G42" i="63"/>
  <c r="I42" i="63" s="1"/>
  <c r="G41" i="63"/>
  <c r="I41" i="63" s="1"/>
  <c r="G40" i="63"/>
  <c r="I40" i="63" s="1"/>
  <c r="G39" i="63"/>
  <c r="I39" i="63" s="1"/>
  <c r="G38" i="63"/>
  <c r="I38" i="63" s="1"/>
  <c r="G37" i="63"/>
  <c r="I37" i="63" s="1"/>
  <c r="O37" i="63" s="1"/>
  <c r="G36" i="63"/>
  <c r="I36" i="63" s="1"/>
  <c r="L36" i="63" s="1"/>
  <c r="G35" i="63"/>
  <c r="I35" i="63" s="1"/>
  <c r="G34" i="63"/>
  <c r="I34" i="63" s="1"/>
  <c r="L34" i="63" s="1"/>
  <c r="G33" i="63"/>
  <c r="I33" i="63" s="1"/>
  <c r="G32" i="63"/>
  <c r="I32" i="63" s="1"/>
  <c r="G31" i="63"/>
  <c r="I31" i="63" s="1"/>
  <c r="G30" i="63"/>
  <c r="I30" i="63" s="1"/>
  <c r="O30" i="63" s="1"/>
  <c r="G29" i="63"/>
  <c r="I29" i="63" s="1"/>
  <c r="G28" i="63"/>
  <c r="I28" i="63" s="1"/>
  <c r="N28" i="63" s="1"/>
  <c r="G27" i="63"/>
  <c r="I27" i="63" s="1"/>
  <c r="M27" i="63" s="1"/>
  <c r="G26" i="63"/>
  <c r="I26" i="63" s="1"/>
  <c r="G25" i="63"/>
  <c r="I25" i="63" s="1"/>
  <c r="N25" i="63" s="1"/>
  <c r="G24" i="63"/>
  <c r="I24" i="63" s="1"/>
  <c r="M24" i="63" s="1"/>
  <c r="G23" i="63"/>
  <c r="I23" i="63" s="1"/>
  <c r="O23" i="63" s="1"/>
  <c r="G22" i="63"/>
  <c r="I22" i="63" s="1"/>
  <c r="N22" i="63" s="1"/>
  <c r="G21" i="63"/>
  <c r="I21" i="63" s="1"/>
  <c r="G20" i="63"/>
  <c r="I20" i="63" s="1"/>
  <c r="N20" i="63" s="1"/>
  <c r="G19" i="63"/>
  <c r="I19" i="63" s="1"/>
  <c r="M19" i="63" s="1"/>
  <c r="G18" i="63"/>
  <c r="I18" i="63" s="1"/>
  <c r="O18" i="63" s="1"/>
  <c r="G17" i="63"/>
  <c r="I17" i="63" s="1"/>
  <c r="G16" i="63"/>
  <c r="I16" i="63" s="1"/>
  <c r="G15" i="63"/>
  <c r="I15" i="63" s="1"/>
  <c r="O15" i="63" s="1"/>
  <c r="G14" i="63"/>
  <c r="I14" i="63" s="1"/>
  <c r="N14" i="63" s="1"/>
  <c r="G13" i="63"/>
  <c r="I13" i="63" s="1"/>
  <c r="O13" i="63" s="1"/>
  <c r="G11" i="63"/>
  <c r="I11" i="63" s="1"/>
  <c r="G10" i="63"/>
  <c r="I10" i="63" s="1"/>
  <c r="G9" i="63"/>
  <c r="I9" i="63" s="1"/>
  <c r="N9" i="63" s="1"/>
  <c r="G8" i="63"/>
  <c r="I8" i="63" s="1"/>
  <c r="M8" i="63" s="1"/>
  <c r="G7" i="63"/>
  <c r="I7" i="63" s="1"/>
  <c r="L7" i="63" s="1"/>
  <c r="G6" i="63"/>
  <c r="I6" i="63" s="1"/>
  <c r="G5" i="63"/>
  <c r="I5" i="63" s="1"/>
  <c r="G4" i="63"/>
  <c r="I4" i="63" s="1"/>
  <c r="G3" i="63"/>
  <c r="I3" i="63" s="1"/>
  <c r="M3" i="63" s="1"/>
  <c r="L18" i="63" l="1"/>
  <c r="O7" i="63"/>
  <c r="N36" i="63"/>
  <c r="O38" i="63"/>
  <c r="N38" i="63"/>
  <c r="O46" i="63"/>
  <c r="N46" i="63"/>
  <c r="O61" i="63"/>
  <c r="N61" i="63"/>
  <c r="N30" i="63"/>
  <c r="M52" i="63"/>
  <c r="N52" i="63"/>
  <c r="O52" i="63"/>
  <c r="L28" i="63"/>
  <c r="M13" i="63"/>
  <c r="M37" i="63"/>
  <c r="N53" i="63"/>
  <c r="N5" i="63"/>
  <c r="L5" i="63"/>
  <c r="N10" i="63"/>
  <c r="M10" i="63"/>
  <c r="O17" i="63"/>
  <c r="M17" i="63"/>
  <c r="L17" i="63"/>
  <c r="O50" i="63"/>
  <c r="N50" i="63"/>
  <c r="M50" i="63"/>
  <c r="L50" i="63"/>
  <c r="M5" i="63"/>
  <c r="L10" i="63"/>
  <c r="N15" i="63"/>
  <c r="M15" i="63"/>
  <c r="N17" i="63"/>
  <c r="M20" i="63"/>
  <c r="O20" i="63"/>
  <c r="O33" i="63"/>
  <c r="N33" i="63"/>
  <c r="M33" i="63"/>
  <c r="L33" i="63"/>
  <c r="N39" i="63"/>
  <c r="L39" i="63"/>
  <c r="M39" i="63"/>
  <c r="O22" i="63"/>
  <c r="M22" i="63"/>
  <c r="L22" i="63"/>
  <c r="L27" i="63"/>
  <c r="O27" i="63"/>
  <c r="N27" i="63"/>
  <c r="O57" i="63"/>
  <c r="N57" i="63"/>
  <c r="L57" i="63"/>
  <c r="M57" i="63"/>
  <c r="L3" i="63"/>
  <c r="O3" i="63"/>
  <c r="N3" i="63"/>
  <c r="O5" i="63"/>
  <c r="O8" i="63"/>
  <c r="N8" i="63"/>
  <c r="L8" i="63"/>
  <c r="O10" i="63"/>
  <c r="N13" i="63"/>
  <c r="L13" i="63"/>
  <c r="L15" i="63"/>
  <c r="N18" i="63"/>
  <c r="M18" i="63"/>
  <c r="L20" i="63"/>
  <c r="O25" i="63"/>
  <c r="M25" i="63"/>
  <c r="L25" i="63"/>
  <c r="M28" i="63"/>
  <c r="O28" i="63"/>
  <c r="O34" i="63"/>
  <c r="N34" i="63"/>
  <c r="M34" i="63"/>
  <c r="N37" i="63"/>
  <c r="L37" i="63"/>
  <c r="O39" i="63"/>
  <c r="L43" i="63"/>
  <c r="O43" i="63"/>
  <c r="M43" i="63"/>
  <c r="N43" i="63"/>
  <c r="N47" i="63"/>
  <c r="M47" i="63"/>
  <c r="L47" i="63"/>
  <c r="L51" i="63"/>
  <c r="O51" i="63"/>
  <c r="N51" i="63"/>
  <c r="M51" i="63"/>
  <c r="N54" i="63"/>
  <c r="L54" i="63"/>
  <c r="M54" i="63"/>
  <c r="L58" i="63"/>
  <c r="O58" i="63"/>
  <c r="N58" i="63"/>
  <c r="M58" i="63"/>
  <c r="N62" i="63"/>
  <c r="M62" i="63"/>
  <c r="L62" i="63"/>
  <c r="O6" i="63"/>
  <c r="M6" i="63"/>
  <c r="L6" i="63"/>
  <c r="L11" i="63"/>
  <c r="O11" i="63"/>
  <c r="N11" i="63"/>
  <c r="O16" i="63"/>
  <c r="N16" i="63"/>
  <c r="L16" i="63"/>
  <c r="N21" i="63"/>
  <c r="L21" i="63"/>
  <c r="L23" i="63"/>
  <c r="N26" i="63"/>
  <c r="M26" i="63"/>
  <c r="N31" i="63"/>
  <c r="L31" i="63"/>
  <c r="M31" i="63"/>
  <c r="O48" i="63"/>
  <c r="M48" i="63"/>
  <c r="N48" i="63"/>
  <c r="L48" i="63"/>
  <c r="O55" i="63"/>
  <c r="N55" i="63"/>
  <c r="M55" i="63"/>
  <c r="L55" i="63"/>
  <c r="O63" i="63"/>
  <c r="N63" i="63"/>
  <c r="M63" i="63"/>
  <c r="L63" i="63"/>
  <c r="O40" i="63"/>
  <c r="N40" i="63"/>
  <c r="M40" i="63"/>
  <c r="L40" i="63"/>
  <c r="M4" i="63"/>
  <c r="O4" i="63"/>
  <c r="N6" i="63"/>
  <c r="M11" i="63"/>
  <c r="M16" i="63"/>
  <c r="M21" i="63"/>
  <c r="L26" i="63"/>
  <c r="N29" i="63"/>
  <c r="L29" i="63"/>
  <c r="O31" i="63"/>
  <c r="L35" i="63"/>
  <c r="O35" i="63"/>
  <c r="N35" i="63"/>
  <c r="N45" i="63"/>
  <c r="L45" i="63"/>
  <c r="O45" i="63"/>
  <c r="N60" i="63"/>
  <c r="L60" i="63"/>
  <c r="O60" i="63"/>
  <c r="N23" i="63"/>
  <c r="M23" i="63"/>
  <c r="M44" i="63"/>
  <c r="O44" i="63"/>
  <c r="N44" i="63"/>
  <c r="M59" i="63"/>
  <c r="N59" i="63"/>
  <c r="O59" i="63"/>
  <c r="G65" i="63"/>
  <c r="L4" i="63"/>
  <c r="O9" i="63"/>
  <c r="M9" i="63"/>
  <c r="L9" i="63"/>
  <c r="O14" i="63"/>
  <c r="M14" i="63"/>
  <c r="L14" i="63"/>
  <c r="L19" i="63"/>
  <c r="O19" i="63"/>
  <c r="N19" i="63"/>
  <c r="O21" i="63"/>
  <c r="O24" i="63"/>
  <c r="N24" i="63"/>
  <c r="L24" i="63"/>
  <c r="O26" i="63"/>
  <c r="M29" i="63"/>
  <c r="O32" i="63"/>
  <c r="N32" i="63"/>
  <c r="M32" i="63"/>
  <c r="L32" i="63"/>
  <c r="M35" i="63"/>
  <c r="N41" i="63"/>
  <c r="O41" i="63"/>
  <c r="M41" i="63"/>
  <c r="L41" i="63"/>
  <c r="M45" i="63"/>
  <c r="M60" i="63"/>
  <c r="N4" i="63"/>
  <c r="N7" i="63"/>
  <c r="M7" i="63"/>
  <c r="O29" i="63"/>
  <c r="M36" i="63"/>
  <c r="O36" i="63"/>
  <c r="O42" i="63"/>
  <c r="N42" i="63"/>
  <c r="M42" i="63"/>
  <c r="L49" i="63"/>
  <c r="L56" i="63"/>
  <c r="M49" i="63"/>
  <c r="M56" i="63"/>
  <c r="N49" i="63"/>
  <c r="L30" i="63"/>
  <c r="L38" i="63"/>
  <c r="L46" i="63"/>
  <c r="L53" i="63"/>
  <c r="O56" i="63"/>
  <c r="L61" i="63"/>
  <c r="M30" i="63"/>
  <c r="M38" i="63"/>
  <c r="M46" i="63"/>
  <c r="M53" i="63"/>
  <c r="M61" i="63"/>
  <c r="P18" i="63" l="1"/>
  <c r="P62" i="63"/>
  <c r="P34" i="63"/>
  <c r="P28" i="63"/>
  <c r="P14" i="63"/>
  <c r="P36" i="63"/>
  <c r="P52" i="63"/>
  <c r="P61" i="63"/>
  <c r="P42" i="63"/>
  <c r="P7" i="63"/>
  <c r="P44" i="63"/>
  <c r="P6" i="63"/>
  <c r="P51" i="63"/>
  <c r="P25" i="63"/>
  <c r="P3" i="63"/>
  <c r="P39" i="63"/>
  <c r="P49" i="63"/>
  <c r="P19" i="63"/>
  <c r="P37" i="63"/>
  <c r="P31" i="63"/>
  <c r="P54" i="63"/>
  <c r="P20" i="63"/>
  <c r="P30" i="63"/>
  <c r="P40" i="63"/>
  <c r="P32" i="63"/>
  <c r="P9" i="63"/>
  <c r="P59" i="63"/>
  <c r="P56" i="63"/>
  <c r="P38" i="63"/>
  <c r="I65" i="63"/>
  <c r="N65" i="63"/>
  <c r="M65" i="63"/>
  <c r="O65" i="63"/>
  <c r="P21" i="63"/>
  <c r="P50" i="63"/>
  <c r="P24" i="63"/>
  <c r="P45" i="63"/>
  <c r="P26" i="63"/>
  <c r="P63" i="63"/>
  <c r="P58" i="63"/>
  <c r="P47" i="63"/>
  <c r="P55" i="63"/>
  <c r="P16" i="63"/>
  <c r="P8" i="63"/>
  <c r="P5" i="63"/>
  <c r="P35" i="63"/>
  <c r="P22" i="63"/>
  <c r="P33" i="63"/>
  <c r="P17" i="63"/>
  <c r="P27" i="63"/>
  <c r="P53" i="63"/>
  <c r="P41" i="63"/>
  <c r="P4" i="63"/>
  <c r="P60" i="63"/>
  <c r="P48" i="63"/>
  <c r="P15" i="63"/>
  <c r="P57" i="63"/>
  <c r="P10" i="63"/>
  <c r="P46" i="63"/>
  <c r="P29" i="63"/>
  <c r="P23" i="63"/>
  <c r="P11" i="63"/>
  <c r="P43" i="63"/>
  <c r="P13" i="63"/>
  <c r="P65" i="63" l="1"/>
  <c r="L65" i="63"/>
  <c r="H66" i="62" l="1"/>
  <c r="F66" i="62"/>
  <c r="G64" i="62"/>
  <c r="I64" i="62" s="1"/>
  <c r="G63" i="62"/>
  <c r="I63" i="62" s="1"/>
  <c r="L63" i="62" s="1"/>
  <c r="G62" i="62"/>
  <c r="I62" i="62" s="1"/>
  <c r="G61" i="62"/>
  <c r="I61" i="62" s="1"/>
  <c r="O61" i="62" s="1"/>
  <c r="G60" i="62"/>
  <c r="I60" i="62" s="1"/>
  <c r="N60" i="62" s="1"/>
  <c r="G59" i="62"/>
  <c r="I59" i="62" s="1"/>
  <c r="L59" i="62" s="1"/>
  <c r="G58" i="62"/>
  <c r="I58" i="62" s="1"/>
  <c r="L58" i="62" s="1"/>
  <c r="G57" i="62"/>
  <c r="I57" i="62" s="1"/>
  <c r="G56" i="62"/>
  <c r="I56" i="62" s="1"/>
  <c r="G55" i="62"/>
  <c r="I55" i="62" s="1"/>
  <c r="L55" i="62" s="1"/>
  <c r="G54" i="62"/>
  <c r="I54" i="62" s="1"/>
  <c r="G53" i="62"/>
  <c r="I53" i="62" s="1"/>
  <c r="N53" i="62" s="1"/>
  <c r="G52" i="62"/>
  <c r="I52" i="62" s="1"/>
  <c r="N52" i="62" s="1"/>
  <c r="G51" i="62"/>
  <c r="I51" i="62" s="1"/>
  <c r="L51" i="62" s="1"/>
  <c r="G50" i="62"/>
  <c r="I50" i="62" s="1"/>
  <c r="O50" i="62" s="1"/>
  <c r="G49" i="62"/>
  <c r="I49" i="62" s="1"/>
  <c r="G48" i="62"/>
  <c r="I48" i="62" s="1"/>
  <c r="M48" i="62" s="1"/>
  <c r="G47" i="62"/>
  <c r="I47" i="62" s="1"/>
  <c r="L47" i="62" s="1"/>
  <c r="G46" i="62"/>
  <c r="I46" i="62" s="1"/>
  <c r="G45" i="62"/>
  <c r="I45" i="62" s="1"/>
  <c r="O45" i="62" s="1"/>
  <c r="G44" i="62"/>
  <c r="I44" i="62" s="1"/>
  <c r="M44" i="62" s="1"/>
  <c r="G43" i="62"/>
  <c r="I43" i="62" s="1"/>
  <c r="M43" i="62" s="1"/>
  <c r="G42" i="62"/>
  <c r="I42" i="62" s="1"/>
  <c r="G41" i="62"/>
  <c r="I41" i="62" s="1"/>
  <c r="N41" i="62" s="1"/>
  <c r="G40" i="62"/>
  <c r="I40" i="62" s="1"/>
  <c r="G39" i="62"/>
  <c r="I39" i="62" s="1"/>
  <c r="L39" i="62" s="1"/>
  <c r="G38" i="62"/>
  <c r="I38" i="62" s="1"/>
  <c r="O38" i="62" s="1"/>
  <c r="G37" i="62"/>
  <c r="I37" i="62" s="1"/>
  <c r="G36" i="62"/>
  <c r="I36" i="62" s="1"/>
  <c r="N36" i="62" s="1"/>
  <c r="G35" i="62"/>
  <c r="I35" i="62" s="1"/>
  <c r="L35" i="62" s="1"/>
  <c r="G34" i="62"/>
  <c r="I34" i="62" s="1"/>
  <c r="O34" i="62" s="1"/>
  <c r="G33" i="62"/>
  <c r="I33" i="62" s="1"/>
  <c r="G32" i="62"/>
  <c r="I32" i="62" s="1"/>
  <c r="G31" i="62"/>
  <c r="I31" i="62" s="1"/>
  <c r="G30" i="62"/>
  <c r="I30" i="62" s="1"/>
  <c r="G29" i="62"/>
  <c r="I29" i="62" s="1"/>
  <c r="O29" i="62" s="1"/>
  <c r="G28" i="62"/>
  <c r="I28" i="62" s="1"/>
  <c r="M28" i="62" s="1"/>
  <c r="G27" i="62"/>
  <c r="I27" i="62" s="1"/>
  <c r="L27" i="62" s="1"/>
  <c r="G26" i="62"/>
  <c r="I26" i="62" s="1"/>
  <c r="O26" i="62" s="1"/>
  <c r="G25" i="62"/>
  <c r="I25" i="62" s="1"/>
  <c r="G24" i="62"/>
  <c r="I24" i="62" s="1"/>
  <c r="N24" i="62" s="1"/>
  <c r="G23" i="62"/>
  <c r="I23" i="62" s="1"/>
  <c r="L23" i="62" s="1"/>
  <c r="G22" i="62"/>
  <c r="I22" i="62" s="1"/>
  <c r="G21" i="62"/>
  <c r="I21" i="62" s="1"/>
  <c r="G20" i="62"/>
  <c r="I20" i="62" s="1"/>
  <c r="N20" i="62" s="1"/>
  <c r="G19" i="62"/>
  <c r="I19" i="62" s="1"/>
  <c r="L19" i="62" s="1"/>
  <c r="G18" i="62"/>
  <c r="I18" i="62" s="1"/>
  <c r="G17" i="62"/>
  <c r="I17" i="62" s="1"/>
  <c r="G16" i="62"/>
  <c r="I16" i="62" s="1"/>
  <c r="N16" i="62" s="1"/>
  <c r="G15" i="62"/>
  <c r="I15" i="62" s="1"/>
  <c r="L15" i="62" s="1"/>
  <c r="G14" i="62"/>
  <c r="I14" i="62" s="1"/>
  <c r="G13" i="62"/>
  <c r="I13" i="62" s="1"/>
  <c r="G12" i="62"/>
  <c r="I12" i="62" s="1"/>
  <c r="M12" i="62" s="1"/>
  <c r="G11" i="62"/>
  <c r="I11" i="62" s="1"/>
  <c r="O11" i="62" s="1"/>
  <c r="G10" i="62"/>
  <c r="I10" i="62" s="1"/>
  <c r="G9" i="62"/>
  <c r="I9" i="62" s="1"/>
  <c r="M9" i="62" s="1"/>
  <c r="G8" i="62"/>
  <c r="I8" i="62" s="1"/>
  <c r="G7" i="62"/>
  <c r="I7" i="62" s="1"/>
  <c r="L7" i="62" s="1"/>
  <c r="G6" i="62"/>
  <c r="I6" i="62" s="1"/>
  <c r="L6" i="62" s="1"/>
  <c r="G5" i="62"/>
  <c r="I5" i="62" s="1"/>
  <c r="N5" i="62" s="1"/>
  <c r="G4" i="62"/>
  <c r="I4" i="62" s="1"/>
  <c r="L4" i="62" s="1"/>
  <c r="G3" i="62"/>
  <c r="I3" i="62" s="1"/>
  <c r="H107" i="61"/>
  <c r="F107" i="61"/>
  <c r="G105" i="61"/>
  <c r="I105" i="61" s="1"/>
  <c r="O105" i="61" s="1"/>
  <c r="G104" i="61"/>
  <c r="I104" i="61" s="1"/>
  <c r="L104" i="61" s="1"/>
  <c r="G103" i="61"/>
  <c r="I103" i="61" s="1"/>
  <c r="N103" i="61" s="1"/>
  <c r="G102" i="61"/>
  <c r="I102" i="61" s="1"/>
  <c r="G101" i="61"/>
  <c r="I101" i="61" s="1"/>
  <c r="G100" i="61"/>
  <c r="I100" i="61" s="1"/>
  <c r="G99" i="61"/>
  <c r="I99" i="61" s="1"/>
  <c r="G98" i="61"/>
  <c r="I98" i="61" s="1"/>
  <c r="G97" i="61"/>
  <c r="I97" i="61" s="1"/>
  <c r="G96" i="61"/>
  <c r="I96" i="61" s="1"/>
  <c r="L96" i="61" s="1"/>
  <c r="G95" i="61"/>
  <c r="I95" i="61" s="1"/>
  <c r="N95" i="61" s="1"/>
  <c r="G94" i="61"/>
  <c r="I94" i="61" s="1"/>
  <c r="G93" i="61"/>
  <c r="I93" i="61" s="1"/>
  <c r="G92" i="61"/>
  <c r="I92" i="61" s="1"/>
  <c r="L92" i="61" s="1"/>
  <c r="G91" i="61"/>
  <c r="I91" i="61" s="1"/>
  <c r="G90" i="61"/>
  <c r="I90" i="61" s="1"/>
  <c r="G89" i="61"/>
  <c r="I89" i="61" s="1"/>
  <c r="N89" i="61" s="1"/>
  <c r="G88" i="61"/>
  <c r="I88" i="61" s="1"/>
  <c r="G87" i="61"/>
  <c r="I87" i="61" s="1"/>
  <c r="N87" i="61" s="1"/>
  <c r="G86" i="61"/>
  <c r="I86" i="61" s="1"/>
  <c r="G85" i="61"/>
  <c r="I85" i="61" s="1"/>
  <c r="G84" i="61"/>
  <c r="I84" i="61" s="1"/>
  <c r="G83" i="61"/>
  <c r="I83" i="61" s="1"/>
  <c r="G82" i="61"/>
  <c r="I82" i="61" s="1"/>
  <c r="O82" i="61" s="1"/>
  <c r="G81" i="61"/>
  <c r="I81" i="61" s="1"/>
  <c r="M81" i="61" s="1"/>
  <c r="G80" i="61"/>
  <c r="I80" i="61" s="1"/>
  <c r="N80" i="61" s="1"/>
  <c r="G79" i="61"/>
  <c r="I79" i="61" s="1"/>
  <c r="N79" i="61" s="1"/>
  <c r="G78" i="61"/>
  <c r="I78" i="61" s="1"/>
  <c r="N78" i="61" s="1"/>
  <c r="G77" i="61"/>
  <c r="I77" i="61" s="1"/>
  <c r="M77" i="61" s="1"/>
  <c r="G76" i="61"/>
  <c r="I76" i="61" s="1"/>
  <c r="O76" i="61" s="1"/>
  <c r="G75" i="61"/>
  <c r="I75" i="61" s="1"/>
  <c r="G74" i="61"/>
  <c r="I74" i="61" s="1"/>
  <c r="O74" i="61" s="1"/>
  <c r="G73" i="61"/>
  <c r="I73" i="61" s="1"/>
  <c r="M73" i="61" s="1"/>
  <c r="G72" i="61"/>
  <c r="I72" i="61" s="1"/>
  <c r="N72" i="61" s="1"/>
  <c r="G71" i="61"/>
  <c r="I71" i="61" s="1"/>
  <c r="N71" i="61" s="1"/>
  <c r="G70" i="61"/>
  <c r="I70" i="61" s="1"/>
  <c r="N70" i="61" s="1"/>
  <c r="G69" i="61"/>
  <c r="I69" i="61" s="1"/>
  <c r="M69" i="61" s="1"/>
  <c r="G68" i="61"/>
  <c r="I68" i="61" s="1"/>
  <c r="N68" i="61" s="1"/>
  <c r="G67" i="61"/>
  <c r="I67" i="61" s="1"/>
  <c r="L67" i="61" s="1"/>
  <c r="G66" i="61"/>
  <c r="I66" i="61" s="1"/>
  <c r="G65" i="61"/>
  <c r="I65" i="61" s="1"/>
  <c r="M65" i="61" s="1"/>
  <c r="G64" i="61"/>
  <c r="I64" i="61" s="1"/>
  <c r="G63" i="61"/>
  <c r="I63" i="61" s="1"/>
  <c r="N63" i="61" s="1"/>
  <c r="G62" i="61"/>
  <c r="I62" i="61" s="1"/>
  <c r="M62" i="61" s="1"/>
  <c r="G61" i="61"/>
  <c r="I61" i="61" s="1"/>
  <c r="G60" i="61"/>
  <c r="I60" i="61" s="1"/>
  <c r="N60" i="61" s="1"/>
  <c r="G59" i="61"/>
  <c r="I59" i="61" s="1"/>
  <c r="G58" i="61"/>
  <c r="I58" i="61" s="1"/>
  <c r="O58" i="61" s="1"/>
  <c r="G57" i="61"/>
  <c r="I57" i="61" s="1"/>
  <c r="M57" i="61" s="1"/>
  <c r="G56" i="61"/>
  <c r="I56" i="61" s="1"/>
  <c r="M56" i="61" s="1"/>
  <c r="G55" i="61"/>
  <c r="I55" i="61" s="1"/>
  <c r="N55" i="61" s="1"/>
  <c r="G54" i="61"/>
  <c r="I54" i="61" s="1"/>
  <c r="M54" i="61" s="1"/>
  <c r="G53" i="61"/>
  <c r="I53" i="61" s="1"/>
  <c r="N53" i="61" s="1"/>
  <c r="G52" i="61"/>
  <c r="I52" i="61" s="1"/>
  <c r="N52" i="61" s="1"/>
  <c r="G51" i="61"/>
  <c r="I51" i="61" s="1"/>
  <c r="L51" i="61" s="1"/>
  <c r="G50" i="61"/>
  <c r="I50" i="61" s="1"/>
  <c r="G49" i="61"/>
  <c r="I49" i="61" s="1"/>
  <c r="M49" i="61" s="1"/>
  <c r="G48" i="61"/>
  <c r="I48" i="61" s="1"/>
  <c r="G47" i="61"/>
  <c r="I47" i="61" s="1"/>
  <c r="N47" i="61" s="1"/>
  <c r="G46" i="61"/>
  <c r="I46" i="61" s="1"/>
  <c r="G45" i="61"/>
  <c r="I45" i="61" s="1"/>
  <c r="G44" i="61"/>
  <c r="I44" i="61" s="1"/>
  <c r="N44" i="61" s="1"/>
  <c r="G43" i="61"/>
  <c r="I43" i="61" s="1"/>
  <c r="N43" i="61" s="1"/>
  <c r="G42" i="61"/>
  <c r="I42" i="61" s="1"/>
  <c r="G41" i="61"/>
  <c r="I41" i="61" s="1"/>
  <c r="M41" i="61" s="1"/>
  <c r="G40" i="61"/>
  <c r="I40" i="61" s="1"/>
  <c r="G39" i="61"/>
  <c r="I39" i="61" s="1"/>
  <c r="N39" i="61" s="1"/>
  <c r="G38" i="61"/>
  <c r="I38" i="61" s="1"/>
  <c r="G37" i="61"/>
  <c r="I37" i="61" s="1"/>
  <c r="G36" i="61"/>
  <c r="I36" i="61" s="1"/>
  <c r="O36" i="61" s="1"/>
  <c r="G35" i="61"/>
  <c r="I35" i="61" s="1"/>
  <c r="G34" i="61"/>
  <c r="I34" i="61" s="1"/>
  <c r="G33" i="61"/>
  <c r="I33" i="61" s="1"/>
  <c r="G32" i="61"/>
  <c r="I32" i="61" s="1"/>
  <c r="G31" i="61"/>
  <c r="I31" i="61" s="1"/>
  <c r="O31" i="61" s="1"/>
  <c r="G30" i="61"/>
  <c r="I30" i="61" s="1"/>
  <c r="G29" i="61"/>
  <c r="I29" i="61" s="1"/>
  <c r="G28" i="61"/>
  <c r="I28" i="61" s="1"/>
  <c r="O28" i="61" s="1"/>
  <c r="G27" i="61"/>
  <c r="I27" i="61" s="1"/>
  <c r="G26" i="61"/>
  <c r="I26" i="61" s="1"/>
  <c r="G25" i="61"/>
  <c r="I25" i="61" s="1"/>
  <c r="L25" i="61" s="1"/>
  <c r="G24" i="61"/>
  <c r="I24" i="61" s="1"/>
  <c r="G23" i="61"/>
  <c r="I23" i="61" s="1"/>
  <c r="O23" i="61" s="1"/>
  <c r="G22" i="61"/>
  <c r="I22" i="61" s="1"/>
  <c r="G21" i="61"/>
  <c r="G20" i="61"/>
  <c r="I20" i="61" s="1"/>
  <c r="O20" i="61" s="1"/>
  <c r="G19" i="61"/>
  <c r="I19" i="61" s="1"/>
  <c r="G18" i="61"/>
  <c r="I18" i="61" s="1"/>
  <c r="G17" i="61"/>
  <c r="I17" i="61" s="1"/>
  <c r="L17" i="61" s="1"/>
  <c r="G16" i="61"/>
  <c r="I16" i="61" s="1"/>
  <c r="G15" i="61"/>
  <c r="I15" i="61" s="1"/>
  <c r="O15" i="61" s="1"/>
  <c r="G14" i="61"/>
  <c r="I14" i="61" s="1"/>
  <c r="G13" i="61"/>
  <c r="I13" i="61" s="1"/>
  <c r="G12" i="61"/>
  <c r="I12" i="61" s="1"/>
  <c r="O12" i="61" s="1"/>
  <c r="G11" i="61"/>
  <c r="I11" i="61" s="1"/>
  <c r="G10" i="61"/>
  <c r="I10" i="61" s="1"/>
  <c r="G9" i="61"/>
  <c r="I9" i="61" s="1"/>
  <c r="G8" i="61"/>
  <c r="I8" i="61" s="1"/>
  <c r="G7" i="61"/>
  <c r="I7" i="61" s="1"/>
  <c r="O7" i="61" s="1"/>
  <c r="G6" i="61"/>
  <c r="I6" i="61" s="1"/>
  <c r="G5" i="61"/>
  <c r="I5" i="61" s="1"/>
  <c r="O5" i="61" s="1"/>
  <c r="G4" i="61"/>
  <c r="I4" i="61" s="1"/>
  <c r="O4" i="61" s="1"/>
  <c r="G3" i="61"/>
  <c r="I21" i="61" s="1"/>
  <c r="M35" i="62" l="1"/>
  <c r="N12" i="62"/>
  <c r="L43" i="62"/>
  <c r="M7" i="62"/>
  <c r="O14" i="62"/>
  <c r="L14" i="62"/>
  <c r="M20" i="62"/>
  <c r="N28" i="62"/>
  <c r="L18" i="62"/>
  <c r="O18" i="62"/>
  <c r="N10" i="62"/>
  <c r="L10" i="62"/>
  <c r="M10" i="62"/>
  <c r="O10" i="62"/>
  <c r="O22" i="62"/>
  <c r="L22" i="62"/>
  <c r="M16" i="62"/>
  <c r="O5" i="62"/>
  <c r="L26" i="62"/>
  <c r="L9" i="62"/>
  <c r="M11" i="62"/>
  <c r="M24" i="62"/>
  <c r="M52" i="62"/>
  <c r="M60" i="62"/>
  <c r="M25" i="62"/>
  <c r="L25" i="62"/>
  <c r="O25" i="62"/>
  <c r="N25" i="62"/>
  <c r="O33" i="62"/>
  <c r="M33" i="62"/>
  <c r="L33" i="62"/>
  <c r="N33" i="62"/>
  <c r="O49" i="62"/>
  <c r="M49" i="62"/>
  <c r="L49" i="62"/>
  <c r="N49" i="62"/>
  <c r="M13" i="62"/>
  <c r="L13" i="62"/>
  <c r="O13" i="62"/>
  <c r="N13" i="62"/>
  <c r="M17" i="62"/>
  <c r="L17" i="62"/>
  <c r="O17" i="62"/>
  <c r="N17" i="62"/>
  <c r="M21" i="62"/>
  <c r="L21" i="62"/>
  <c r="O21" i="62"/>
  <c r="N21" i="62"/>
  <c r="O57" i="62"/>
  <c r="M57" i="62"/>
  <c r="L57" i="62"/>
  <c r="N57" i="62"/>
  <c r="N38" i="62"/>
  <c r="M38" i="62"/>
  <c r="L38" i="62"/>
  <c r="N48" i="62"/>
  <c r="O48" i="62"/>
  <c r="L48" i="62"/>
  <c r="M53" i="62"/>
  <c r="L53" i="62"/>
  <c r="N58" i="62"/>
  <c r="M58" i="62"/>
  <c r="O31" i="62"/>
  <c r="M31" i="62"/>
  <c r="N31" i="62"/>
  <c r="M4" i="62"/>
  <c r="N9" i="62"/>
  <c r="M29" i="62"/>
  <c r="L29" i="62"/>
  <c r="L31" i="62"/>
  <c r="N34" i="62"/>
  <c r="M34" i="62"/>
  <c r="M36" i="62"/>
  <c r="N46" i="62"/>
  <c r="L46" i="62"/>
  <c r="M46" i="62"/>
  <c r="O53" i="62"/>
  <c r="O56" i="62"/>
  <c r="N56" i="62"/>
  <c r="L56" i="62"/>
  <c r="O58" i="62"/>
  <c r="M61" i="62"/>
  <c r="L61" i="62"/>
  <c r="O41" i="62"/>
  <c r="M41" i="62"/>
  <c r="L41" i="62"/>
  <c r="N51" i="62"/>
  <c r="O63" i="62"/>
  <c r="N63" i="62"/>
  <c r="M63" i="62"/>
  <c r="N4" i="62"/>
  <c r="N6" i="62"/>
  <c r="M6" i="62"/>
  <c r="O9" i="62"/>
  <c r="L11" i="62"/>
  <c r="O15" i="62"/>
  <c r="N15" i="62"/>
  <c r="O19" i="62"/>
  <c r="N19" i="62"/>
  <c r="O23" i="62"/>
  <c r="N23" i="62"/>
  <c r="O27" i="62"/>
  <c r="N27" i="62"/>
  <c r="N29" i="62"/>
  <c r="L34" i="62"/>
  <c r="O39" i="62"/>
  <c r="M39" i="62"/>
  <c r="N39" i="62"/>
  <c r="L44" i="62"/>
  <c r="O44" i="62"/>
  <c r="O46" i="62"/>
  <c r="M51" i="62"/>
  <c r="M56" i="62"/>
  <c r="O59" i="62"/>
  <c r="N59" i="62"/>
  <c r="N61" i="62"/>
  <c r="O8" i="62"/>
  <c r="L8" i="62"/>
  <c r="N32" i="62"/>
  <c r="O32" i="62"/>
  <c r="L32" i="62"/>
  <c r="M37" i="62"/>
  <c r="L37" i="62"/>
  <c r="N42" i="62"/>
  <c r="M42" i="62"/>
  <c r="N54" i="62"/>
  <c r="M54" i="62"/>
  <c r="L54" i="62"/>
  <c r="N64" i="62"/>
  <c r="O64" i="62"/>
  <c r="L64" i="62"/>
  <c r="I66" i="62"/>
  <c r="O3" i="62"/>
  <c r="O4" i="62"/>
  <c r="L3" i="62"/>
  <c r="O6" i="62"/>
  <c r="M8" i="62"/>
  <c r="N11" i="62"/>
  <c r="M15" i="62"/>
  <c r="M19" i="62"/>
  <c r="M23" i="62"/>
  <c r="M27" i="62"/>
  <c r="M32" i="62"/>
  <c r="O35" i="62"/>
  <c r="N35" i="62"/>
  <c r="N37" i="62"/>
  <c r="L42" i="62"/>
  <c r="N44" i="62"/>
  <c r="O47" i="62"/>
  <c r="N47" i="62"/>
  <c r="M47" i="62"/>
  <c r="L52" i="62"/>
  <c r="O52" i="62"/>
  <c r="O54" i="62"/>
  <c r="M59" i="62"/>
  <c r="M64" i="62"/>
  <c r="L36" i="62"/>
  <c r="O36" i="62"/>
  <c r="M3" i="62"/>
  <c r="M5" i="62"/>
  <c r="L5" i="62"/>
  <c r="N8" i="62"/>
  <c r="N30" i="62"/>
  <c r="L30" i="62"/>
  <c r="M30" i="62"/>
  <c r="O37" i="62"/>
  <c r="O40" i="62"/>
  <c r="N40" i="62"/>
  <c r="L40" i="62"/>
  <c r="O42" i="62"/>
  <c r="M45" i="62"/>
  <c r="L45" i="62"/>
  <c r="N50" i="62"/>
  <c r="M50" i="62"/>
  <c r="N62" i="62"/>
  <c r="L62" i="62"/>
  <c r="M62" i="62"/>
  <c r="N3" i="62"/>
  <c r="O7" i="62"/>
  <c r="N7" i="62"/>
  <c r="L12" i="62"/>
  <c r="O12" i="62"/>
  <c r="N14" i="62"/>
  <c r="M14" i="62"/>
  <c r="O16" i="62"/>
  <c r="L16" i="62"/>
  <c r="N18" i="62"/>
  <c r="M18" i="62"/>
  <c r="L20" i="62"/>
  <c r="O20" i="62"/>
  <c r="N22" i="62"/>
  <c r="M22" i="62"/>
  <c r="O24" i="62"/>
  <c r="L24" i="62"/>
  <c r="N26" i="62"/>
  <c r="M26" i="62"/>
  <c r="L28" i="62"/>
  <c r="O28" i="62"/>
  <c r="O30" i="62"/>
  <c r="M40" i="62"/>
  <c r="O43" i="62"/>
  <c r="N43" i="62"/>
  <c r="N45" i="62"/>
  <c r="L50" i="62"/>
  <c r="O55" i="62"/>
  <c r="M55" i="62"/>
  <c r="N55" i="62"/>
  <c r="L60" i="62"/>
  <c r="O60" i="62"/>
  <c r="O62" i="62"/>
  <c r="G66" i="62"/>
  <c r="L65" i="61"/>
  <c r="N65" i="61"/>
  <c r="L55" i="61"/>
  <c r="N81" i="61"/>
  <c r="L95" i="61"/>
  <c r="M55" i="61"/>
  <c r="N25" i="61"/>
  <c r="N67" i="61"/>
  <c r="O39" i="61"/>
  <c r="L79" i="61"/>
  <c r="O55" i="61"/>
  <c r="M79" i="61"/>
  <c r="N102" i="61"/>
  <c r="L102" i="61"/>
  <c r="L9" i="61"/>
  <c r="O9" i="61"/>
  <c r="N9" i="61"/>
  <c r="M9" i="61"/>
  <c r="N48" i="61"/>
  <c r="M48" i="61"/>
  <c r="L88" i="61"/>
  <c r="M88" i="61"/>
  <c r="N88" i="61"/>
  <c r="L33" i="61"/>
  <c r="N33" i="61"/>
  <c r="M33" i="61"/>
  <c r="L40" i="61"/>
  <c r="O40" i="61"/>
  <c r="N40" i="61"/>
  <c r="M46" i="61"/>
  <c r="O46" i="61"/>
  <c r="L46" i="61"/>
  <c r="N94" i="61"/>
  <c r="L94" i="61"/>
  <c r="L81" i="61"/>
  <c r="M17" i="61"/>
  <c r="N62" i="61"/>
  <c r="L68" i="61"/>
  <c r="L73" i="61"/>
  <c r="M96" i="61"/>
  <c r="M104" i="61"/>
  <c r="N17" i="61"/>
  <c r="M47" i="61"/>
  <c r="O65" i="61"/>
  <c r="O68" i="61"/>
  <c r="L71" i="61"/>
  <c r="N73" i="61"/>
  <c r="O79" i="61"/>
  <c r="L87" i="61"/>
  <c r="N96" i="61"/>
  <c r="N104" i="61"/>
  <c r="L60" i="61"/>
  <c r="L63" i="61"/>
  <c r="M71" i="61"/>
  <c r="M87" i="61"/>
  <c r="L5" i="61"/>
  <c r="L39" i="61"/>
  <c r="N57" i="61"/>
  <c r="M60" i="61"/>
  <c r="O63" i="61"/>
  <c r="O71" i="61"/>
  <c r="O87" i="61"/>
  <c r="M39" i="61"/>
  <c r="O60" i="61"/>
  <c r="M25" i="61"/>
  <c r="M52" i="61"/>
  <c r="M95" i="61"/>
  <c r="O103" i="61"/>
  <c r="N42" i="61"/>
  <c r="L42" i="61"/>
  <c r="O42" i="61"/>
  <c r="M42" i="61"/>
  <c r="M10" i="61"/>
  <c r="L10" i="61"/>
  <c r="O10" i="61"/>
  <c r="N10" i="61"/>
  <c r="L16" i="61"/>
  <c r="O16" i="61"/>
  <c r="N16" i="61"/>
  <c r="M16" i="61"/>
  <c r="N35" i="61"/>
  <c r="M35" i="61"/>
  <c r="L35" i="61"/>
  <c r="O35" i="61"/>
  <c r="O61" i="61"/>
  <c r="L61" i="61"/>
  <c r="N61" i="61"/>
  <c r="M61" i="61"/>
  <c r="O85" i="61"/>
  <c r="N85" i="61"/>
  <c r="L85" i="61"/>
  <c r="M85" i="61"/>
  <c r="O30" i="61"/>
  <c r="N30" i="61"/>
  <c r="M30" i="61"/>
  <c r="L30" i="61"/>
  <c r="O21" i="61"/>
  <c r="N21" i="61"/>
  <c r="M21" i="61"/>
  <c r="L21" i="61"/>
  <c r="N11" i="61"/>
  <c r="M11" i="61"/>
  <c r="L11" i="61"/>
  <c r="O11" i="61"/>
  <c r="O93" i="61"/>
  <c r="N93" i="61"/>
  <c r="L93" i="61"/>
  <c r="M93" i="61"/>
  <c r="O8" i="61"/>
  <c r="N8" i="61"/>
  <c r="L8" i="61"/>
  <c r="M8" i="61"/>
  <c r="O22" i="61"/>
  <c r="N22" i="61"/>
  <c r="M22" i="61"/>
  <c r="L22" i="61"/>
  <c r="M26" i="61"/>
  <c r="L26" i="61"/>
  <c r="N26" i="61"/>
  <c r="O26" i="61"/>
  <c r="O32" i="61"/>
  <c r="N32" i="61"/>
  <c r="M32" i="61"/>
  <c r="L32" i="61"/>
  <c r="O101" i="61"/>
  <c r="N101" i="61"/>
  <c r="L101" i="61"/>
  <c r="M101" i="61"/>
  <c r="O6" i="61"/>
  <c r="N6" i="61"/>
  <c r="M6" i="61"/>
  <c r="L6" i="61"/>
  <c r="N27" i="61"/>
  <c r="M27" i="61"/>
  <c r="L27" i="61"/>
  <c r="O27" i="61"/>
  <c r="O37" i="61"/>
  <c r="N37" i="61"/>
  <c r="M37" i="61"/>
  <c r="L37" i="61"/>
  <c r="M34" i="61"/>
  <c r="L34" i="61"/>
  <c r="O34" i="61"/>
  <c r="N34" i="61"/>
  <c r="L13" i="61"/>
  <c r="O13" i="61"/>
  <c r="N13" i="61"/>
  <c r="M13" i="61"/>
  <c r="O38" i="61"/>
  <c r="N38" i="61"/>
  <c r="M38" i="61"/>
  <c r="L38" i="61"/>
  <c r="O14" i="61"/>
  <c r="N14" i="61"/>
  <c r="M14" i="61"/>
  <c r="L14" i="61"/>
  <c r="M18" i="61"/>
  <c r="L18" i="61"/>
  <c r="O18" i="61"/>
  <c r="N18" i="61"/>
  <c r="O24" i="61"/>
  <c r="N24" i="61"/>
  <c r="L24" i="61"/>
  <c r="M24" i="61"/>
  <c r="N66" i="61"/>
  <c r="L66" i="61"/>
  <c r="O66" i="61"/>
  <c r="M66" i="61"/>
  <c r="N19" i="61"/>
  <c r="M19" i="61"/>
  <c r="L19" i="61"/>
  <c r="O19" i="61"/>
  <c r="O29" i="61"/>
  <c r="N29" i="61"/>
  <c r="M29" i="61"/>
  <c r="L29" i="61"/>
  <c r="O45" i="61"/>
  <c r="L45" i="61"/>
  <c r="N50" i="61"/>
  <c r="L50" i="61"/>
  <c r="L7" i="61"/>
  <c r="L15" i="61"/>
  <c r="L23" i="61"/>
  <c r="L31" i="61"/>
  <c r="M45" i="61"/>
  <c r="M50" i="61"/>
  <c r="O67" i="61"/>
  <c r="M67" i="61"/>
  <c r="O92" i="61"/>
  <c r="N92" i="61"/>
  <c r="M92" i="61"/>
  <c r="M89" i="61"/>
  <c r="L89" i="61"/>
  <c r="M7" i="61"/>
  <c r="M15" i="61"/>
  <c r="O17" i="61"/>
  <c r="M23" i="61"/>
  <c r="O25" i="61"/>
  <c r="M31" i="61"/>
  <c r="O33" i="61"/>
  <c r="N45" i="61"/>
  <c r="L47" i="61"/>
  <c r="O50" i="61"/>
  <c r="L52" i="61"/>
  <c r="L57" i="61"/>
  <c r="L62" i="61"/>
  <c r="O69" i="61"/>
  <c r="N69" i="61"/>
  <c r="L69" i="61"/>
  <c r="O77" i="61"/>
  <c r="N77" i="61"/>
  <c r="L77" i="61"/>
  <c r="O89" i="61"/>
  <c r="O99" i="61"/>
  <c r="N99" i="61"/>
  <c r="M99" i="61"/>
  <c r="L99" i="61"/>
  <c r="O102" i="61"/>
  <c r="M102" i="61"/>
  <c r="G107" i="61"/>
  <c r="N7" i="61"/>
  <c r="N15" i="61"/>
  <c r="N23" i="61"/>
  <c r="N31" i="61"/>
  <c r="O59" i="61"/>
  <c r="M59" i="61"/>
  <c r="L64" i="61"/>
  <c r="O64" i="61"/>
  <c r="O75" i="61"/>
  <c r="M75" i="61"/>
  <c r="L75" i="61"/>
  <c r="O83" i="61"/>
  <c r="M83" i="61"/>
  <c r="L83" i="61"/>
  <c r="N90" i="61"/>
  <c r="M90" i="61"/>
  <c r="L90" i="61"/>
  <c r="M97" i="61"/>
  <c r="L97" i="61"/>
  <c r="I3" i="61"/>
  <c r="L4" i="61"/>
  <c r="M5" i="61"/>
  <c r="L12" i="61"/>
  <c r="L20" i="61"/>
  <c r="L28" i="61"/>
  <c r="L36" i="61"/>
  <c r="L41" i="61"/>
  <c r="L44" i="61"/>
  <c r="O47" i="61"/>
  <c r="L49" i="61"/>
  <c r="O52" i="61"/>
  <c r="L54" i="61"/>
  <c r="O57" i="61"/>
  <c r="L59" i="61"/>
  <c r="O62" i="61"/>
  <c r="M64" i="61"/>
  <c r="N75" i="61"/>
  <c r="N83" i="61"/>
  <c r="O86" i="61"/>
  <c r="M86" i="61"/>
  <c r="O90" i="61"/>
  <c r="N97" i="61"/>
  <c r="O100" i="61"/>
  <c r="N100" i="61"/>
  <c r="M100" i="61"/>
  <c r="M4" i="61"/>
  <c r="N5" i="61"/>
  <c r="M12" i="61"/>
  <c r="M20" i="61"/>
  <c r="M28" i="61"/>
  <c r="M36" i="61"/>
  <c r="N41" i="61"/>
  <c r="M44" i="61"/>
  <c r="N49" i="61"/>
  <c r="O51" i="61"/>
  <c r="M51" i="61"/>
  <c r="N54" i="61"/>
  <c r="L56" i="61"/>
  <c r="O56" i="61"/>
  <c r="N59" i="61"/>
  <c r="N64" i="61"/>
  <c r="O73" i="61"/>
  <c r="O81" i="61"/>
  <c r="L86" i="61"/>
  <c r="O95" i="61"/>
  <c r="O97" i="61"/>
  <c r="L100" i="61"/>
  <c r="N4" i="61"/>
  <c r="N12" i="61"/>
  <c r="N20" i="61"/>
  <c r="N28" i="61"/>
  <c r="N36" i="61"/>
  <c r="O41" i="61"/>
  <c r="O43" i="61"/>
  <c r="M43" i="61"/>
  <c r="O44" i="61"/>
  <c r="O49" i="61"/>
  <c r="O53" i="61"/>
  <c r="L53" i="61"/>
  <c r="O54" i="61"/>
  <c r="N58" i="61"/>
  <c r="L58" i="61"/>
  <c r="O70" i="61"/>
  <c r="M70" i="61"/>
  <c r="L72" i="61"/>
  <c r="O72" i="61"/>
  <c r="N74" i="61"/>
  <c r="L74" i="61"/>
  <c r="N76" i="61"/>
  <c r="M76" i="61"/>
  <c r="O78" i="61"/>
  <c r="M78" i="61"/>
  <c r="L80" i="61"/>
  <c r="O80" i="61"/>
  <c r="N82" i="61"/>
  <c r="L82" i="61"/>
  <c r="O84" i="61"/>
  <c r="N84" i="61"/>
  <c r="M84" i="61"/>
  <c r="N86" i="61"/>
  <c r="N98" i="61"/>
  <c r="M98" i="61"/>
  <c r="L98" i="61"/>
  <c r="L103" i="61"/>
  <c r="M105" i="61"/>
  <c r="L105" i="61"/>
  <c r="M40" i="61"/>
  <c r="L43" i="61"/>
  <c r="N46" i="61"/>
  <c r="L48" i="61"/>
  <c r="O48" i="61"/>
  <c r="N51" i="61"/>
  <c r="M53" i="61"/>
  <c r="N56" i="61"/>
  <c r="M58" i="61"/>
  <c r="M63" i="61"/>
  <c r="M68" i="61"/>
  <c r="L70" i="61"/>
  <c r="M72" i="61"/>
  <c r="M74" i="61"/>
  <c r="L76" i="61"/>
  <c r="L78" i="61"/>
  <c r="M80" i="61"/>
  <c r="M82" i="61"/>
  <c r="L84" i="61"/>
  <c r="O91" i="61"/>
  <c r="N91" i="61"/>
  <c r="M91" i="61"/>
  <c r="L91" i="61"/>
  <c r="O94" i="61"/>
  <c r="M94" i="61"/>
  <c r="O98" i="61"/>
  <c r="M103" i="61"/>
  <c r="N105" i="61"/>
  <c r="O88" i="61"/>
  <c r="O96" i="61"/>
  <c r="O104" i="61"/>
  <c r="P6" i="62" l="1"/>
  <c r="P58" i="62"/>
  <c r="P26" i="62"/>
  <c r="P18" i="62"/>
  <c r="P4" i="62"/>
  <c r="P19" i="62"/>
  <c r="P41" i="62"/>
  <c r="P27" i="62"/>
  <c r="P43" i="62"/>
  <c r="P24" i="62"/>
  <c r="P16" i="62"/>
  <c r="P50" i="62"/>
  <c r="P14" i="62"/>
  <c r="P47" i="62"/>
  <c r="P51" i="62"/>
  <c r="P31" i="62"/>
  <c r="P59" i="62"/>
  <c r="P15" i="62"/>
  <c r="P39" i="62"/>
  <c r="P35" i="62"/>
  <c r="P32" i="62"/>
  <c r="P63" i="62"/>
  <c r="P61" i="62"/>
  <c r="P46" i="62"/>
  <c r="P9" i="62"/>
  <c r="P7" i="62"/>
  <c r="P60" i="62"/>
  <c r="P22" i="62"/>
  <c r="P10" i="62"/>
  <c r="P21" i="62"/>
  <c r="P49" i="62"/>
  <c r="P36" i="62"/>
  <c r="P23" i="62"/>
  <c r="P45" i="62"/>
  <c r="P30" i="62"/>
  <c r="O66" i="62"/>
  <c r="P38" i="62"/>
  <c r="P33" i="62"/>
  <c r="N66" i="62"/>
  <c r="P42" i="62"/>
  <c r="P64" i="62"/>
  <c r="P37" i="62"/>
  <c r="P29" i="62"/>
  <c r="P17" i="62"/>
  <c r="P40" i="62"/>
  <c r="P5" i="62"/>
  <c r="P53" i="62"/>
  <c r="M66" i="62"/>
  <c r="P52" i="62"/>
  <c r="P54" i="62"/>
  <c r="P34" i="62"/>
  <c r="P48" i="62"/>
  <c r="P57" i="62"/>
  <c r="P25" i="62"/>
  <c r="P44" i="62"/>
  <c r="P55" i="62"/>
  <c r="L66" i="62"/>
  <c r="P3" i="62"/>
  <c r="P13" i="62"/>
  <c r="P62" i="62"/>
  <c r="P28" i="62"/>
  <c r="P20" i="62"/>
  <c r="P12" i="62"/>
  <c r="P8" i="62"/>
  <c r="P11" i="62"/>
  <c r="P56" i="62"/>
  <c r="P55" i="61"/>
  <c r="P92" i="61"/>
  <c r="P65" i="61"/>
  <c r="P71" i="61"/>
  <c r="P88" i="61"/>
  <c r="P67" i="61"/>
  <c r="P68" i="61"/>
  <c r="P39" i="61"/>
  <c r="P87" i="61"/>
  <c r="P95" i="61"/>
  <c r="P86" i="61"/>
  <c r="P77" i="61"/>
  <c r="P33" i="61"/>
  <c r="P30" i="61"/>
  <c r="P25" i="61"/>
  <c r="P79" i="61"/>
  <c r="P91" i="61"/>
  <c r="P78" i="61"/>
  <c r="P96" i="61"/>
  <c r="P73" i="61"/>
  <c r="P50" i="61"/>
  <c r="P46" i="61"/>
  <c r="P105" i="61"/>
  <c r="P56" i="61"/>
  <c r="P31" i="61"/>
  <c r="P29" i="61"/>
  <c r="P60" i="61"/>
  <c r="P104" i="61"/>
  <c r="P81" i="61"/>
  <c r="P101" i="61"/>
  <c r="P5" i="61"/>
  <c r="P102" i="61"/>
  <c r="P17" i="61"/>
  <c r="P84" i="61"/>
  <c r="P21" i="61"/>
  <c r="P9" i="61"/>
  <c r="P63" i="61"/>
  <c r="P43" i="61"/>
  <c r="P85" i="61"/>
  <c r="P94" i="61"/>
  <c r="P40" i="61"/>
  <c r="P69" i="61"/>
  <c r="P89" i="61"/>
  <c r="P90" i="61"/>
  <c r="P58" i="61"/>
  <c r="P54" i="61"/>
  <c r="P20" i="61"/>
  <c r="P99" i="61"/>
  <c r="P52" i="61"/>
  <c r="P19" i="61"/>
  <c r="P14" i="61"/>
  <c r="P93" i="61"/>
  <c r="P35" i="61"/>
  <c r="P103" i="61"/>
  <c r="P82" i="61"/>
  <c r="P74" i="61"/>
  <c r="P51" i="61"/>
  <c r="P12" i="61"/>
  <c r="P45" i="61"/>
  <c r="P24" i="61"/>
  <c r="P38" i="61"/>
  <c r="P13" i="61"/>
  <c r="P27" i="61"/>
  <c r="P10" i="61"/>
  <c r="P57" i="61"/>
  <c r="P98" i="61"/>
  <c r="P49" i="61"/>
  <c r="P83" i="61"/>
  <c r="P47" i="61"/>
  <c r="P23" i="61"/>
  <c r="P76" i="61"/>
  <c r="P53" i="61"/>
  <c r="P4" i="61"/>
  <c r="P64" i="61"/>
  <c r="P15" i="61"/>
  <c r="P26" i="61"/>
  <c r="P8" i="61"/>
  <c r="P28" i="61"/>
  <c r="P80" i="61"/>
  <c r="P72" i="61"/>
  <c r="P44" i="61"/>
  <c r="I107" i="61"/>
  <c r="N3" i="61"/>
  <c r="N107" i="61" s="1"/>
  <c r="M3" i="61"/>
  <c r="M107" i="61" s="1"/>
  <c r="L3" i="61"/>
  <c r="O3" i="61"/>
  <c r="O107" i="61" s="1"/>
  <c r="P97" i="61"/>
  <c r="P7" i="61"/>
  <c r="P34" i="61"/>
  <c r="P37" i="61"/>
  <c r="P6" i="61"/>
  <c r="P11" i="61"/>
  <c r="P41" i="61"/>
  <c r="P32" i="61"/>
  <c r="P22" i="61"/>
  <c r="P61" i="61"/>
  <c r="P42" i="61"/>
  <c r="P70" i="61"/>
  <c r="P48" i="61"/>
  <c r="P100" i="61"/>
  <c r="P59" i="61"/>
  <c r="P36" i="61"/>
  <c r="P75" i="61"/>
  <c r="P62" i="61"/>
  <c r="P66" i="61"/>
  <c r="P18" i="61"/>
  <c r="P16" i="61"/>
  <c r="P66" i="62" l="1"/>
  <c r="L107" i="61"/>
  <c r="P3" i="61"/>
  <c r="P107" i="6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tc={454A394C-3E47-43CF-8ED0-A1E3EAB340D3}</author>
    <author>tc={2B32EE22-3B4A-4FB1-893E-D2CCDE8A3957}</author>
    <author>tc={40CC9E53-EC25-4670-B374-B9F51C27A0DD}</author>
    <author>tc={090649DA-E667-41D4-ABEF-6A6ADA799FF8}</author>
    <author>tc={3F88C087-71F7-46F1-9848-BA56ED115835}</author>
    <author>tc={1755980E-E53A-4379-9468-0BAA2B6E52AA}</author>
    <author>tc={38F994E2-6B90-4945-B29E-E4EBAF948413}</author>
    <author>tc={ECFF3F6B-0FA2-4903-ADA0-8F0F87E991DA}</author>
    <author>tc={8E795B4F-F065-4C7F-A6C5-1D55EE0D410D}</author>
    <author>tc={707604C6-6097-41FA-9E70-E4D9DFAE136E}</author>
    <author>tc={B1C7BC8C-AA7E-4718-93A0-A27C7282089B}</author>
    <author>tc={8767AEB9-960F-4EF0-9386-E2E39C61D784}</author>
    <author>tc={17D64F54-E228-40A6-AF41-2113CC4121B8}</author>
    <author>tc={1F14135A-E9C7-4D72-AF3D-B9980DD78ABD}</author>
  </authors>
  <commentList>
    <comment ref="E11" authorId="0" shapeId="0" xr:uid="{454A394C-3E47-43CF-8ED0-A1E3EAB340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PAGAB 2 PARCELAS SEG CNH</t>
      </text>
    </comment>
    <comment ref="E12" authorId="1" shapeId="0" xr:uid="{2B32EE22-3B4A-4FB1-893E-D2CCDE8A39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28" authorId="2" shapeId="0" xr:uid="{40CC9E53-EC25-4670-B374-B9F51C27A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PAGAB TOTAL SEG CNH</t>
      </text>
    </comment>
    <comment ref="E33" authorId="3" shapeId="0" xr:uid="{090649DA-E667-41D4-ABEF-6A6ADA799F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34" authorId="4" shapeId="0" xr:uid="{3F88C087-71F7-46F1-9848-BA56ED1158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47" authorId="5" shapeId="0" xr:uid="{1755980E-E53A-4379-9468-0BAA2B6E52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3 PARCELAS SEG CNH</t>
      </text>
    </comment>
    <comment ref="E48" authorId="6" shapeId="0" xr:uid="{38F994E2-6B90-4945-B29E-E4EBAF9484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49" authorId="7" shapeId="0" xr:uid="{ECFF3F6B-0FA2-4903-ADA0-8F0F87E991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90" authorId="8" shapeId="0" xr:uid="{8E795B4F-F065-4C7F-A6C5-1D55EE0D41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91" authorId="9" shapeId="0" xr:uid="{707604C6-6097-41FA-9E70-E4D9DFAE13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94" authorId="10" shapeId="0" xr:uid="{B1C7BC8C-AA7E-4718-93A0-A27C728208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97" authorId="11" shapeId="0" xr:uid="{8767AEB9-960F-4EF0-9386-E2E39C61D7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98" authorId="12" shapeId="0" xr:uid="{17D64F54-E228-40A6-AF41-2113CC4121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99" authorId="13" shapeId="0" xr:uid="{1F14135A-E9C7-4D72-AF3D-B9980DD78A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tc={D44C6218-2084-4EED-A5EE-BBE00C7CC1E6}</author>
    <author>tc={FFD06FA7-35BD-4B72-A7D4-52186B440658}</author>
    <author>tc={25E6DEDA-2C94-424B-AAAE-2AD1EE51C914}</author>
    <author>tc={DD064DED-2629-4839-9CD3-94A0BD1B6296}</author>
    <author>tc={9329A838-9579-42DE-89A4-6AE358C439A3}</author>
    <author>tc={68CD9350-8D0E-4F63-924C-C92E026ECBD8}</author>
    <author>tc={F14609CB-C668-4D9C-ABB5-95AAA0FDB844}</author>
    <author>tc={1A6688F8-FE07-4C11-8BDE-E48228A484FE}</author>
    <author>tc={B68CFF99-C15C-421E-8581-68BF86C6ABC8}</author>
    <author>tc={63F1B99D-3D34-474D-AD3A-9E0D98EE50EB}</author>
    <author>tc={B96A8FEF-5D03-4823-99F6-0B4D9D429E88}</author>
    <author>tc={A56B9C1A-218C-4285-B8D4-80586530A835}</author>
    <author>tc={9A6DA1C9-1439-4279-8FD8-8A5A12B49E22}</author>
    <author>tc={DF0AAC6D-95F5-4190-988D-970F14C456F9}</author>
    <author>tc={04FA16F2-E5B0-417E-960E-CFB44D1C3DB8}</author>
    <author>tc={C0F3C0BA-57C9-45E8-99EB-C2F7E9960A26}</author>
    <author>tc={B9D96FF3-176E-4F7B-9043-069E8D3E3963}</author>
    <author>tc={D81EC208-3543-4F57-8775-FE03F45D37CE}</author>
  </authors>
  <commentList>
    <comment ref="F5" authorId="0" shapeId="0" xr:uid="{D44C6218-2084-4EED-A5EE-BBE00C7CC1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6" authorId="1" shapeId="0" xr:uid="{FFD06FA7-35BD-4B72-A7D4-52186B44065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8" authorId="2" shapeId="0" xr:uid="{25E6DEDA-2C94-424B-AAAE-2AD1EE51C9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20" authorId="3" shapeId="0" xr:uid="{DD064DED-2629-4839-9CD3-94A0BD1B629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
</t>
      </text>
    </comment>
    <comment ref="F23" authorId="4" shapeId="0" xr:uid="{9329A838-9579-42DE-89A4-6AE358C439A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
</t>
      </text>
    </comment>
    <comment ref="F24" authorId="5" shapeId="0" xr:uid="{68CD9350-8D0E-4F63-924C-C92E026ECB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
</t>
      </text>
    </comment>
    <comment ref="F36" authorId="6" shapeId="0" xr:uid="{F14609CB-C668-4D9C-ABB5-95AAA0FDB8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
 SEG CNH</t>
      </text>
    </comment>
    <comment ref="F37" authorId="7" shapeId="0" xr:uid="{1A6688F8-FE07-4C11-8BDE-E48228A484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</t>
      </text>
    </comment>
    <comment ref="F38" authorId="8" shapeId="0" xr:uid="{B68CFF99-C15C-421E-8581-68BF86C6AB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</t>
      </text>
    </comment>
    <comment ref="F39" authorId="9" shapeId="0" xr:uid="{63F1B99D-3D34-474D-AD3A-9E0D98EE50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
 SEG CNH</t>
      </text>
    </comment>
    <comment ref="F40" authorId="10" shapeId="0" xr:uid="{B96A8FEF-5D03-4823-99F6-0B4D9D429E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</t>
      </text>
    </comment>
    <comment ref="F41" authorId="11" shapeId="0" xr:uid="{A56B9C1A-218C-4285-B8D4-80586530A83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
</t>
      </text>
    </comment>
    <comment ref="F42" authorId="12" shapeId="0" xr:uid="{9A6DA1C9-1439-4279-8FD8-8A5A12B49E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
</t>
      </text>
    </comment>
    <comment ref="F43" authorId="13" shapeId="0" xr:uid="{DF0AAC6D-95F5-4190-988D-970F14C456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
 SEG CNH
</t>
      </text>
    </comment>
    <comment ref="F44" authorId="14" shapeId="0" xr:uid="{04FA16F2-E5B0-417E-960E-CFB44D1C3DB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45" authorId="15" shapeId="0" xr:uid="{C0F3C0BA-57C9-45E8-99EB-C2F7E9960A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46" authorId="16" shapeId="0" xr:uid="{B9D96FF3-176E-4F7B-9043-069E8D3E396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47" authorId="17" shapeId="0" xr:uid="{D81EC208-3543-4F57-8775-FE03F45D37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tc={2B92A7E7-A1CA-4A2E-B0E9-3F3B9D716065}</author>
    <author>tc={3F21D04D-7640-471B-B153-D9D277D086AE}</author>
    <author>tc={80D6871A-B11C-42CD-A868-BA47C912CA72}</author>
    <author>tc={29B473FF-2334-41B7-80CC-129E8AACD808}</author>
    <author>tc={2C070F24-0B10-4FE4-9E53-02200FF8D8E4}</author>
    <author>tc={3A0CB548-6F41-4461-B413-1325FAD89FFA}</author>
    <author>tc={F74C495F-4CAB-4CDF-9A37-3F26E08DFAF2}</author>
    <author>tc={377DBCFC-2476-488C-AE22-1B5BBE8275D7}</author>
    <author>tc={B1984A67-E73E-4A55-90C9-B9251374FD52}</author>
    <author>tc={0D06C016-3153-4A90-A320-504895DD0539}</author>
    <author>tc={5D6419D7-F2FB-4A40-91C3-E9E7DAB5B0C2}</author>
    <author>tc={71C2B92B-42DD-4056-961D-5C0CEB68CD10}</author>
    <author>tc={DBA4361C-53A7-42A4-B136-DFAC644E5881}</author>
    <author>tc={BC2C9885-F6D7-47F2-8577-176B340809F5}</author>
    <author>Aliança Seguros</author>
    <author>tc={5D394091-0988-46AC-BB0D-9C8C342BA56B}</author>
    <author>tc={B0B963B0-6AD0-4717-B937-32672BB24EAA}</author>
    <author>tc={02DC4CE5-276D-4469-B7DA-98A7355BC2DC}</author>
    <author>tc={DBB77760-1741-4545-9612-59E243740C0A}</author>
    <author>tc={FB2EB3AB-C960-494A-81C5-C1A8161561DF}</author>
    <author>tc={8CDCA8B7-DAF1-4B0D-92C8-F2385D9BB7FB}</author>
  </authors>
  <commentList>
    <comment ref="F4" authorId="0" shapeId="0" xr:uid="{2B92A7E7-A1CA-4A2E-B0E9-3F3B9D7160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F5" authorId="1" shapeId="0" xr:uid="{3F21D04D-7640-471B-B153-D9D277D086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F6" authorId="2" shapeId="0" xr:uid="{80D6871A-B11C-42CD-A868-BA47C912CA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F7" authorId="3" shapeId="0" xr:uid="{29B473FF-2334-41B7-80CC-129E8AACD8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F8" authorId="4" shapeId="0" xr:uid="{2C070F24-0B10-4FE4-9E53-02200FF8D8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F9" authorId="5" shapeId="0" xr:uid="{3A0CB548-6F41-4461-B413-1325FAD89F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F10" authorId="6" shapeId="0" xr:uid="{F74C495F-4CAB-4CDF-9A37-3F26E08DFA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PAGAB 2 PARCELAS SEG CNH</t>
      </text>
    </comment>
    <comment ref="F11" authorId="7" shapeId="0" xr:uid="{377DBCFC-2476-488C-AE22-1B5BBE8275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B1 PARCELA SEG CNH</t>
      </text>
    </comment>
    <comment ref="F12" authorId="8" shapeId="0" xr:uid="{B1984A67-E73E-4A55-90C9-B9251374FD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F13" authorId="9" shapeId="0" xr:uid="{0D06C016-3153-4A90-A320-504895DD05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F14" authorId="10" shapeId="0" xr:uid="{5D6419D7-F2FB-4A40-91C3-E9E7DAB5B0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30" authorId="11" shapeId="0" xr:uid="{71C2B92B-42DD-4056-961D-5C0CEB68CD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</t>
      </text>
    </comment>
    <comment ref="E54" authorId="12" shapeId="0" xr:uid="{DBA4361C-53A7-42A4-B136-DFAC644E58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55" authorId="13" shapeId="0" xr:uid="{BC2C9885-F6D7-47F2-8577-176B340809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56" authorId="14" shapeId="0" xr:uid="{B6C15F9C-3980-4FBB-8FBF-5BE5B49F35E0}">
      <text>
        <r>
          <rPr>
            <b/>
            <sz val="9"/>
            <color indexed="81"/>
            <rFont val="Segoe UI"/>
            <charset val="1"/>
          </rPr>
          <t>Aliança Seguros:</t>
        </r>
        <r>
          <rPr>
            <sz val="9"/>
            <color indexed="81"/>
            <rFont val="Segoe UI"/>
            <charset val="1"/>
          </rPr>
          <t xml:space="preserve">
A LOJA PAGAB 2 PARCELS SEG CNH</t>
        </r>
      </text>
    </comment>
    <comment ref="E57" authorId="15" shapeId="0" xr:uid="{5D394091-0988-46AC-BB0D-9C8C342BA5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58" authorId="16" shapeId="0" xr:uid="{B0B963B0-6AD0-4717-B937-32672BB24E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9" authorId="17" shapeId="0" xr:uid="{02DC4CE5-276D-4469-B7DA-98A7355BC2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60" authorId="18" shapeId="0" xr:uid="{DBB77760-1741-4545-9612-59E243740C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61" authorId="19" shapeId="0" xr:uid="{FB2EB3AB-C960-494A-81C5-C1A8161561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62" authorId="20" shapeId="0" xr:uid="{8CDCA8B7-DAF1-4B0D-92C8-F2385D9BB7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tc={664B8E41-15BD-4362-A063-22FE89ACD590}</author>
    <author>tc={4EF87989-146B-4ACE-B7DE-A86E98AF194C}</author>
    <author>tc={64F37020-B66D-4550-BDD1-CC9E278DDBBE}</author>
    <author>tc={FC10266C-81AD-468B-BC0F-19402A999326}</author>
    <author>tc={9473852E-3685-4515-9976-592A3CDC6057}</author>
    <author>tc={C7083615-B5BB-4ABA-8EBD-9C752E861470}</author>
    <author>tc={8B9044E7-E43E-4A25-B2FA-52A2E85E52DA}</author>
    <author>tc={98B49756-A742-4F34-8174-3BB618CC854B}</author>
    <author>tc={FB106876-6389-404A-AEFA-C0E7B0FB9215}</author>
    <author>tc={9A26650A-0F57-4B2A-A35F-8AA4C11E5160}</author>
    <author>tc={08AD2F52-33D8-442F-96B1-2EBAAE5646A7}</author>
    <author>tc={C032A7C7-0AAE-4BFA-B40F-2E522E2EAFF5}</author>
    <author>tc={C579FC0D-D027-423D-A36D-EE1905AE667C}</author>
    <author>tc={346AAC95-4DDA-42F3-A0C0-7E4EFAE1B458}</author>
    <author>tc={F2A2EFCC-524A-46F6-9B01-8F8C1F3BA0BC}</author>
    <author>tc={E3A60D1A-FF2B-49FD-84A6-460DF16493C6}</author>
    <author>tc={688442F0-FDD8-41FF-AA34-044544232298}</author>
    <author>tc={3CE82C99-E153-46D6-86DC-CF1C10D97B99}</author>
    <author>tc={38734356-0384-49C2-93F9-17ED0094D9A4}</author>
    <author>tc={F271BF75-8B4A-4605-8BF2-91A6B4A77C71}</author>
    <author>Aliança Seguros</author>
    <author>tc={41FEE693-5027-44AD-82BA-2C99F178C357}</author>
    <author>tc={0117D618-65FC-4C7F-BAE2-1BEB96961BC9}</author>
    <author>tc={7B37FCD1-6935-4092-88EC-935CDF8F6517}</author>
    <author>tc={2444F0C8-5CA6-46AB-AD9A-C46501563705}</author>
    <author>tc={283D8485-C3FC-4304-9786-EB10C06C5C24}</author>
    <author>tc={346E2E6E-398B-4000-97E6-6E706267D855}</author>
  </authors>
  <commentList>
    <comment ref="E52" authorId="0" shapeId="0" xr:uid="{664B8E41-15BD-4362-A063-22FE89ACD5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3" authorId="1" shapeId="0" xr:uid="{4EF87989-146B-4ACE-B7DE-A86E98AF19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4" authorId="2" shapeId="0" xr:uid="{64F37020-B66D-4550-BDD1-CC9E278DDB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5" authorId="3" shapeId="0" xr:uid="{FC10266C-81AD-468B-BC0F-19402A9993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6" authorId="4" shapeId="0" xr:uid="{9473852E-3685-4515-9976-592A3CDC60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CNHA </t>
      </text>
    </comment>
    <comment ref="E57" authorId="5" shapeId="0" xr:uid="{C7083615-B5BB-4ABA-8EBD-9C752E8614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65" authorId="6" shapeId="0" xr:uid="{8B9044E7-E43E-4A25-B2FA-52A2E85E52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3 PARCELAS SEG CNH</t>
      </text>
    </comment>
    <comment ref="E67" authorId="7" shapeId="0" xr:uid="{98B49756-A742-4F34-8174-3BB618CC85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68" authorId="8" shapeId="0" xr:uid="{FB106876-6389-404A-AEFA-C0E7B0FB92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PARCELA TOTAL SEG CNH</t>
      </text>
    </comment>
    <comment ref="E69" authorId="9" shapeId="0" xr:uid="{9A26650A-0F57-4B2A-A35F-8AA4C11E51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PAGATOTAL SEG CNH</t>
      </text>
    </comment>
    <comment ref="E93" authorId="10" shapeId="0" xr:uid="{08AD2F52-33D8-442F-96B1-2EBAAE5646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94" authorId="11" shapeId="0" xr:uid="{C032A7C7-0AAE-4BFA-B40F-2E522E2EAF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01" authorId="12" shapeId="0" xr:uid="{C579FC0D-D027-423D-A36D-EE1905AE66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04" authorId="13" shapeId="0" xr:uid="{346AAC95-4DDA-42F3-A0C0-7E4EFAE1B4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DO SEG CNH</t>
      </text>
    </comment>
    <comment ref="E105" authorId="14" shapeId="0" xr:uid="{F2A2EFCC-524A-46F6-9B01-8F8C1F3BA0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DO SEG CNH</t>
      </text>
    </comment>
    <comment ref="E132" authorId="15" shapeId="0" xr:uid="{E3A60D1A-FF2B-49FD-84A6-460DF16493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133" authorId="16" shapeId="0" xr:uid="{688442F0-FDD8-41FF-AA34-0445442322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42" authorId="17" shapeId="0" xr:uid="{3CE82C99-E153-46D6-86DC-CF1C10D97B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43" authorId="18" shapeId="0" xr:uid="{38734356-0384-49C2-93F9-17ED0094D9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44" authorId="19" shapeId="0" xr:uid="{F271BF75-8B4A-4605-8BF2-91A6B4A77C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46" authorId="20" shapeId="0" xr:uid="{10F15D6E-1E22-4B37-86EA-703E969B2441}">
      <text>
        <r>
          <rPr>
            <b/>
            <sz val="9"/>
            <color indexed="81"/>
            <rFont val="Segoe UI"/>
            <charset val="1"/>
          </rPr>
          <t>Aliança Seguros:</t>
        </r>
        <r>
          <rPr>
            <sz val="9"/>
            <color indexed="81"/>
            <rFont val="Segoe UI"/>
            <charset val="1"/>
          </rPr>
          <t xml:space="preserve">
A LOJA PAGA 1 PARCELA SEG CNH</t>
        </r>
      </text>
    </comment>
    <comment ref="E147" authorId="21" shapeId="0" xr:uid="{41FEE693-5027-44AD-82BA-2C99F178C3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48" authorId="22" shapeId="0" xr:uid="{0117D618-65FC-4C7F-BAE2-1BEB96961B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70" authorId="23" shapeId="0" xr:uid="{7B37FCD1-6935-4092-88EC-935CDF8F65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71" authorId="24" shapeId="0" xr:uid="{2444F0C8-5CA6-46AB-AD9A-C465015637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74" authorId="25" shapeId="0" xr:uid="{283D8485-C3FC-4304-9786-EB10C06C5C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175" authorId="26" shapeId="0" xr:uid="{346E2E6E-398B-4000-97E6-6E706267D8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</commentList>
</comments>
</file>

<file path=xl/sharedStrings.xml><?xml version="1.0" encoding="utf-8"?>
<sst xmlns="http://schemas.openxmlformats.org/spreadsheetml/2006/main" count="1746" uniqueCount="574">
  <si>
    <t>SEGUROS FECHADOS - JANEIRO -  2026</t>
  </si>
  <si>
    <t>QTDE</t>
  </si>
  <si>
    <t>CLIENTE</t>
  </si>
  <si>
    <t xml:space="preserve">MODELO </t>
  </si>
  <si>
    <t>Nº APÓLICE</t>
  </si>
  <si>
    <t>PROPOSTA</t>
  </si>
  <si>
    <t>VALOR PRÊMIO TOTAL</t>
  </si>
  <si>
    <t>VALOR TAXA IOF</t>
  </si>
  <si>
    <t>PROMOÇÃO (1ª PARCELA)</t>
  </si>
  <si>
    <t>SALDO RESTANTE</t>
  </si>
  <si>
    <t xml:space="preserve">FORMA DE PGTO </t>
  </si>
  <si>
    <t>VENDEDOR</t>
  </si>
  <si>
    <t>COM CONCESSIONARIA</t>
  </si>
  <si>
    <t>COM CORRETORA</t>
  </si>
  <si>
    <t>COMISSÃO VEND</t>
  </si>
  <si>
    <t>COMISSÃO GER</t>
  </si>
  <si>
    <t>CRÉDITO RESTANTE</t>
  </si>
  <si>
    <t xml:space="preserve">ADRIANO PEREIRA DOS SANTOS </t>
  </si>
  <si>
    <t>NXR 160 BROS ABS</t>
  </si>
  <si>
    <t>CARTAO</t>
  </si>
  <si>
    <t>JACIEL</t>
  </si>
  <si>
    <t xml:space="preserve">MICARLA SENA DA COSTA </t>
  </si>
  <si>
    <t>CG 160 START</t>
  </si>
  <si>
    <t>BOLETO</t>
  </si>
  <si>
    <t>UEVERTON</t>
  </si>
  <si>
    <t xml:space="preserve">IARLEY GABRIEL LIMA DA SILVA </t>
  </si>
  <si>
    <t>POP 110 ES</t>
  </si>
  <si>
    <t>SUELANE</t>
  </si>
  <si>
    <t xml:space="preserve">MARINALDO MOURA DA SILVA </t>
  </si>
  <si>
    <t>NXR 160 BROS CBS</t>
  </si>
  <si>
    <t>KATIA LAURENTINO LIRA</t>
  </si>
  <si>
    <t>MAURICELIO</t>
  </si>
  <si>
    <t xml:space="preserve">CARLOS JUNIOR DA SILVA </t>
  </si>
  <si>
    <t xml:space="preserve">CG 160 TITAN </t>
  </si>
  <si>
    <t>ERIQUE</t>
  </si>
  <si>
    <t xml:space="preserve">MARIA VITORIA GUEDES DE ALMEIDA </t>
  </si>
  <si>
    <t xml:space="preserve">BIZ 125 EX </t>
  </si>
  <si>
    <t>JANDEILSON</t>
  </si>
  <si>
    <t>IDAGMAR FRANCISCA DA SILVA FIGUEIREDO</t>
  </si>
  <si>
    <t xml:space="preserve">6187597 RENOV </t>
  </si>
  <si>
    <t xml:space="preserve">HORTENCIA </t>
  </si>
  <si>
    <t xml:space="preserve">LENILDA DA SILVA OLIVEIRA </t>
  </si>
  <si>
    <t xml:space="preserve">JOSIRENE </t>
  </si>
  <si>
    <t>LUCILENE DA SILVA ( OBS DEZEMBRO)</t>
  </si>
  <si>
    <t>ADEMAR PAULINO DE LIMA NETO</t>
  </si>
  <si>
    <t>SEVERINO DO RAMO RODRIGUES BARBOSA</t>
  </si>
  <si>
    <t>MAILSON JUSTINO DE ANDRADE</t>
  </si>
  <si>
    <t xml:space="preserve">ANDRE SILVA DOS SANTOS </t>
  </si>
  <si>
    <t xml:space="preserve">ROBERTO MEDEIROS </t>
  </si>
  <si>
    <t xml:space="preserve">LUAN RAYNNER MARQUES DE MOURA </t>
  </si>
  <si>
    <t xml:space="preserve">CB 300 TWISTER </t>
  </si>
  <si>
    <t>SAMUEL</t>
  </si>
  <si>
    <t>SANDRO ESTRELA CABRAL</t>
  </si>
  <si>
    <t>GABRIEL FELIX DE ARAUJO</t>
  </si>
  <si>
    <t>6186171 RENOV</t>
  </si>
  <si>
    <t>SUELEN SILVA OLIVEIRA VENANCIO</t>
  </si>
  <si>
    <t>6189260 RENOV</t>
  </si>
  <si>
    <t>JOAO LUCAS</t>
  </si>
  <si>
    <t xml:space="preserve">MARIA LIGIANE DA SILVA SOUZA </t>
  </si>
  <si>
    <t xml:space="preserve">BIZ 125 ES </t>
  </si>
  <si>
    <t xml:space="preserve">6190452 RENOV </t>
  </si>
  <si>
    <t xml:space="preserve">LEANDRO VICENTE DA SILVA </t>
  </si>
  <si>
    <t xml:space="preserve">6190683 RENOV </t>
  </si>
  <si>
    <t>ELIZIANE AVELINO CASSEMIRO</t>
  </si>
  <si>
    <t>6191032 RENOV</t>
  </si>
  <si>
    <t xml:space="preserve">MARIA ROSA DE LIMA </t>
  </si>
  <si>
    <t xml:space="preserve">ALEXANDRE MARREIRO DE LIMA </t>
  </si>
  <si>
    <t xml:space="preserve">MARIA APARECIDA DA SILVA </t>
  </si>
  <si>
    <t xml:space="preserve">ANA ALICE </t>
  </si>
  <si>
    <t xml:space="preserve">FABRICIO DOS SANTOS SILVA </t>
  </si>
  <si>
    <t>6190919 RENOV</t>
  </si>
  <si>
    <t xml:space="preserve">RARYSON CABRAL DE OLIVEIRA </t>
  </si>
  <si>
    <t xml:space="preserve">SEVERINO FLAVIO DIONIZIO COSTA </t>
  </si>
  <si>
    <t>NXR 160 BROS</t>
  </si>
  <si>
    <t>6195393 RENOV</t>
  </si>
  <si>
    <t>LUCAS CORDEIRO DE SOUZA BARBOSA</t>
  </si>
  <si>
    <t>IZAIAS CORDEIRO  DE SOUTO</t>
  </si>
  <si>
    <t xml:space="preserve">ERIONALDO DE SOUSA </t>
  </si>
  <si>
    <t>DAIANE</t>
  </si>
  <si>
    <t xml:space="preserve">GILSON PEREIRA NUNES </t>
  </si>
  <si>
    <t xml:space="preserve">PCX 160 </t>
  </si>
  <si>
    <t xml:space="preserve">JAILTON PEDRO DA SILVA </t>
  </si>
  <si>
    <t>JOSE MARINHO</t>
  </si>
  <si>
    <t>XRE 300 RALLY</t>
  </si>
  <si>
    <t xml:space="preserve">MATHEUS DA CONCEICAO ALMEIDA </t>
  </si>
  <si>
    <t xml:space="preserve">JOCIELIO NERES DA SILVA </t>
  </si>
  <si>
    <t>RONALTO GOMES PEREIRA FILHO</t>
  </si>
  <si>
    <t xml:space="preserve">LOURIANA ALVES DA FONSECA </t>
  </si>
  <si>
    <t xml:space="preserve">MARIA DO CARMO DA SILVA SANTOS </t>
  </si>
  <si>
    <t xml:space="preserve">WELLITON RODRIGUES GOMES </t>
  </si>
  <si>
    <t>JOSE PEREIRA DA SILVA SEGUNDO</t>
  </si>
  <si>
    <t xml:space="preserve">NAIARA DE SOUZA BENTO FERREIRA </t>
  </si>
  <si>
    <t xml:space="preserve">DANIEL FELIPE DE SOUZA </t>
  </si>
  <si>
    <t xml:space="preserve">CG 160 FAN </t>
  </si>
  <si>
    <t xml:space="preserve">6196616 RENOV </t>
  </si>
  <si>
    <t xml:space="preserve">JOSE BENTO DA SILVA </t>
  </si>
  <si>
    <t xml:space="preserve">6176321 RENOV </t>
  </si>
  <si>
    <t xml:space="preserve">RENAN MATOS DA COSTA </t>
  </si>
  <si>
    <t xml:space="preserve">JAILSON JOSE DA SILVA </t>
  </si>
  <si>
    <t>PAULO</t>
  </si>
  <si>
    <t xml:space="preserve">DENILDO LUCAS DA SILVA </t>
  </si>
  <si>
    <t xml:space="preserve">MARIA SONIA LOPES DA SILVA </t>
  </si>
  <si>
    <t xml:space="preserve">NADIA DA CONCEICAO ALVES </t>
  </si>
  <si>
    <t xml:space="preserve">6200972 RENOV </t>
  </si>
  <si>
    <t xml:space="preserve">VAGNER DA SILVA TAVARES </t>
  </si>
  <si>
    <t>NÃO FEZ VIST</t>
  </si>
  <si>
    <t xml:space="preserve">GISELDA SILVA FERNANDES DA ROCHA </t>
  </si>
  <si>
    <t xml:space="preserve">JOAO PEDRO CANDIDO LOPES </t>
  </si>
  <si>
    <t xml:space="preserve">XRE 190 </t>
  </si>
  <si>
    <t xml:space="preserve">FABIO BATISTA DA SILVA </t>
  </si>
  <si>
    <t xml:space="preserve">FRANCISCO FLAVIO BENEDITO DA SILVA </t>
  </si>
  <si>
    <t xml:space="preserve">RODRIGUES DUARTE </t>
  </si>
  <si>
    <t xml:space="preserve">JOANDSON DOS SANTOS FERREIRA </t>
  </si>
  <si>
    <t>TIAGO DA SILVA CAMILO</t>
  </si>
  <si>
    <t xml:space="preserve">RONALDO DO NASCIMENTO SILVA </t>
  </si>
  <si>
    <t>EDiVANIA DE LIMA TAVARES</t>
  </si>
  <si>
    <t xml:space="preserve">CLEVERTON PEREIRA DA SILVA </t>
  </si>
  <si>
    <t>CLEVERTON</t>
  </si>
  <si>
    <t xml:space="preserve">ANDRE RODRIGUES DE SALES </t>
  </si>
  <si>
    <t xml:space="preserve">ADELINO DE OLIVEIRA VIANA </t>
  </si>
  <si>
    <t xml:space="preserve">ANTONIO CARLOS </t>
  </si>
  <si>
    <t xml:space="preserve">ANTONIO CARLOS DOS SANTOS </t>
  </si>
  <si>
    <t>ANTONIO CARLOS</t>
  </si>
  <si>
    <t xml:space="preserve">DANIELLE MATIAS DA SILVA </t>
  </si>
  <si>
    <t xml:space="preserve">ANA CELIA DANTAS DA SILVA </t>
  </si>
  <si>
    <t>CELSO</t>
  </si>
  <si>
    <t xml:space="preserve">JOYCE FERNANDES BARBOSA </t>
  </si>
  <si>
    <t xml:space="preserve">JOSEFA BENICIO DINIZ </t>
  </si>
  <si>
    <t>ANDRE</t>
  </si>
  <si>
    <t xml:space="preserve">JACIEL FELINTO </t>
  </si>
  <si>
    <t>RONALDO SANTOS DE MELO</t>
  </si>
  <si>
    <t>SEVERINO ARAUJO SALUSTIANO</t>
  </si>
  <si>
    <t>SEVERINA ANDRE FRANCISCO</t>
  </si>
  <si>
    <t>LUCINEIDE GOMES DE MELO</t>
  </si>
  <si>
    <t xml:space="preserve">MARIA DA VITORIA DANTAS SILVA </t>
  </si>
  <si>
    <t>6216071 RENOV</t>
  </si>
  <si>
    <t>6216212 RENOV</t>
  </si>
  <si>
    <t xml:space="preserve">MARIA DAS VITORIAS A MEDEIROS </t>
  </si>
  <si>
    <t xml:space="preserve">6228742 RENOV </t>
  </si>
  <si>
    <t xml:space="preserve">DJANILSON </t>
  </si>
  <si>
    <t>JOSE CRISTIANO COSTA FILHO</t>
  </si>
  <si>
    <t>XRE 300 TORNADO</t>
  </si>
  <si>
    <t>ANNY  KELLY TAVARES DO NASCIMENTO</t>
  </si>
  <si>
    <t xml:space="preserve">6233614 RENOV </t>
  </si>
  <si>
    <t xml:space="preserve">ANTONIO MATIAS DA SILVA </t>
  </si>
  <si>
    <t xml:space="preserve">6237067 RENOV </t>
  </si>
  <si>
    <t xml:space="preserve">JOACI OLIVEIRA DA SILVA </t>
  </si>
  <si>
    <t xml:space="preserve">TITAN 160 </t>
  </si>
  <si>
    <t>MICHAEL</t>
  </si>
  <si>
    <t xml:space="preserve">VINICIUS HENRIQUE PEREIRA </t>
  </si>
  <si>
    <t xml:space="preserve">MARILUCIO MARQUE DA COSTA </t>
  </si>
  <si>
    <t xml:space="preserve">6203864 RENOV </t>
  </si>
  <si>
    <t>6241203 RENOV</t>
  </si>
  <si>
    <t xml:space="preserve">CLAUDEMIR DA SILVA TORRES </t>
  </si>
  <si>
    <t xml:space="preserve">6240135  RENOV </t>
  </si>
  <si>
    <t xml:space="preserve">MARINESIO BENEDITO DOS SANTOS </t>
  </si>
  <si>
    <t xml:space="preserve">BIZ 125 </t>
  </si>
  <si>
    <t xml:space="preserve">6240263 RENOV </t>
  </si>
  <si>
    <t>JOELMA DA COSTA BARBOSA</t>
  </si>
  <si>
    <t>JOELMA</t>
  </si>
  <si>
    <t>JOSE ANTONIO SILVA SAMUEL</t>
  </si>
  <si>
    <t xml:space="preserve">6241820 RENOV </t>
  </si>
  <si>
    <t>JOSENILMA BATISTA DA SILVA FERNANDES</t>
  </si>
  <si>
    <t xml:space="preserve">MARIA JOSILENE SILVA LIMA </t>
  </si>
  <si>
    <t xml:space="preserve">OTAVIO RICARDO DOS SANTOS JUNIOR </t>
  </si>
  <si>
    <t xml:space="preserve">MARIA LUIZA NOGUEIRA DA S BARBOSA </t>
  </si>
  <si>
    <t xml:space="preserve">NATAN ATILA LIRA DA SILVA </t>
  </si>
  <si>
    <t xml:space="preserve">MARCIA SILVA DA COSTA </t>
  </si>
  <si>
    <t xml:space="preserve">FRANCINELSON MANDU DE LIMA </t>
  </si>
  <si>
    <t xml:space="preserve">VALDEMIR FERREIRA </t>
  </si>
  <si>
    <t xml:space="preserve">NXR 160 BROS </t>
  </si>
  <si>
    <t xml:space="preserve">PRISCILA ISIDRO DA SILVA </t>
  </si>
  <si>
    <t xml:space="preserve">6258711 RENOV </t>
  </si>
  <si>
    <t xml:space="preserve">TONY DOUGLAS SABINO DEMEDEIROS </t>
  </si>
  <si>
    <t>LENDRO</t>
  </si>
  <si>
    <t xml:space="preserve">EVERALDO FERNANDES </t>
  </si>
  <si>
    <t>LEANDRO</t>
  </si>
  <si>
    <t xml:space="preserve">MANUEL DE MELO DA SILVA </t>
  </si>
  <si>
    <t xml:space="preserve">NXR BROS ABS </t>
  </si>
  <si>
    <t xml:space="preserve">SERGIO GOMES DA SILVA </t>
  </si>
  <si>
    <t>JONAS MARQUES FREIRE</t>
  </si>
  <si>
    <t>SEVERINO RAMALHO DE ARAUJO</t>
  </si>
  <si>
    <t xml:space="preserve">RICARDO ROBERTO DA SILVA </t>
  </si>
  <si>
    <t xml:space="preserve">6256009 RENOV </t>
  </si>
  <si>
    <t xml:space="preserve">AMANDA CECILIA SALES </t>
  </si>
  <si>
    <t xml:space="preserve">6255928 RENOV </t>
  </si>
  <si>
    <t xml:space="preserve">JOSE LUIZ DOS SANTOS </t>
  </si>
  <si>
    <t xml:space="preserve">NXR 160 BROS ESDD </t>
  </si>
  <si>
    <t>TOTAL</t>
  </si>
  <si>
    <t>SEGUROS FECHADOS -FEVEREIRO -  2026</t>
  </si>
  <si>
    <t>MARIA GLAUCIA DE SOUSA FERREIRA</t>
  </si>
  <si>
    <r>
      <t xml:space="preserve">6322001 - </t>
    </r>
    <r>
      <rPr>
        <sz val="10"/>
        <color rgb="FFFF0000"/>
        <rFont val="Arial"/>
        <family val="2"/>
      </rPr>
      <t>RENOV</t>
    </r>
  </si>
  <si>
    <t>CARTÃO</t>
  </si>
  <si>
    <t xml:space="preserve">ÉLIDA </t>
  </si>
  <si>
    <t>DANUBIA RAFAELA LADISLAU F MARINHO</t>
  </si>
  <si>
    <t>CG TITAN 160</t>
  </si>
  <si>
    <t xml:space="preserve">BOLETO </t>
  </si>
  <si>
    <t xml:space="preserve">HORTENSIA </t>
  </si>
  <si>
    <t>LUIS HENRIQUE LIMA DA SILVA</t>
  </si>
  <si>
    <t>CG START 160</t>
  </si>
  <si>
    <t xml:space="preserve">UEVERTON </t>
  </si>
  <si>
    <t>MARIA IVONETE SANTOS DE LIMA</t>
  </si>
  <si>
    <t>MARIA ALICE DA SILVA SOARES</t>
  </si>
  <si>
    <t>POP 110</t>
  </si>
  <si>
    <t xml:space="preserve">LUAN VICTOR DOS SANTOS SILVA </t>
  </si>
  <si>
    <t>CG FAN 160</t>
  </si>
  <si>
    <t>ESTHEFANY DA CONCEICAO DOS SANTOS</t>
  </si>
  <si>
    <t xml:space="preserve">VALDECI FIRMINO DE LIMA </t>
  </si>
  <si>
    <t xml:space="preserve">IVAN IZIDRO GONÇALVES </t>
  </si>
  <si>
    <t xml:space="preserve">EDILENE TRAJANO DE MOURA SILVA </t>
  </si>
  <si>
    <r>
      <t>6238317-</t>
    </r>
    <r>
      <rPr>
        <sz val="10"/>
        <color rgb="FFFF0000"/>
        <rFont val="Arial"/>
        <family val="2"/>
      </rPr>
      <t>RENOV</t>
    </r>
  </si>
  <si>
    <t xml:space="preserve">RAIANE FRANCELINO DE LIMA </t>
  </si>
  <si>
    <t>WELDER ROGER C DE MEDEIROS</t>
  </si>
  <si>
    <t>GEILDA FERREIRA VITORINO</t>
  </si>
  <si>
    <t>TACIANO JOSE DOS SANTOS LOPES</t>
  </si>
  <si>
    <t>EDILEUZA CAMELO MOUSINHO DE LIMA</t>
  </si>
  <si>
    <t>SINDERLEY FIRINO DE MEDEIROS</t>
  </si>
  <si>
    <t>CICERO BELMIRO DE LIMA</t>
  </si>
  <si>
    <t>PATRICIA NUNES DOS SANTOS</t>
  </si>
  <si>
    <t xml:space="preserve">JOÃO MAURICIO DE LIMA </t>
  </si>
  <si>
    <r>
      <t xml:space="preserve">6294198- </t>
    </r>
    <r>
      <rPr>
        <sz val="10"/>
        <color rgb="FFFF0000"/>
        <rFont val="Arial"/>
        <family val="2"/>
      </rPr>
      <t>RENOV</t>
    </r>
  </si>
  <si>
    <t>GEOVANE GOMES SEBASTIAO</t>
  </si>
  <si>
    <t>LUIZ HENRIQUE COSTA DE LIMA SILVA</t>
  </si>
  <si>
    <t>AGENOR FELICIANO DA SILVA</t>
  </si>
  <si>
    <t>AGUINALDO LACERDA DO NASCIMENTO</t>
  </si>
  <si>
    <r>
      <t xml:space="preserve">6297461- </t>
    </r>
    <r>
      <rPr>
        <sz val="10"/>
        <color rgb="FFFF0000"/>
        <rFont val="Calibri"/>
        <family val="2"/>
        <scheme val="minor"/>
      </rPr>
      <t>RENOV</t>
    </r>
  </si>
  <si>
    <t>CLEYSON CASSIMIRO DE SOUZA</t>
  </si>
  <si>
    <r>
      <t xml:space="preserve">6297611- </t>
    </r>
    <r>
      <rPr>
        <sz val="10"/>
        <color rgb="FFFF0000"/>
        <rFont val="Calibri"/>
        <family val="2"/>
        <scheme val="minor"/>
      </rPr>
      <t>RENOV</t>
    </r>
  </si>
  <si>
    <t>GEOVANA EVILLY LIMA SILVA</t>
  </si>
  <si>
    <r>
      <t>6298450-</t>
    </r>
    <r>
      <rPr>
        <sz val="10"/>
        <color rgb="FFFF0000"/>
        <rFont val="Calibri"/>
        <family val="2"/>
        <scheme val="minor"/>
      </rPr>
      <t>RENOV</t>
    </r>
  </si>
  <si>
    <t xml:space="preserve">SEVERINO DOS RAMOS PEREIRA </t>
  </si>
  <si>
    <t>MARIA SELMA MEDEIROS COSTA</t>
  </si>
  <si>
    <r>
      <t xml:space="preserve">6298786- </t>
    </r>
    <r>
      <rPr>
        <sz val="10"/>
        <color rgb="FFFF0000"/>
        <rFont val="Calibri"/>
        <family val="2"/>
        <scheme val="minor"/>
      </rPr>
      <t xml:space="preserve">RENOV </t>
    </r>
  </si>
  <si>
    <t>MATHEUS ABREU COSTA</t>
  </si>
  <si>
    <t>RUAN ROQUE DA SILVA</t>
  </si>
  <si>
    <t>LEONARDO GOMES DE SOUSA</t>
  </si>
  <si>
    <t>JOSINALDO NUNES DOS SANTOS</t>
  </si>
  <si>
    <t>DJANILSON</t>
  </si>
  <si>
    <t>WILLIAN LIRA COSTA</t>
  </si>
  <si>
    <t>RAIZA NIZITA FRANKLIM</t>
  </si>
  <si>
    <t>EDNALDO CLEMENTE DA SILVA</t>
  </si>
  <si>
    <t>LUCAS LIMA DE OLIVEIRA BARBOSA</t>
  </si>
  <si>
    <t>LAUDIENE GOMES DA SILVA LIMA</t>
  </si>
  <si>
    <t>CARLOS ALEXANDRE N DA COSTA</t>
  </si>
  <si>
    <t>ROBERTO</t>
  </si>
  <si>
    <t>CICERO LUDUVICO DA COSTA</t>
  </si>
  <si>
    <t>SILVANA DA SILVA</t>
  </si>
  <si>
    <t>ROZALVO FRANCISCO</t>
  </si>
  <si>
    <t>JOAO BATISTA</t>
  </si>
  <si>
    <t xml:space="preserve">CLEYSON BEZERRA DA SILVA </t>
  </si>
  <si>
    <t xml:space="preserve">ERIQUE </t>
  </si>
  <si>
    <t>FRANCISCO EDILSON SANTOS SOUSA</t>
  </si>
  <si>
    <t>CLEVERTHON</t>
  </si>
  <si>
    <t>JOVANE AZEVEDO SERAFIM</t>
  </si>
  <si>
    <t>CAMILA DO NASCIMENTO O MATIAS</t>
  </si>
  <si>
    <t>GILVANICE VALENTIM DE MELO TAVEIRA</t>
  </si>
  <si>
    <t>MATHEUS DE SOUZA SANTOS</t>
  </si>
  <si>
    <t>LAIZA KELLY DA SILVA SERAFIM</t>
  </si>
  <si>
    <t>SEVERINO MONTEIRO DOS SANTOS</t>
  </si>
  <si>
    <t xml:space="preserve">MARCELO FIRMINO SANTOS DA SILVA </t>
  </si>
  <si>
    <t>RONALDO DA SILVA SOARES</t>
  </si>
  <si>
    <t>JAILMA BERNARDO</t>
  </si>
  <si>
    <t>ROSALIA DE SOUZA MACEDO</t>
  </si>
  <si>
    <t xml:space="preserve">JAILSON EDUARDO DE LIMA </t>
  </si>
  <si>
    <t>GLAUCIELLE OLIVEIRA DOS SANTOS</t>
  </si>
  <si>
    <r>
      <t xml:space="preserve">6315409- </t>
    </r>
    <r>
      <rPr>
        <sz val="10"/>
        <color rgb="FFFF0000"/>
        <rFont val="Calibri"/>
        <family val="2"/>
        <scheme val="minor"/>
      </rPr>
      <t>RENOV</t>
    </r>
  </si>
  <si>
    <t xml:space="preserve">BRUNA KAYLANE DE SALES SANTOS </t>
  </si>
  <si>
    <r>
      <t xml:space="preserve">6312318- </t>
    </r>
    <r>
      <rPr>
        <sz val="10"/>
        <color rgb="FFFF0000"/>
        <rFont val="Calibri"/>
        <family val="2"/>
        <scheme val="minor"/>
      </rPr>
      <t>RENOV</t>
    </r>
  </si>
  <si>
    <t xml:space="preserve">JOAO VITOR FELIPE DA SILVA </t>
  </si>
  <si>
    <t>CG 125 KS</t>
  </si>
  <si>
    <t>LUIZ GALDINO MATIAS</t>
  </si>
  <si>
    <t xml:space="preserve">EDILENNA FARIAS DE A SOUSA </t>
  </si>
  <si>
    <t xml:space="preserve">CARLOS MATHIAS DE AZEVEDO JUNIOR </t>
  </si>
  <si>
    <t xml:space="preserve">EDNALDO CANDIDO DE FARIAS SILVA </t>
  </si>
  <si>
    <t>NIVALDO NASCIMENTO SILVA</t>
  </si>
  <si>
    <t>XRE 190</t>
  </si>
  <si>
    <t>ZILDA GOMES FEITOSA ( ATÉ AQUI ÉLIDA)</t>
  </si>
  <si>
    <t xml:space="preserve">FRANCISCO PEREIRA DA SILVA JUNIOR </t>
  </si>
  <si>
    <t xml:space="preserve">DAIANE </t>
  </si>
  <si>
    <t>JOANA DARC MELO DE BRITO</t>
  </si>
  <si>
    <t>ANDREIA DE FRANCA SOBRAL</t>
  </si>
  <si>
    <t xml:space="preserve">JOSE EDILSON DA SILVA </t>
  </si>
  <si>
    <t>CG 160 STAR</t>
  </si>
  <si>
    <t xml:space="preserve">LUCINEIDE RICARDO DA SILVA </t>
  </si>
  <si>
    <t xml:space="preserve">GRACINHA </t>
  </si>
  <si>
    <t xml:space="preserve">CARLOS HENRIQUE GOMES DE FARIAS </t>
  </si>
  <si>
    <t xml:space="preserve">MARIA BETANIA DOS SANTOS GOMES </t>
  </si>
  <si>
    <t xml:space="preserve">JOSE TEOTONIO DA SILVA </t>
  </si>
  <si>
    <t xml:space="preserve">VANILSON DA SILVA </t>
  </si>
  <si>
    <t xml:space="preserve">RAFAELA COSME FERREIRA DOS SANTOS </t>
  </si>
  <si>
    <t xml:space="preserve">SUELANE </t>
  </si>
  <si>
    <t xml:space="preserve">ANTONIO RICARDO BARBOSA DA SILVA </t>
  </si>
  <si>
    <t>CARLOS ANTONIO MARQUES DE MELO</t>
  </si>
  <si>
    <t xml:space="preserve">JANILSON </t>
  </si>
  <si>
    <t xml:space="preserve">ROBSON NASCIMENTO LIMA </t>
  </si>
  <si>
    <t>JAILSON BEZERRA</t>
  </si>
  <si>
    <t xml:space="preserve">EVANDRO DO NASCIMENTO VIEGAS </t>
  </si>
  <si>
    <t xml:space="preserve">SUELDO MARTINS DOS SANTOS </t>
  </si>
  <si>
    <t xml:space="preserve">ADELSON DA SILVA MEDEIROS </t>
  </si>
  <si>
    <t xml:space="preserve">SEVERINO ANTONIO DA SILVA </t>
  </si>
  <si>
    <t>CB 300 TWISTER</t>
  </si>
  <si>
    <t xml:space="preserve">MARIA ENEDINO DA SILVA </t>
  </si>
  <si>
    <t>ADENILSON ALBUQU SILVA DO NASCIMENTO</t>
  </si>
  <si>
    <t>CARLOS EDUARDO DE MELO COELHO</t>
  </si>
  <si>
    <t xml:space="preserve">EDGLEY NUNES DOS SANTOS </t>
  </si>
  <si>
    <t xml:space="preserve">DANIEL SILVA DE LIMA </t>
  </si>
  <si>
    <t xml:space="preserve">6315955 RENOV </t>
  </si>
  <si>
    <t xml:space="preserve">JOSE IZANILDO AMARO  DA SILVA </t>
  </si>
  <si>
    <t xml:space="preserve">10432592 RENOV </t>
  </si>
  <si>
    <t>FRANCISCO DE ASSIS SANTOS FLORENCIO</t>
  </si>
  <si>
    <t xml:space="preserve">ALESSANDRA AMARO DA SILVA </t>
  </si>
  <si>
    <t xml:space="preserve">GEOVANE LUCAS DA SILVA </t>
  </si>
  <si>
    <t xml:space="preserve">RAIMUNDO DE MELO DA SILVA </t>
  </si>
  <si>
    <t>ERIVAN CUNHA MACEDO</t>
  </si>
  <si>
    <t xml:space="preserve">6333885 RENOV </t>
  </si>
  <si>
    <t xml:space="preserve">RAYSSA </t>
  </si>
  <si>
    <t xml:space="preserve">ADAILMA FERREIRA DA SILVA </t>
  </si>
  <si>
    <t>ADELIANE DE ARAUJO RIBEIRO</t>
  </si>
  <si>
    <t>BIZ 125 EX</t>
  </si>
  <si>
    <t xml:space="preserve">DIEGO OLIVEIRA DA SILVA </t>
  </si>
  <si>
    <t xml:space="preserve">ANTONIA SALVIANO TRAJANO DA SILVA </t>
  </si>
  <si>
    <t xml:space="preserve">KEILA CAROLINE SANTOS SILVA </t>
  </si>
  <si>
    <t xml:space="preserve">JOSE CARLOS DA SILVA OLIVEIRA </t>
  </si>
  <si>
    <t xml:space="preserve">6336662 RENOV </t>
  </si>
  <si>
    <t xml:space="preserve">UBIRAJARA SILVA DOS SANTOS </t>
  </si>
  <si>
    <t>CG 160  FAN</t>
  </si>
  <si>
    <t>6342706 RENOV</t>
  </si>
  <si>
    <t xml:space="preserve">JOSE RIBEIRO DOS SANTOS </t>
  </si>
  <si>
    <t>DONATO PEREIRA DE MACEDO</t>
  </si>
  <si>
    <t xml:space="preserve">NXR 160 BROS ABS </t>
  </si>
  <si>
    <t>JHONATA DA SILVA FELICIANO</t>
  </si>
  <si>
    <t xml:space="preserve">JOSE FERNANDES DOS SANTOS </t>
  </si>
  <si>
    <t xml:space="preserve">CARLOS EDUARDO GRANJEIRO DA SILVA </t>
  </si>
  <si>
    <t xml:space="preserve">ANDRESSA DA CUNHA SOARES </t>
  </si>
  <si>
    <t xml:space="preserve">WEVILYN DE NSOUZA BARBOSA </t>
  </si>
  <si>
    <t>JONY</t>
  </si>
  <si>
    <t xml:space="preserve">GERALDO BATISTA DA SILVA </t>
  </si>
  <si>
    <t xml:space="preserve">JOSE BATISTA DE LIMA </t>
  </si>
  <si>
    <t xml:space="preserve">IVONETE MACARIO DA SILVA </t>
  </si>
  <si>
    <t xml:space="preserve">GISELE BARBOSA DA SILVA </t>
  </si>
  <si>
    <t xml:space="preserve">DIANA QUEIROZ DA SILVA </t>
  </si>
  <si>
    <t xml:space="preserve">JAILTON DA SILVA DIAS </t>
  </si>
  <si>
    <t xml:space="preserve">MARIA CAROLINA MARCOLINO DE ARAUJO SILVA </t>
  </si>
  <si>
    <t xml:space="preserve">RONIELSON PEREIRA DA COSTA </t>
  </si>
  <si>
    <t xml:space="preserve">PAULO CESAR DO NASCIMENTO </t>
  </si>
  <si>
    <t xml:space="preserve">JOAO LUCAS </t>
  </si>
  <si>
    <t xml:space="preserve">MAKXUEL ALEXANDRE MOREIRA </t>
  </si>
  <si>
    <t xml:space="preserve">ATHILSON HERBET GOMES SANTOS </t>
  </si>
  <si>
    <t xml:space="preserve">VALDECLECIA DE ASSIS  DO VALE SANTOS </t>
  </si>
  <si>
    <t xml:space="preserve">JOSE SANTIAGO DA SILVA SENA </t>
  </si>
  <si>
    <t xml:space="preserve">XRE 300 ADV SAHARA </t>
  </si>
  <si>
    <t xml:space="preserve">ALEX ALVES DA COSTA </t>
  </si>
  <si>
    <t>PAULO ROBERTO</t>
  </si>
  <si>
    <t xml:space="preserve">JOSE TITO DA SILVA </t>
  </si>
  <si>
    <t xml:space="preserve">JOALYSON DINIZ DANTAS DE PONTES </t>
  </si>
  <si>
    <t xml:space="preserve">JACILENE DELFINO DA SILVA </t>
  </si>
  <si>
    <t>SEGUROS FECHADOS -FEVEREIRO -  2026 suelane</t>
  </si>
  <si>
    <t>6303364- RENOV</t>
  </si>
  <si>
    <t>SEGUROS FECHADOS -MARÇO -  2026</t>
  </si>
  <si>
    <t>CLEYDIANNY CRISTINA DA SILVA AZEVEDO</t>
  </si>
  <si>
    <t>POP 110 I</t>
  </si>
  <si>
    <t>ARIOSVALDO FERNANDES ARAUJO</t>
  </si>
  <si>
    <t>SEVERINO DOS RAMOS DE S XAVIER</t>
  </si>
  <si>
    <t xml:space="preserve">ANDREZA MOREIRA DE ALMEIDA SANTOS </t>
  </si>
  <si>
    <t>BIZ 125 ES</t>
  </si>
  <si>
    <t xml:space="preserve">MARIA DA VITORIA SILVA </t>
  </si>
  <si>
    <t>ELITE 125</t>
  </si>
  <si>
    <t xml:space="preserve">JOELMA </t>
  </si>
  <si>
    <t xml:space="preserve">MARCOS ANTONIO DA SILVA VIANA </t>
  </si>
  <si>
    <t xml:space="preserve">ILANA BENERIA RIBEIRO DE SOUSA </t>
  </si>
  <si>
    <t xml:space="preserve">ALISSON SOARES DA SILVA </t>
  </si>
  <si>
    <t>XRE 300 SAHARA RALLY</t>
  </si>
  <si>
    <t xml:space="preserve">6352649 RENOV </t>
  </si>
  <si>
    <t xml:space="preserve">RAFAEL BATISTA FREIRE </t>
  </si>
  <si>
    <t>JOSE FRANCISCO DAS NEVES</t>
  </si>
  <si>
    <t xml:space="preserve">LEANDRO DA COSTA VIEIRA </t>
  </si>
  <si>
    <t xml:space="preserve">SEGINALDO DOS SANTOS </t>
  </si>
  <si>
    <t>MARIA GORETE ALEXANDRE DE A BRITO</t>
  </si>
  <si>
    <t>GEINIO</t>
  </si>
  <si>
    <t xml:space="preserve">JOSELI DIAS DA SILVA </t>
  </si>
  <si>
    <t>6354212 RENOV</t>
  </si>
  <si>
    <t>6353466 RENOV</t>
  </si>
  <si>
    <t xml:space="preserve">FABRICIA SANTINO DE FARIAS </t>
  </si>
  <si>
    <t>ERICKSON SILVA DOS SANTOS</t>
  </si>
  <si>
    <t>CINTIA RAFAELA NUNES DE ARAUJO</t>
  </si>
  <si>
    <t xml:space="preserve">6357582 RENOV </t>
  </si>
  <si>
    <t xml:space="preserve">ANTONIO MARCOS CAMILO BEZERRA </t>
  </si>
  <si>
    <t xml:space="preserve">6359374 RENOV </t>
  </si>
  <si>
    <t xml:space="preserve">FELIPE RAMO DA SILVA </t>
  </si>
  <si>
    <t xml:space="preserve">6359692 RENOV </t>
  </si>
  <si>
    <t xml:space="preserve">CHARLES LAZARO FELIX </t>
  </si>
  <si>
    <t xml:space="preserve">VANDILSON JERONIMO DA COSTA </t>
  </si>
  <si>
    <t xml:space="preserve">DANIEL VICENTE DE SOUZA </t>
  </si>
  <si>
    <t xml:space="preserve">VIVIANY ALEXANDRE SILVA </t>
  </si>
  <si>
    <t xml:space="preserve">6363133 RENOV </t>
  </si>
  <si>
    <t xml:space="preserve">JOSE CALIXTO DOS SANTOS JUNIOR </t>
  </si>
  <si>
    <t xml:space="preserve">CB 650 R </t>
  </si>
  <si>
    <t xml:space="preserve">6363677 RENOV </t>
  </si>
  <si>
    <t xml:space="preserve">DIVANILDO SANTOS COSTA </t>
  </si>
  <si>
    <t>CLAUDIANO PEREIRA DA CUNHA</t>
  </si>
  <si>
    <t xml:space="preserve">JOSE SILVA </t>
  </si>
  <si>
    <t>ROBERTO MEDEI</t>
  </si>
  <si>
    <t xml:space="preserve">EDGLEY LIRA DEN FARIAS </t>
  </si>
  <si>
    <t xml:space="preserve">FRANCIMARCO DOS SANTOS SILVA </t>
  </si>
  <si>
    <t>JOAO PAULO DE SOUZA RODRIGUES N</t>
  </si>
  <si>
    <t xml:space="preserve">ANDRE </t>
  </si>
  <si>
    <t xml:space="preserve">ERIONALDO ANTONIO DA SILVA JUNIOR </t>
  </si>
  <si>
    <t>MIRIAN DE MORAIS CAMILO</t>
  </si>
  <si>
    <t xml:space="preserve">6365243 RENOV </t>
  </si>
  <si>
    <t xml:space="preserve">JOSE DA SILVA COSTA </t>
  </si>
  <si>
    <t xml:space="preserve">MARIA DE FATIMA SOUZA DA SILVA </t>
  </si>
  <si>
    <t>JOAO VICTOR MARQUES DE SOUZA</t>
  </si>
  <si>
    <t xml:space="preserve">JANIEL DE AZEVEDO SOARES </t>
  </si>
  <si>
    <t>CG 160 TITAN</t>
  </si>
  <si>
    <t>6369169 RENOV</t>
  </si>
  <si>
    <t xml:space="preserve">JOSE ADAILTON SANTOS DE AGUIAR </t>
  </si>
  <si>
    <t>6360371 RENOV</t>
  </si>
  <si>
    <t xml:space="preserve">MAYANE FABRICIA DE SOUSA </t>
  </si>
  <si>
    <t>6338247 RENOV</t>
  </si>
  <si>
    <t>LUANA PIRANGY VITORIO</t>
  </si>
  <si>
    <t>6369786 RENOV</t>
  </si>
  <si>
    <t xml:space="preserve">ANDRE CMILO LELIS </t>
  </si>
  <si>
    <t>6372768 RENOV</t>
  </si>
  <si>
    <t xml:space="preserve">JOSEMAR PEQUENO DA SILVA </t>
  </si>
  <si>
    <t xml:space="preserve">6372117 RENOV </t>
  </si>
  <si>
    <t xml:space="preserve">JEANNY RAYARA DOS SANTOS MARTINS </t>
  </si>
  <si>
    <t xml:space="preserve">LUCIANA DA SILVA PEREIRA MATHIAS </t>
  </si>
  <si>
    <t>ELIANE ROSENO</t>
  </si>
  <si>
    <t>MARCOS ANTONIO NASCIMENTO</t>
  </si>
  <si>
    <t xml:space="preserve">TALES DE ARAUJO ROCHA </t>
  </si>
  <si>
    <t xml:space="preserve">MARIA JOSE DA  SILVA </t>
  </si>
  <si>
    <t xml:space="preserve">RAFAEL COSTA SANTOS </t>
  </si>
  <si>
    <t xml:space="preserve">JOSE ELDO CONSTANTINO RODRIGUES </t>
  </si>
  <si>
    <t>ANDREZA DANTAS DO NASCIMENTO</t>
  </si>
  <si>
    <t>ANTONIO DA SILVA AUGUSTO</t>
  </si>
  <si>
    <t xml:space="preserve">ROSANGELA ALVES FARIAS </t>
  </si>
  <si>
    <t xml:space="preserve">ADENILSON SILVA GONCALVES </t>
  </si>
  <si>
    <t xml:space="preserve">MARCELO BATISTA DA SILVA </t>
  </si>
  <si>
    <t>MARIA JOSE DA COSTA DO NASCIMENTO</t>
  </si>
  <si>
    <t xml:space="preserve">JOSE DUARDO DOS SANTOS ALVES </t>
  </si>
  <si>
    <t xml:space="preserve">ANTONIO PEREIRA DOS SANTOS </t>
  </si>
  <si>
    <t>NXR 160 BROS ESDD</t>
  </si>
  <si>
    <t xml:space="preserve">6375309 RENOV </t>
  </si>
  <si>
    <t xml:space="preserve">LAELSON FERNANDES DA SILVA </t>
  </si>
  <si>
    <t>WALFREDO ALVES DA ROCHA NETO</t>
  </si>
  <si>
    <t>EDUARDO DA SILVA TAVARES</t>
  </si>
  <si>
    <t xml:space="preserve">JOSE AUGUSTO DE ALMEIDA </t>
  </si>
  <si>
    <t xml:space="preserve">VITOR DE SOUZAALVES </t>
  </si>
  <si>
    <t xml:space="preserve">EMILLY YASMIM SILVA DANTAS </t>
  </si>
  <si>
    <t xml:space="preserve">JOSE ANCHIETA DOS SANTOS </t>
  </si>
  <si>
    <t xml:space="preserve">MARIA DAS DORE DE JESUS </t>
  </si>
  <si>
    <t>DAMIANA SOARES JERONIMO</t>
  </si>
  <si>
    <t xml:space="preserve">LEILTON SILVA DE OLIVEIRA </t>
  </si>
  <si>
    <t xml:space="preserve">MANOEL DAMAZIO DOS SANTOS </t>
  </si>
  <si>
    <t>KARINA SANTOS DE OLIVEIRA GUEDES</t>
  </si>
  <si>
    <t>HELENO SILVA PEREIRA JUNIOR</t>
  </si>
  <si>
    <t>XRE 190 ADVENTURE</t>
  </si>
  <si>
    <t>HELENA DE LIMA RIBEIRO</t>
  </si>
  <si>
    <t xml:space="preserve">ROSIMERE FERREIRA </t>
  </si>
  <si>
    <t xml:space="preserve">ELIANE MARIA BATISTA DA SILVA </t>
  </si>
  <si>
    <t xml:space="preserve">LEANDRO FIRMINO DOS SANTOS </t>
  </si>
  <si>
    <t xml:space="preserve">NAPOLEAO FERREIRA GOMES </t>
  </si>
  <si>
    <t xml:space="preserve">HAMILTON FELIX DA CUNHA </t>
  </si>
  <si>
    <t xml:space="preserve">JUSSIE UBALDO DA SILVA </t>
  </si>
  <si>
    <t xml:space="preserve">ELIANE BARBOSA DA SILVA </t>
  </si>
  <si>
    <t>MARIA ADRIANA PEREIRA DO NASCIMENTO</t>
  </si>
  <si>
    <t>JOSE CARLOS DE BRITO</t>
  </si>
  <si>
    <t xml:space="preserve">JOSEVAL BELARMINO DA SILVA </t>
  </si>
  <si>
    <t xml:space="preserve">DIEGO ESTEFHANY CARNEIRO P DANTAS </t>
  </si>
  <si>
    <t xml:space="preserve">ANTONIO GABRIEL FERREIRA DA SILVA </t>
  </si>
  <si>
    <t>EMILY THAIS  DE ALMEIDA BRASIL</t>
  </si>
  <si>
    <t xml:space="preserve">TIAGO GOMES CAVALCANTE </t>
  </si>
  <si>
    <t>MICHELLY SILVA SOBRAL</t>
  </si>
  <si>
    <t xml:space="preserve">KATIA MARIA DA SILVA </t>
  </si>
  <si>
    <t xml:space="preserve">SUIANE DA SILVA COSTA LIMA </t>
  </si>
  <si>
    <t xml:space="preserve">PAULO DO NASCIMENTO SILVA </t>
  </si>
  <si>
    <t xml:space="preserve">JANAINA PAULO DE LIMA </t>
  </si>
  <si>
    <t xml:space="preserve">6393822 RENOV </t>
  </si>
  <si>
    <t>JOAO MOREIRA DE ARAUJO</t>
  </si>
  <si>
    <t xml:space="preserve">6347072 RENOV </t>
  </si>
  <si>
    <t xml:space="preserve">CECILIA MAMEDES PEREIRA </t>
  </si>
  <si>
    <t xml:space="preserve">6392476 RENOV </t>
  </si>
  <si>
    <t xml:space="preserve">MICAELE MIGUEL GONCALVES </t>
  </si>
  <si>
    <t xml:space="preserve">6394461 RENOV </t>
  </si>
  <si>
    <t xml:space="preserve">IRANDIR OLIVEIRA PEREIRA </t>
  </si>
  <si>
    <t xml:space="preserve">VINICIO PEREIRA DIAS </t>
  </si>
  <si>
    <t>WESLLEY KAIO DE AZEVEDO COSTA</t>
  </si>
  <si>
    <t>6376336 RENOV</t>
  </si>
  <si>
    <t xml:space="preserve">MARCELO CONSTANTINO DA SILVA </t>
  </si>
  <si>
    <t xml:space="preserve">6396301 RENOV </t>
  </si>
  <si>
    <t xml:space="preserve">EDVALDO BARBOSA DA SILVA </t>
  </si>
  <si>
    <t>XRE 90</t>
  </si>
  <si>
    <t xml:space="preserve">JOAO PEREIRA DA SILVA </t>
  </si>
  <si>
    <t>EDMILSO THIAGO DE SENA EMIDIO</t>
  </si>
  <si>
    <t xml:space="preserve">MARCELO AUGUSTO DE SOUZA SANTOS </t>
  </si>
  <si>
    <t xml:space="preserve">BRUNO CARDOSO DA COSTA </t>
  </si>
  <si>
    <t xml:space="preserve">GILLIARD MOUSINHO DOS SANTOS SILVA </t>
  </si>
  <si>
    <t xml:space="preserve">JOSIBERTO VIEIRA DE CARVALHO </t>
  </si>
  <si>
    <t>LAIS PEREIRA DE SOUZA</t>
  </si>
  <si>
    <t xml:space="preserve">JOSE CARLOS DE SOUSA </t>
  </si>
  <si>
    <t xml:space="preserve">EDILSON OLIVEIRA CELESTINO </t>
  </si>
  <si>
    <t xml:space="preserve">ANTONIO MOREIRA DA SILVA </t>
  </si>
  <si>
    <t>ROMILDO LUCENA TARGINO</t>
  </si>
  <si>
    <t>XR 300 TORNADO</t>
  </si>
  <si>
    <t>6404467 RENOV</t>
  </si>
  <si>
    <t xml:space="preserve">JOELIO CALIXTO DE OLIVEIRA </t>
  </si>
  <si>
    <t xml:space="preserve">JOSE MARCO CRUZ CONCALVES </t>
  </si>
  <si>
    <t>JOSE AEDSON FELIPE DA SILVA</t>
  </si>
  <si>
    <t>JOSE CARLOS PEREIRA SANTOS</t>
  </si>
  <si>
    <t>VIVIANE DE OLIVEIRA BELO</t>
  </si>
  <si>
    <t>ANA PAULA ALEXANDRE ARAUJO</t>
  </si>
  <si>
    <t xml:space="preserve">ISAIAS DO NASCIMENTO BATISTA </t>
  </si>
  <si>
    <t xml:space="preserve">6407543 RENOV </t>
  </si>
  <si>
    <t>TIAGO DE AZEVEDO TARGINO</t>
  </si>
  <si>
    <t xml:space="preserve">DANIELE ANDRADE DA SILVA </t>
  </si>
  <si>
    <t xml:space="preserve">ELZA DO NASCIMENTO </t>
  </si>
  <si>
    <t xml:space="preserve">ANA PAULA DA SILVA CRUZ </t>
  </si>
  <si>
    <t>VALDECI CARNEIRO FILHO</t>
  </si>
  <si>
    <t xml:space="preserve">VICTOR HUGO OLIVEIRA DE SOUZA </t>
  </si>
  <si>
    <t xml:space="preserve">MAURO CESAR PESSOA DA SILVA </t>
  </si>
  <si>
    <t xml:space="preserve">EDUARDO MATIAS FERREIRA </t>
  </si>
  <si>
    <t>MARIA AUXILIADORA MEDEIROS</t>
  </si>
  <si>
    <t xml:space="preserve">JOSE ANTONIO DE LUNA </t>
  </si>
  <si>
    <t xml:space="preserve">JOICE ALVES PEQUENO SANTOS </t>
  </si>
  <si>
    <t xml:space="preserve">DANIEL GONCALVES DOS SANTOS </t>
  </si>
  <si>
    <t>ANA CARLA GOMES BEZERRA ANDRADE</t>
  </si>
  <si>
    <t xml:space="preserve">TEREZINHA DOS SANTOS SILVA </t>
  </si>
  <si>
    <t xml:space="preserve">WELLINGTON FREITAS DA SILVA JUNIOR </t>
  </si>
  <si>
    <t>FRANCISCO RODRIGUES BARBOSA NETO</t>
  </si>
  <si>
    <t>WNADBERG ALVES DE SOUZA</t>
  </si>
  <si>
    <t>LUCAS NUNES DE MELO</t>
  </si>
  <si>
    <t>LUCAS DE OLIVEIRA BRITO</t>
  </si>
  <si>
    <t xml:space="preserve">ELIAS ALVES DOS REIS </t>
  </si>
  <si>
    <t>ARIOSVALDO VINICIUS GONC DE ARAUJO</t>
  </si>
  <si>
    <t xml:space="preserve">ADHYLSON SIDNEY DE OLIVEIRA DA S ALVES </t>
  </si>
  <si>
    <t xml:space="preserve">STEFANNY LUYSE ALBUQUERQUE REIS </t>
  </si>
  <si>
    <t xml:space="preserve">ROMILDO SILVA DOS SANTOS </t>
  </si>
  <si>
    <t xml:space="preserve">ISAIAS ALVES DA SILVA </t>
  </si>
  <si>
    <t xml:space="preserve">ANA BEATRIZ TRAJANO AIRES </t>
  </si>
  <si>
    <t xml:space="preserve">LUCIA JORGE DA SILVA </t>
  </si>
  <si>
    <t>JOAO HENRIQUE</t>
  </si>
  <si>
    <t xml:space="preserve">DAMIAO FRANCISCODE OLIVEIRA </t>
  </si>
  <si>
    <t xml:space="preserve">JUVENAL MACENA </t>
  </si>
  <si>
    <t xml:space="preserve">JOSE JOAO DA SILVA </t>
  </si>
  <si>
    <t>ELINALDA COSTA B DA SILVA AVELINO</t>
  </si>
  <si>
    <t>PEDRO HENRIQUE DE MELO SOUZA</t>
  </si>
  <si>
    <t xml:space="preserve">ANDERSON DA SILVA FERREIRA </t>
  </si>
  <si>
    <t>RIVANILDO FERNANDES DO NASCIMENTO</t>
  </si>
  <si>
    <t xml:space="preserve">JANIELSON RODRIGUES DOS SANTOS </t>
  </si>
  <si>
    <t xml:space="preserve">COSMO DA SILVA MEDEIROS </t>
  </si>
  <si>
    <t>JOSE SEVERINO DA SILVA NETO</t>
  </si>
  <si>
    <t>DANIEL DUARTE BENICIO</t>
  </si>
  <si>
    <t>BCARTAO</t>
  </si>
  <si>
    <t>EMANUEL VITOR PEREIRA DE SOUZA</t>
  </si>
  <si>
    <t xml:space="preserve">ALCIMAR PEDRO DOS SANTOS </t>
  </si>
  <si>
    <t>6416145 RENOV</t>
  </si>
  <si>
    <t xml:space="preserve">MARCELO DA SILVA FELIX </t>
  </si>
  <si>
    <t xml:space="preserve">6374320 RENOV </t>
  </si>
  <si>
    <t xml:space="preserve">JOAO VITOR CARDOSO PRAXEDES DA SILVA </t>
  </si>
  <si>
    <t>ADRIANO ARAUJO DO NASCIMENTO</t>
  </si>
  <si>
    <t xml:space="preserve">NX 500 </t>
  </si>
  <si>
    <t xml:space="preserve">MARIA DAS DORES PEREIRA DA SILVA </t>
  </si>
  <si>
    <t>WILLIAN DOS SANTOS ANTERO</t>
  </si>
  <si>
    <t>JOAO BATISTA ESEQUIEL AGUIAR</t>
  </si>
  <si>
    <t xml:space="preserve">SERGIO DA CUNHA SILVA </t>
  </si>
  <si>
    <t xml:space="preserve">ALANA VITORIA DA SILVA </t>
  </si>
  <si>
    <t xml:space="preserve">MARIA CICERA DE JESUS S CAVALCANTE </t>
  </si>
  <si>
    <t xml:space="preserve">MARIVALDO BARBOSA DA CUNHA </t>
  </si>
  <si>
    <t xml:space="preserve">DIEGO GOMES DA SILVA </t>
  </si>
  <si>
    <t>HENIA GABRIELA SOUZA CARDOSO</t>
  </si>
  <si>
    <t xml:space="preserve">RENATO MENDONÇA DA SILVA </t>
  </si>
  <si>
    <t xml:space="preserve">JOSE CARLOS FERREIRA DA SILVA </t>
  </si>
  <si>
    <t xml:space="preserve">MARIA DA LUZ SILVA </t>
  </si>
  <si>
    <t xml:space="preserve">EDINALDO BENTO DE ASSIS SOARES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</si>
</sst>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&quot;-R$&quot;* #,##0.00_-;_-&quot;R$&quot;* \-??_-;_-@_-"/>
    <numFmt numFmtId="165" formatCode="_-[$R$-416]\ * #,##0.00_-;\-[$R$-416]\ * #,##0.00_-;_-[$R$-416]\ * &quot;-&quot;??_-;_-@_-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146EAA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sz val="10"/>
      <color rgb="FFFF0000"/>
      <name val="Calibri"/>
      <family val="2"/>
      <scheme val="minor"/>
    </font>
    <font>
      <sz val="11"/>
      <name val="Calibri"/>
      <charset val="134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7E4BD"/>
      </patternFill>
    </fill>
    <fill>
      <patternFill patternType="solid">
        <fgColor theme="0" tint="-0.249977111117893"/>
        <bgColor rgb="FFD7E4BD"/>
      </patternFill>
    </fill>
    <fill>
      <patternFill patternType="solid">
        <fgColor theme="0"/>
        <bgColor rgb="FFDCE6F2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 tint="-0.249977111117893"/>
        <bgColor rgb="FFDCE6F2"/>
      </patternFill>
    </fill>
    <fill>
      <patternFill patternType="solid">
        <fgColor theme="2" tint="-9.9978637043366805E-2"/>
        <bgColor rgb="FFFFFFCC"/>
      </patternFill>
    </fill>
    <fill>
      <patternFill patternType="solid">
        <fgColor theme="2" tint="-9.9978637043366805E-2"/>
        <bgColor rgb="FFDCE6F2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CE6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rgb="FFDCE6F2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">
    <xf numFmtId="0" fontId="0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8">
    <xf numFmtId="0" fontId="0" fillId="0" borderId="0" xfId="0"/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1" fontId="9" fillId="3" borderId="6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" fontId="10" fillId="0" borderId="6" xfId="4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" fontId="10" fillId="0" borderId="6" xfId="4" applyNumberFormat="1" applyFont="1" applyBorder="1" applyAlignment="1">
      <alignment horizontal="center" vertical="top"/>
    </xf>
    <xf numFmtId="1" fontId="12" fillId="0" borderId="6" xfId="5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" fontId="13" fillId="2" borderId="6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1" fontId="13" fillId="6" borderId="6" xfId="0" applyNumberFormat="1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1" fontId="13" fillId="5" borderId="6" xfId="0" applyNumberFormat="1" applyFont="1" applyFill="1" applyBorder="1" applyAlignment="1">
      <alignment horizontal="center" vertical="center"/>
    </xf>
    <xf numFmtId="1" fontId="13" fillId="6" borderId="6" xfId="0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5" fillId="6" borderId="6" xfId="0" applyFont="1" applyFill="1" applyBorder="1"/>
    <xf numFmtId="0" fontId="16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0" fontId="17" fillId="2" borderId="6" xfId="0" applyFont="1" applyFill="1" applyBorder="1"/>
    <xf numFmtId="1" fontId="11" fillId="2" borderId="6" xfId="4" applyNumberFormat="1" applyFont="1" applyFill="1" applyBorder="1" applyAlignment="1">
      <alignment horizontal="center"/>
    </xf>
    <xf numFmtId="1" fontId="10" fillId="2" borderId="6" xfId="4" applyNumberFormat="1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center"/>
    </xf>
    <xf numFmtId="0" fontId="13" fillId="5" borderId="6" xfId="0" applyFont="1" applyFill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1" fontId="13" fillId="0" borderId="0" xfId="4" applyNumberFormat="1" applyFont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1" fontId="13" fillId="6" borderId="6" xfId="4" applyNumberFormat="1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1" fontId="13" fillId="6" borderId="6" xfId="6" applyNumberFormat="1" applyFont="1" applyFill="1" applyBorder="1" applyAlignment="1">
      <alignment horizontal="center" vertical="center"/>
    </xf>
    <xf numFmtId="1" fontId="19" fillId="2" borderId="6" xfId="0" applyNumberFormat="1" applyFont="1" applyFill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/>
    </xf>
    <xf numFmtId="0" fontId="13" fillId="6" borderId="6" xfId="6" applyNumberFormat="1" applyFont="1" applyFill="1" applyBorder="1" applyAlignment="1">
      <alignment horizontal="center" vertical="center"/>
    </xf>
    <xf numFmtId="1" fontId="13" fillId="6" borderId="6" xfId="5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 vertical="center"/>
    </xf>
    <xf numFmtId="44" fontId="0" fillId="6" borderId="0" xfId="5" applyFont="1" applyFill="1" applyBorder="1" applyAlignment="1" applyProtection="1"/>
    <xf numFmtId="0" fontId="0" fillId="6" borderId="0" xfId="0" applyFill="1"/>
    <xf numFmtId="1" fontId="0" fillId="6" borderId="0" xfId="0" applyNumberFormat="1" applyFill="1"/>
    <xf numFmtId="0" fontId="20" fillId="6" borderId="6" xfId="0" applyFont="1" applyFill="1" applyBorder="1" applyAlignment="1">
      <alignment horizontal="center"/>
    </xf>
    <xf numFmtId="164" fontId="9" fillId="6" borderId="6" xfId="0" applyNumberFormat="1" applyFont="1" applyFill="1" applyBorder="1"/>
    <xf numFmtId="164" fontId="9" fillId="6" borderId="0" xfId="0" applyNumberFormat="1" applyFont="1" applyFill="1"/>
    <xf numFmtId="0" fontId="5" fillId="5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44" fontId="5" fillId="0" borderId="6" xfId="0" applyNumberFormat="1" applyFont="1" applyBorder="1"/>
    <xf numFmtId="44" fontId="5" fillId="7" borderId="6" xfId="5" applyFont="1" applyFill="1" applyBorder="1" applyAlignment="1" applyProtection="1">
      <alignment horizontal="center" vertical="center"/>
    </xf>
    <xf numFmtId="44" fontId="5" fillId="5" borderId="6" xfId="5" applyFont="1" applyFill="1" applyBorder="1" applyAlignment="1" applyProtection="1">
      <alignment horizontal="center" vertical="center"/>
    </xf>
    <xf numFmtId="44" fontId="5" fillId="8" borderId="6" xfId="5" applyFont="1" applyFill="1" applyBorder="1" applyAlignment="1" applyProtection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4" fontId="5" fillId="6" borderId="6" xfId="5" applyFont="1" applyFill="1" applyBorder="1" applyAlignment="1" applyProtection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165" fontId="5" fillId="0" borderId="0" xfId="0" applyNumberFormat="1" applyFont="1"/>
    <xf numFmtId="44" fontId="5" fillId="0" borderId="0" xfId="0" applyNumberFormat="1" applyFont="1"/>
    <xf numFmtId="44" fontId="5" fillId="2" borderId="6" xfId="0" applyNumberFormat="1" applyFont="1" applyFill="1" applyBorder="1"/>
    <xf numFmtId="44" fontId="5" fillId="9" borderId="6" xfId="5" applyFont="1" applyFill="1" applyBorder="1" applyAlignment="1" applyProtection="1">
      <alignment horizontal="center" vertical="center"/>
    </xf>
    <xf numFmtId="165" fontId="5" fillId="2" borderId="3" xfId="5" applyNumberFormat="1" applyFont="1" applyFill="1" applyBorder="1"/>
    <xf numFmtId="0" fontId="5" fillId="2" borderId="6" xfId="0" applyFont="1" applyFill="1" applyBorder="1"/>
    <xf numFmtId="44" fontId="5" fillId="2" borderId="3" xfId="5" applyFont="1" applyFill="1" applyBorder="1"/>
    <xf numFmtId="0" fontId="5" fillId="6" borderId="6" xfId="0" applyFont="1" applyFill="1" applyBorder="1" applyAlignment="1">
      <alignment horizontal="center"/>
    </xf>
    <xf numFmtId="44" fontId="5" fillId="2" borderId="8" xfId="5" applyFont="1" applyFill="1" applyBorder="1"/>
    <xf numFmtId="44" fontId="5" fillId="10" borderId="6" xfId="5" applyFont="1" applyFill="1" applyBorder="1" applyAlignment="1" applyProtection="1">
      <alignment horizontal="center" vertical="center"/>
    </xf>
    <xf numFmtId="0" fontId="5" fillId="5" borderId="6" xfId="0" applyFont="1" applyFill="1" applyBorder="1" applyAlignment="1">
      <alignment horizontal="center"/>
    </xf>
    <xf numFmtId="164" fontId="5" fillId="8" borderId="6" xfId="0" applyNumberFormat="1" applyFont="1" applyFill="1" applyBorder="1" applyAlignment="1">
      <alignment horizontal="center" vertical="center"/>
    </xf>
    <xf numFmtId="44" fontId="5" fillId="6" borderId="3" xfId="5" applyFont="1" applyFill="1" applyBorder="1" applyAlignment="1" applyProtection="1">
      <alignment horizontal="center" vertical="center"/>
    </xf>
    <xf numFmtId="0" fontId="5" fillId="5" borderId="6" xfId="0" applyFont="1" applyFill="1" applyBorder="1"/>
    <xf numFmtId="44" fontId="5" fillId="5" borderId="3" xfId="5" applyFont="1" applyFill="1" applyBorder="1" applyAlignment="1" applyProtection="1">
      <alignment horizontal="center" vertical="center"/>
    </xf>
    <xf numFmtId="0" fontId="5" fillId="6" borderId="6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164" fontId="5" fillId="11" borderId="6" xfId="0" applyNumberFormat="1" applyFont="1" applyFill="1" applyBorder="1" applyAlignment="1">
      <alignment horizontal="center" vertical="center"/>
    </xf>
    <xf numFmtId="44" fontId="5" fillId="11" borderId="6" xfId="5" applyFont="1" applyFill="1" applyBorder="1" applyAlignment="1" applyProtection="1">
      <alignment horizontal="center" vertical="center"/>
    </xf>
    <xf numFmtId="44" fontId="5" fillId="12" borderId="6" xfId="5" applyFont="1" applyFill="1" applyBorder="1" applyAlignment="1" applyProtection="1">
      <alignment horizontal="center" vertical="center"/>
    </xf>
    <xf numFmtId="0" fontId="5" fillId="6" borderId="0" xfId="0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44" fontId="5" fillId="6" borderId="0" xfId="5" applyFont="1" applyFill="1" applyBorder="1" applyAlignment="1" applyProtection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0" fontId="21" fillId="3" borderId="4" xfId="0" applyFont="1" applyFill="1" applyBorder="1" applyAlignment="1">
      <alignment vertical="center"/>
    </xf>
    <xf numFmtId="1" fontId="21" fillId="3" borderId="6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1" fontId="11" fillId="13" borderId="6" xfId="4" applyNumberFormat="1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44" fontId="4" fillId="0" borderId="6" xfId="0" applyNumberFormat="1" applyFont="1" applyBorder="1"/>
    <xf numFmtId="44" fontId="4" fillId="7" borderId="6" xfId="5" applyFont="1" applyFill="1" applyBorder="1" applyAlignment="1" applyProtection="1">
      <alignment horizontal="center" vertical="center"/>
    </xf>
    <xf numFmtId="44" fontId="4" fillId="5" borderId="6" xfId="5" applyFont="1" applyFill="1" applyBorder="1" applyAlignment="1" applyProtection="1">
      <alignment horizontal="center" vertical="center"/>
    </xf>
    <xf numFmtId="44" fontId="4" fillId="8" borderId="6" xfId="5" applyFont="1" applyFill="1" applyBorder="1" applyAlignment="1" applyProtection="1">
      <alignment horizontal="center" vertical="center"/>
    </xf>
    <xf numFmtId="164" fontId="4" fillId="7" borderId="6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" fontId="11" fillId="0" borderId="6" xfId="4" applyNumberFormat="1" applyFont="1" applyBorder="1" applyAlignment="1">
      <alignment horizontal="center" vertical="top"/>
    </xf>
    <xf numFmtId="44" fontId="4" fillId="6" borderId="6" xfId="5" applyFont="1" applyFill="1" applyBorder="1" applyAlignment="1" applyProtection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vertical="center"/>
    </xf>
    <xf numFmtId="1" fontId="11" fillId="0" borderId="6" xfId="5" applyNumberFormat="1" applyFont="1" applyBorder="1" applyAlignment="1">
      <alignment horizontal="center"/>
    </xf>
    <xf numFmtId="165" fontId="4" fillId="0" borderId="0" xfId="0" applyNumberFormat="1" applyFont="1"/>
    <xf numFmtId="44" fontId="4" fillId="0" borderId="0" xfId="0" applyNumberFormat="1" applyFont="1"/>
    <xf numFmtId="1" fontId="14" fillId="2" borderId="6" xfId="0" applyNumberFormat="1" applyFont="1" applyFill="1" applyBorder="1" applyAlignment="1">
      <alignment horizontal="center"/>
    </xf>
    <xf numFmtId="44" fontId="4" fillId="2" borderId="6" xfId="0" applyNumberFormat="1" applyFont="1" applyFill="1" applyBorder="1"/>
    <xf numFmtId="44" fontId="4" fillId="9" borderId="6" xfId="5" applyFont="1" applyFill="1" applyBorder="1" applyAlignment="1" applyProtection="1">
      <alignment horizontal="center" vertical="center"/>
    </xf>
    <xf numFmtId="1" fontId="14" fillId="6" borderId="6" xfId="0" applyNumberFormat="1" applyFont="1" applyFill="1" applyBorder="1" applyAlignment="1">
      <alignment horizontal="center"/>
    </xf>
    <xf numFmtId="1" fontId="14" fillId="5" borderId="6" xfId="0" applyNumberFormat="1" applyFont="1" applyFill="1" applyBorder="1" applyAlignment="1">
      <alignment horizontal="center" vertical="center"/>
    </xf>
    <xf numFmtId="165" fontId="4" fillId="2" borderId="3" xfId="5" applyNumberFormat="1" applyFont="1" applyFill="1" applyBorder="1"/>
    <xf numFmtId="0" fontId="22" fillId="2" borderId="6" xfId="0" applyFont="1" applyFill="1" applyBorder="1"/>
    <xf numFmtId="1" fontId="14" fillId="6" borderId="6" xfId="0" applyNumberFormat="1" applyFont="1" applyFill="1" applyBorder="1" applyAlignment="1">
      <alignment horizontal="center" vertical="center"/>
    </xf>
    <xf numFmtId="44" fontId="4" fillId="2" borderId="3" xfId="5" applyFont="1" applyFill="1" applyBorder="1"/>
    <xf numFmtId="0" fontId="4" fillId="6" borderId="6" xfId="0" applyFont="1" applyFill="1" applyBorder="1" applyAlignment="1">
      <alignment horizontal="center"/>
    </xf>
    <xf numFmtId="44" fontId="4" fillId="2" borderId="8" xfId="5" applyFont="1" applyFill="1" applyBorder="1"/>
    <xf numFmtId="44" fontId="4" fillId="10" borderId="6" xfId="5" applyFont="1" applyFill="1" applyBorder="1" applyAlignment="1" applyProtection="1">
      <alignment horizontal="center" vertical="center"/>
    </xf>
    <xf numFmtId="0" fontId="4" fillId="5" borderId="6" xfId="0" applyFont="1" applyFill="1" applyBorder="1" applyAlignment="1">
      <alignment horizontal="center"/>
    </xf>
    <xf numFmtId="164" fontId="4" fillId="8" borderId="6" xfId="0" applyNumberFormat="1" applyFont="1" applyFill="1" applyBorder="1" applyAlignment="1">
      <alignment horizontal="center" vertical="center"/>
    </xf>
    <xf numFmtId="0" fontId="22" fillId="6" borderId="6" xfId="0" applyFont="1" applyFill="1" applyBorder="1"/>
    <xf numFmtId="0" fontId="11" fillId="13" borderId="6" xfId="0" applyFont="1" applyFill="1" applyBorder="1" applyAlignment="1">
      <alignment horizontal="center"/>
    </xf>
    <xf numFmtId="44" fontId="4" fillId="6" borderId="3" xfId="5" applyFont="1" applyFill="1" applyBorder="1" applyAlignment="1" applyProtection="1">
      <alignment horizontal="center" vertical="center"/>
    </xf>
    <xf numFmtId="0" fontId="24" fillId="2" borderId="6" xfId="0" applyFont="1" applyFill="1" applyBorder="1"/>
    <xf numFmtId="0" fontId="22" fillId="5" borderId="6" xfId="0" applyFont="1" applyFill="1" applyBorder="1"/>
    <xf numFmtId="44" fontId="4" fillId="5" borderId="3" xfId="5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8" fillId="2" borderId="0" xfId="0" applyFont="1" applyFill="1"/>
    <xf numFmtId="0" fontId="11" fillId="13" borderId="0" xfId="0" applyFont="1" applyFill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3" fillId="13" borderId="6" xfId="0" applyFont="1" applyFill="1" applyBorder="1" applyAlignment="1">
      <alignment horizontal="center" vertical="center"/>
    </xf>
    <xf numFmtId="1" fontId="14" fillId="2" borderId="0" xfId="4" applyNumberFormat="1" applyFont="1" applyFill="1" applyAlignment="1">
      <alignment horizontal="center" vertical="center"/>
    </xf>
    <xf numFmtId="1" fontId="14" fillId="6" borderId="6" xfId="4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1" fontId="14" fillId="6" borderId="6" xfId="6" applyNumberFormat="1" applyFont="1" applyFill="1" applyBorder="1" applyAlignment="1">
      <alignment horizontal="center" vertical="center"/>
    </xf>
    <xf numFmtId="1" fontId="11" fillId="2" borderId="6" xfId="0" applyNumberFormat="1" applyFont="1" applyFill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/>
    </xf>
    <xf numFmtId="0" fontId="22" fillId="14" borderId="6" xfId="0" applyFont="1" applyFill="1" applyBorder="1" applyAlignment="1">
      <alignment vertical="center"/>
    </xf>
    <xf numFmtId="0" fontId="22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" fontId="22" fillId="6" borderId="0" xfId="0" applyNumberFormat="1" applyFont="1" applyFill="1" applyAlignment="1">
      <alignment horizontal="center" vertical="center"/>
    </xf>
    <xf numFmtId="44" fontId="4" fillId="6" borderId="0" xfId="5" applyFont="1" applyFill="1" applyBorder="1" applyAlignment="1" applyProtection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0" fontId="26" fillId="6" borderId="0" xfId="0" applyFont="1" applyFill="1"/>
    <xf numFmtId="1" fontId="26" fillId="6" borderId="0" xfId="0" applyNumberFormat="1" applyFont="1" applyFill="1"/>
    <xf numFmtId="0" fontId="26" fillId="0" borderId="0" xfId="0" applyFont="1"/>
    <xf numFmtId="0" fontId="14" fillId="6" borderId="6" xfId="9" applyNumberFormat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164" fontId="3" fillId="7" borderId="6" xfId="0" applyNumberFormat="1" applyFont="1" applyFill="1" applyBorder="1" applyAlignment="1">
      <alignment horizontal="center" vertical="center"/>
    </xf>
    <xf numFmtId="164" fontId="3" fillId="11" borderId="6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44" fontId="3" fillId="7" borderId="6" xfId="5" applyFont="1" applyFill="1" applyBorder="1" applyAlignment="1" applyProtection="1">
      <alignment horizontal="center" vertical="center"/>
    </xf>
    <xf numFmtId="44" fontId="3" fillId="8" borderId="6" xfId="5" applyFont="1" applyFill="1" applyBorder="1" applyAlignment="1" applyProtection="1">
      <alignment horizontal="center" vertical="center"/>
    </xf>
    <xf numFmtId="44" fontId="3" fillId="6" borderId="6" xfId="5" applyFont="1" applyFill="1" applyBorder="1" applyAlignment="1" applyProtection="1">
      <alignment horizontal="center" vertical="center"/>
    </xf>
    <xf numFmtId="44" fontId="3" fillId="11" borderId="6" xfId="5" applyFont="1" applyFill="1" applyBorder="1" applyAlignment="1" applyProtection="1">
      <alignment horizontal="center" vertical="center"/>
    </xf>
    <xf numFmtId="44" fontId="3" fillId="12" borderId="6" xfId="5" applyFont="1" applyFill="1" applyBorder="1" applyAlignment="1" applyProtection="1">
      <alignment horizontal="center" vertical="center"/>
    </xf>
    <xf numFmtId="1" fontId="14" fillId="6" borderId="6" xfId="5" applyNumberFormat="1" applyFont="1" applyFill="1" applyBorder="1" applyAlignment="1">
      <alignment horizontal="center" vertical="center"/>
    </xf>
    <xf numFmtId="44" fontId="3" fillId="6" borderId="0" xfId="5" applyFont="1" applyFill="1" applyBorder="1" applyAlignment="1" applyProtection="1">
      <alignment horizontal="center" vertical="center"/>
    </xf>
    <xf numFmtId="8" fontId="3" fillId="6" borderId="6" xfId="5" applyNumberFormat="1" applyFont="1" applyFill="1" applyBorder="1" applyAlignment="1" applyProtection="1">
      <alignment horizontal="center" vertical="center"/>
    </xf>
    <xf numFmtId="8" fontId="3" fillId="7" borderId="6" xfId="5" applyNumberFormat="1" applyFont="1" applyFill="1" applyBorder="1" applyAlignment="1" applyProtection="1">
      <alignment horizontal="center" vertical="center"/>
    </xf>
    <xf numFmtId="8" fontId="3" fillId="8" borderId="6" xfId="5" applyNumberFormat="1" applyFont="1" applyFill="1" applyBorder="1" applyAlignment="1" applyProtection="1">
      <alignment horizontal="center" vertical="center"/>
    </xf>
    <xf numFmtId="8" fontId="2" fillId="8" borderId="6" xfId="5" applyNumberFormat="1" applyFont="1" applyFill="1" applyBorder="1" applyAlignment="1" applyProtection="1">
      <alignment horizontal="center" vertical="center"/>
    </xf>
    <xf numFmtId="0" fontId="29" fillId="6" borderId="6" xfId="0" applyFont="1" applyFill="1" applyBorder="1" applyAlignment="1">
      <alignment vertical="center"/>
    </xf>
    <xf numFmtId="0" fontId="29" fillId="6" borderId="6" xfId="0" applyFont="1" applyFill="1" applyBorder="1" applyAlignment="1">
      <alignment horizontal="center" vertical="center"/>
    </xf>
    <xf numFmtId="1" fontId="30" fillId="6" borderId="6" xfId="0" applyNumberFormat="1" applyFont="1" applyFill="1" applyBorder="1" applyAlignment="1">
      <alignment horizontal="center" vertical="center"/>
    </xf>
    <xf numFmtId="0" fontId="30" fillId="14" borderId="6" xfId="0" applyFont="1" applyFill="1" applyBorder="1" applyAlignment="1">
      <alignment horizontal="center" vertical="center"/>
    </xf>
    <xf numFmtId="44" fontId="29" fillId="6" borderId="6" xfId="5" applyFont="1" applyFill="1" applyBorder="1" applyAlignment="1" applyProtection="1">
      <alignment horizontal="center" vertical="center"/>
    </xf>
    <xf numFmtId="44" fontId="29" fillId="7" borderId="6" xfId="5" applyFont="1" applyFill="1" applyBorder="1" applyAlignment="1" applyProtection="1">
      <alignment horizontal="center" vertical="center"/>
    </xf>
    <xf numFmtId="44" fontId="29" fillId="8" borderId="6" xfId="5" applyFont="1" applyFill="1" applyBorder="1" applyAlignment="1" applyProtection="1">
      <alignment horizontal="center" vertical="center"/>
    </xf>
    <xf numFmtId="0" fontId="29" fillId="6" borderId="6" xfId="0" applyFont="1" applyFill="1" applyBorder="1" applyAlignment="1">
      <alignment horizontal="center"/>
    </xf>
    <xf numFmtId="164" fontId="29" fillId="7" borderId="6" xfId="0" applyNumberFormat="1" applyFont="1" applyFill="1" applyBorder="1" applyAlignment="1">
      <alignment horizontal="center" vertical="center"/>
    </xf>
    <xf numFmtId="44" fontId="1" fillId="5" borderId="6" xfId="5" applyFont="1" applyFill="1" applyBorder="1" applyAlignment="1" applyProtection="1">
      <alignment horizontal="center" vertical="center"/>
    </xf>
    <xf numFmtId="44" fontId="1" fillId="8" borderId="6" xfId="5" applyFont="1" applyFill="1" applyBorder="1" applyAlignment="1" applyProtection="1">
      <alignment horizontal="center" vertical="center"/>
    </xf>
    <xf numFmtId="44" fontId="1" fillId="0" borderId="6" xfId="0" applyNumberFormat="1" applyFont="1" applyBorder="1"/>
    <xf numFmtId="44" fontId="1" fillId="7" borderId="6" xfId="5" applyFont="1" applyFill="1" applyBorder="1" applyAlignment="1" applyProtection="1">
      <alignment horizontal="center" vertical="center"/>
    </xf>
    <xf numFmtId="1" fontId="14" fillId="6" borderId="6" xfId="12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1" fillId="7" borderId="6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1" fillId="0" borderId="0" xfId="0" applyNumberFormat="1" applyFont="1"/>
    <xf numFmtId="0" fontId="1" fillId="5" borderId="6" xfId="0" applyFont="1" applyFill="1" applyBorder="1" applyAlignment="1">
      <alignment horizontal="center"/>
    </xf>
    <xf numFmtId="164" fontId="1" fillId="8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164" fontId="1" fillId="11" borderId="6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0" fillId="2" borderId="0" xfId="0" applyFill="1"/>
    <xf numFmtId="1" fontId="11" fillId="2" borderId="6" xfId="0" applyNumberFormat="1" applyFont="1" applyFill="1" applyBorder="1" applyAlignment="1">
      <alignment horizontal="center"/>
    </xf>
    <xf numFmtId="0" fontId="31" fillId="13" borderId="6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3" fillId="14" borderId="3" xfId="0" applyFont="1" applyFill="1" applyBorder="1" applyAlignment="1">
      <alignment horizontal="center"/>
    </xf>
    <xf numFmtId="0" fontId="13" fillId="15" borderId="6" xfId="0" applyFont="1" applyFill="1" applyBorder="1" applyAlignment="1">
      <alignment horizontal="center"/>
    </xf>
    <xf numFmtId="1" fontId="0" fillId="0" borderId="0" xfId="0" applyNumberFormat="1" applyAlignment="1">
      <alignment vertical="center"/>
    </xf>
    <xf numFmtId="1" fontId="11" fillId="2" borderId="6" xfId="4" applyNumberFormat="1" applyFont="1" applyFill="1" applyBorder="1" applyAlignment="1">
      <alignment horizontal="center" vertical="top"/>
    </xf>
    <xf numFmtId="44" fontId="1" fillId="6" borderId="6" xfId="5" applyFont="1" applyFill="1" applyBorder="1" applyAlignment="1" applyProtection="1">
      <alignment horizontal="center" vertical="center"/>
    </xf>
    <xf numFmtId="1" fontId="11" fillId="2" borderId="6" xfId="5" applyNumberFormat="1" applyFont="1" applyFill="1" applyBorder="1" applyAlignment="1">
      <alignment horizontal="center"/>
    </xf>
    <xf numFmtId="44" fontId="1" fillId="0" borderId="0" xfId="0" applyNumberFormat="1" applyFont="1"/>
    <xf numFmtId="44" fontId="1" fillId="2" borderId="6" xfId="0" applyNumberFormat="1" applyFont="1" applyFill="1" applyBorder="1"/>
    <xf numFmtId="44" fontId="1" fillId="9" borderId="6" xfId="5" applyFont="1" applyFill="1" applyBorder="1" applyAlignment="1" applyProtection="1">
      <alignment horizontal="center" vertical="center"/>
    </xf>
    <xf numFmtId="165" fontId="1" fillId="2" borderId="3" xfId="5" applyNumberFormat="1" applyFont="1" applyFill="1" applyBorder="1"/>
    <xf numFmtId="44" fontId="1" fillId="2" borderId="3" xfId="5" applyFont="1" applyFill="1" applyBorder="1"/>
    <xf numFmtId="44" fontId="1" fillId="2" borderId="8" xfId="5" applyFont="1" applyFill="1" applyBorder="1"/>
    <xf numFmtId="44" fontId="1" fillId="10" borderId="6" xfId="5" applyFont="1" applyFill="1" applyBorder="1" applyAlignment="1" applyProtection="1">
      <alignment horizontal="center" vertical="center"/>
    </xf>
    <xf numFmtId="44" fontId="1" fillId="6" borderId="3" xfId="5" applyFont="1" applyFill="1" applyBorder="1" applyAlignment="1" applyProtection="1">
      <alignment horizontal="center" vertical="center"/>
    </xf>
    <xf numFmtId="44" fontId="1" fillId="5" borderId="3" xfId="5" applyFont="1" applyFill="1" applyBorder="1" applyAlignment="1" applyProtection="1">
      <alignment horizontal="center" vertical="center"/>
    </xf>
    <xf numFmtId="44" fontId="1" fillId="11" borderId="6" xfId="5" applyFont="1" applyFill="1" applyBorder="1" applyAlignment="1" applyProtection="1">
      <alignment horizontal="center" vertical="center"/>
    </xf>
    <xf numFmtId="44" fontId="1" fillId="12" borderId="6" xfId="5" applyFont="1" applyFill="1" applyBorder="1" applyAlignment="1" applyProtection="1">
      <alignment horizontal="center" vertical="center"/>
    </xf>
    <xf numFmtId="44" fontId="1" fillId="6" borderId="0" xfId="5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</cellXfs>
  <cellStyles count="13">
    <cellStyle name="Moeda" xfId="5" builtinId="4"/>
    <cellStyle name="Moeda 2" xfId="1" xr:uid="{D103AEC2-435B-4307-AAA9-F1287CF2DE40}"/>
    <cellStyle name="Moeda 3" xfId="7" xr:uid="{5E8E6317-5A99-4179-BB2E-B7CDB9BC6B60}"/>
    <cellStyle name="Moeda 4" xfId="10" xr:uid="{29563288-BE8C-4011-9028-76F35E300A56}"/>
    <cellStyle name="Normal" xfId="0" builtinId="0"/>
    <cellStyle name="Porcentagem" xfId="6" builtinId="5"/>
    <cellStyle name="Porcentagem 2" xfId="3" xr:uid="{DC6F8B16-7149-4A7F-B302-9188A7985AD2}"/>
    <cellStyle name="Porcentagem 3" xfId="9" xr:uid="{5D438EE8-C167-46E6-B381-214B30C1CC7A}"/>
    <cellStyle name="Porcentagem 4" xfId="12" xr:uid="{62D0FC8C-C415-4672-A0E0-DAD2B1AF625A}"/>
    <cellStyle name="Vírgula" xfId="4" builtinId="3"/>
    <cellStyle name="Vírgula 2" xfId="2" xr:uid="{A3444F8B-7716-42FA-A152-690F24C0A62D}"/>
    <cellStyle name="Vírgula 3" xfId="8" xr:uid="{09A3C338-484E-4D94-B9C3-DD0D26AE5726}"/>
    <cellStyle name="Vírgula 4" xfId="11" xr:uid="{2FDD844D-8A5F-4CB7-96E8-3A88CAF67B44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F61AEC2-E43B-4908-85F0-A301C003DE6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A7AC67E-86A8-4777-B03D-DA0B0A85EEA4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6F48546-28B0-4FEF-9B1B-D64C401CCCD8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EBD421F8-11B4-47B1-8B8E-A597FF49A62D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244BCC4-8ACE-4CBE-A134-040255B099B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8AA46566-79D8-4EF5-8960-3B19796378E9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C10FC7E-587E-4CD4-9ECF-A5F77FA7ABA5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B4E036CF-2B52-48AB-A5E4-8759C259CE2C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EB65AC97-A8A4-482E-8434-EBADD6F85B2E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070C0B5-7744-4C47-A76C-472662E02D1B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78082DF9-AC8E-45DD-81D9-BB1F9A9D70B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3C2E6AF5-F62D-463F-9B11-AF228BF8F45D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D69FB8-F3EC-469F-BAB3-EA5585EAE2BA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85D98DB6-9937-42F5-A931-E300E6F083C3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485AB6A-1B88-4842-BA75-5DA8563A6F1D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F0646406-3CA4-4C9A-B0DB-9551165D9A7C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8FBF38D5-27D8-4DC3-9566-7FB7A2FC31CE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AFD2BFB2-5C54-4478-8897-69D116029273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00F7BFE-C703-4983-9B75-9A08C2DF82E0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FF8941D6-E7CD-4ACC-AFFA-7C4878BD1E77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3F82960-ED54-43F8-8D9A-3F9613DB0F7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41544F10-9FF7-40C2-8E8E-47F964086377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78BF6CA5-8ADD-472A-A5CE-06FAB079271A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C70437A5-12D6-447B-9B4C-48E5AF36221E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6B4DDF5-55B0-45C0-A7F3-6A7D004DF08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D2CA86F6-A435-43B0-A958-5A3DB0F55E1A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5B0A8D5-4163-4B47-A849-49E77E06E057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A19938ED-F612-4459-ACEF-C4ECD57A0CAA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20A3E188-E79A-484B-8C6C-1C186A7CE04C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CBA43DC0-5C46-489D-A38D-ECBBEEDB9C4E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043C3FF-E5BA-4F82-B65F-94DD61D24A8D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DB8C3938-3A2E-403C-BBCF-BB2393DA10C2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5D8EA58D-337B-4763-A97A-DA3B66607705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EF42A482-CA7C-4637-BD32-0130187F2FD5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8E1A0D9-4990-4C4B-9B18-7D5B1F0C2F16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30E5FC38-D273-4DEC-B4D4-8617B765D18D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C356A47-3553-4101-9B58-CD784434AE5A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30AD8D0D-66B8-445D-A70F-777C200EDA29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7F8FDA2-B73E-498E-9E0E-7C9BFAB58D55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E820C1E1-0D17-497A-B85D-DC3B4ACBF3F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355642E-75D6-434D-84FC-86298A49952C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60B2D5CD-9DE6-4C4D-AA23-44DF99F70F7E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E6A4A78-7958-4EA6-8F03-613E25BE4E23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16E7EED7-5E99-4F38-9FB2-621EF5EB05C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5E7AC363-6730-46A0-98E7-737923C2DECE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597C2BC4-5EDA-4E29-BD40-5EFB522870C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DFD5F740-522E-4D5F-8677-FF49C27F6D1A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E3DFD869-6339-465E-8692-38EFA4EE562D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F5F29479-450E-41A5-A1D3-E748C42ACC26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84BBB901-368B-4664-AB8A-E54670A7D29F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2797D2D-91A0-4716-BAA3-A219E2839F33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A4AC23A1-D8CD-40ED-A268-3CD2E2A96B02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3824A2EF-3992-4ABF-AF0C-7EC23E289071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AD82E493-B04C-45E3-9612-504419B3DA1E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1265CA31-360F-418E-9A5A-FA24D382DEAF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89A95D6D-932C-4A9B-9990-331DA10D4B84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AA6BDFB3-EF3F-4C2F-8AAC-3386DD5085C9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47CECD39-9BC5-4AA5-BBFA-337F159901C8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D71EAAB-7785-4743-835D-848EA88B8CF1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CB4B417E-3802-49E2-850A-7880C86959C7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418EF35D-FEAC-4FA6-9624-702539850552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460D6D1E-774D-4CA3-A6CC-A4AD3F2CF97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31E03789-B921-408B-81B4-4D4BFD480E37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31FE2496-B407-4CC2-9A07-BD16295219E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759C05AF-5593-4C05-98FF-820737D2C055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C7B82FE5-B393-4163-8069-CFD399BB3AE2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53FB2AC2-0481-48BC-936A-9B172BC7C06A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D22C4030-5979-4FA4-8795-D001FABD0F4C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EB801ECD-FFDE-438E-B8D5-242CDDC796FA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B5BA96D1-F33A-4A18-83EB-242CB5C4B561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7373BE92-CBA7-4621-8BB3-C0026B2DD51D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CAE1BD6C-0A66-4789-816C-E2E489F45C48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944B234B-914D-45C2-8BA7-27DF823B0E11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7C9C7581-84B8-486D-AC07-175DFBA0044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8F953F32-608E-4428-9C21-45FC9A35C874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B04DDD82-1F5F-4CFE-9E2E-017388630145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995DEE06-3C7D-4A8D-B9D4-A5B340E3DAF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999B3423-D5A9-4855-A23D-254BCB66247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BB80EB5E-0C8A-4705-B272-C9B8B0EC660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7C59ED1F-1796-4466-962F-B59DDDC4059A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8616CF8-6DF7-4D56-8792-187E1FEB9E61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943BD5C9-323C-43BD-9F76-07FFD04BCF95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4DF7D04D-608A-4740-BF85-16C8B83E00C7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255392CC-0D1E-4AF7-A4B7-CE544553464E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C9BE4856-0907-45F9-9AF7-9379D0100B99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5FDA89C6-3D18-4A4A-A7BC-B55153296E9D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5E0D9CFB-60A9-4CA4-8867-F481EA864175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B8855636-F71F-4B0A-9B3C-A2664BCBAF76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51226773-FB5D-4CBC-A46D-B2DF5F2199F3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F07F597C-F356-4C97-98ED-C1208A8E93AE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D32829F-5996-4399-BF8F-CDA168FE8627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86C84B57-8B4B-41D7-BBC7-92D33F437614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C69AD057-5E2E-4BF5-B4E6-6B7769CE4B81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DEC515DC-CE86-4952-958D-36F2A0395A97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E6D461C8-4411-4FB7-8CA1-5AB8572F207D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E50A496A-DE40-4BC1-93ED-B0F12F807FE7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E1CCC83-FB50-40CB-9B60-A773E11A95D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3C3DE803-2BC5-40EC-8F51-E6D82C956335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9451A1C8-A054-4448-B473-BAB27CAF9BCD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3DAEA739-96B4-41BE-8B7E-EE8887AB4D1B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7074355C-8B6B-476F-951D-84DC7527677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A90D4D59-AA32-4A1A-8408-3A5FABD202E2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CFE205A5-F445-4426-A086-DE121DC00474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F691542B-E482-4B39-B275-105ACFEFE9F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BC9CE7C1-5C7B-4D8B-A1DD-B07422217486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4456FF96-9822-47A3-951E-66C4E36AEDD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4877A572-7112-4A6E-A86C-0C7D3ED35950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09320448-B16F-4D3D-96F2-B4D6473990A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6423E686-C3C7-45D3-91A5-3CF6EC284D8B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9C81B8BE-0792-490B-99DC-564E379DD03C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9C65235F-452D-403B-86CC-5DA11B668AE5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96D89984-053A-4973-898E-C69B1CF30203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A558E89B-548B-44D2-A3A1-1CC0A907880C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AA63D19F-EFF2-495F-82E2-65FF556C07D2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16F7666B-DBC0-4CA8-BC2A-8ABF317A6AAD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8E05C645-0E18-482D-875B-239A739FB64D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42C32014-F1DF-433D-93D8-C6F12D847B00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41CCD9FC-25E8-4FF6-B90B-BEA819FCF6F5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271DD2EF-1D36-49D9-9DDB-3CA42972D49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43C3DF83-4C9B-4DD4-8582-EEF7D98D5056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F50A31D5-7118-4794-A37F-2AC7E28B9570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D82EA63E-73AF-4005-82C3-5FEB41222B0F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7C2B6460-7366-4DE4-9A43-D2F94643774B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6BAD1BB4-F44D-4341-9E0C-B9B3D4D6E853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85AE1614-0159-4C53-8636-4E6C3EB5B695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3917E2EA-C487-4E49-B9F8-B32F05FFEFAC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55384F1A-F4CC-41DA-8418-E7DAA6C9716F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FE71C695-3C23-4CC5-9E92-E6F4696DC648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7A975D8A-2562-4620-AFFA-E96A99D61180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E6F21A65-AD74-4D4E-92C8-87C92DA78EB1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5E422C21-DAF8-4132-9BC6-B9CFB09FF494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13091F96-BDA3-4839-A6B4-8BE045385DD4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7D2A2F05-568C-4D4B-996F-B36D9FC97C54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820680D1-4F05-411A-8B12-E3BE6E7A1D00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13B679A8-1884-409E-B9DC-7AF78B6A3206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2AE88E5D-7345-4906-9BF9-BEB11076A30F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F2524A66-F143-43BE-AC5F-EE01BF48200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C757B000-0545-4F38-A539-0365B1EB7A1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D1E8F2A4-0B17-4489-96F6-2C732AB4225E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A5DE6174-B508-4DC7-A380-C410EDE8C3E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10583B00-4EAF-46E5-9E0A-8D56A1BFBEE4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DBBFB97B-08FC-48D3-AD98-3815356A326E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14417E03-72E7-4BE7-A513-46F3290A6738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134BC7FD-ED01-4C35-A07C-04F6BDD9B74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7A3826AF-DC4C-4CE3-9DCF-787F032F9C20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738379EB-B273-4B67-B4D8-3288BB240F0E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50F7C880-13BF-4E2A-AC70-5688E96FDF1E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52E9BCC7-6343-42F2-A2D5-114025078723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8F6CA5CE-1F49-4D2E-A2CD-669D7E0CDD78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49A14249-6484-4EA5-9DCE-E6B051ACB31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CD8D271D-66AD-42D5-8449-108925FFBA7A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440CBF8C-CD8D-44E6-9593-B27933B6AB33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82A7CC7D-CC39-4C3F-8CF9-B303483C686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17903BB8-06D8-42E6-98FD-331CACB04329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4DFBFE32-9B48-44A2-B074-0258EDDA7E7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8A9EE0D2-C408-45E7-A3F4-09D1C32EAB0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22A9572-DD2B-4481-8F7E-ED1DE9F8A9F0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6842F3A2-47CA-484E-955A-8A87B92A89DC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C8E6A50F-2915-440D-A61B-4F37ED2BF54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F4F15856-E31A-427D-873F-A94A152492A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3F545372-281B-4933-ACA5-F2B95EC935C6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A0623E6F-B1EE-4AD5-8513-6F96DE756D8A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7110C820-8CA1-4CD4-B4E2-58FAE222CCC8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F7A11860-F177-4082-AF8E-25AB9FEE0B7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1131CEDD-43F1-4E08-B496-85C662BD4428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E3C44BC8-38E5-40BE-B434-172FBC4C8F20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FD8E02D-11AC-4952-A04F-C9C92F7F5736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6A0A9D33-0164-459B-9FCD-EF8A8B47A84D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D09E9502-FA67-47DF-99DD-EE9203A20F8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F411ECE1-5BD7-4DEB-B8EF-D31500829DDF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32D8A4DA-523A-4F8D-B1E7-94FCD4845A00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DAB5F3D7-C59E-4485-AEB9-29E64BECC0B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575A2B6B-9DC1-4131-BC31-8E6E42710C68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1227DD41-FA65-43E4-B06D-CB4F8CB7CBF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3BB23FBE-E7F5-4F75-A779-51A697046041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0922FD06-1523-4297-B4F1-0210076698F3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B7971EBF-35CB-4396-8EE9-CEE958CE8125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6A263A32-0442-4EF1-8EEB-A0BC435747FC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C819C0A9-3B4D-42F1-9691-05EA2D38474C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5DD29892-57EE-498F-8881-354E30A9169A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2142B4DA-2E6F-407F-8E88-48939652DBAC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B5EA9BC1-CF28-4C69-BDDB-34F459C8C4B4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76948F9-3F14-40BB-BF49-48EAA436042E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6E790B01-7D19-488D-BA38-68B050A879BA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DE5D95FF-E112-4122-B4E1-97A3D8D2EE51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2C54E103-C96A-4072-BA88-09401795513B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C0204262-DDDD-4161-8386-B87A41D36A8C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D945EBFD-F1FF-4680-95C6-CC061D46E4A5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1DD407C8-37B5-4F35-B072-95295821AC9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BC909BA5-915C-49B0-9ECF-8D5D418A6365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64CCD046-F56C-423D-9481-1459C1446370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717E9F9C-5F8B-4975-A5F6-A1D1A0116058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8860CCB2-14F4-44C7-8ECC-2D8E281BB962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D4247BA7-04D7-4424-9827-B096B8981D2C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F4F489AC-6AB7-40EC-8196-C31AB14E79D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44A6511B-653F-4C9E-811F-B7F4EF268FC0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7FFD547-FDE8-42D5-BF8D-E6776CE76CD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1797D20A-10B6-498A-A47B-B1215780B2A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7532DC1B-3662-4DC2-8A90-A0F2868E722E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17F8CEFB-C3DB-45D4-9529-27E820A0C95A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6934FFDF-51E6-4F15-A7C0-3675FEDCE667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404C1D2A-6F03-47E0-8A66-DDCDA7C244F5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5C7B7E3C-F15B-4D60-B7E4-41DCE60F3326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D882CEA7-7AAF-448C-976B-4CF4E7E768D3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8E8C59D0-3B9F-4F10-9FFA-2EFA9868A77C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BAEA9597-AEC7-44DE-9F20-434991B84238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F278496F-B3BD-4A28-AC13-EAB0223A0B2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BF985567-BDA9-4884-A1D4-4B36FBED2A86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EB5F51FF-4CF0-4BF8-A4C8-9240FFBC7965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C90C68B9-A66B-44A5-8FD3-712103C27B32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19ED57E6-6D8E-41A4-8025-8D64BAB3D3D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52680F7D-91B8-420A-AC7D-BDBC5CB3B41F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19257FB7-B0CF-48C4-9BE2-1F8EF4C3819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941EF16C-4510-4F6B-8427-8B853909AC02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F0897208-A056-4EDC-BC3C-4FCF225A5016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E99074E5-8F8F-4612-AD06-9F1D29599D6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94CAAB53-70ED-4302-B016-14E7BBCE84E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20DDF88C-CE67-4FDE-BC0E-103452733B21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A04AA582-92E9-4E23-BAB1-40E334808279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92A5B234-856B-467D-96B4-526D6775C46B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B15B7999-80D8-4A77-AE46-F54AD52E1E21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B8B4EF27-406A-41BA-93A2-05B9D51802F9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4895BCF2-B3BC-49E6-AC0A-413A8F603E8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A01FBE7F-221A-4407-99B3-EF8C46F5816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6E633912-E0C3-47BA-88F5-D7304D83E386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6F157469-52C1-4279-8530-37EC7521B32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92A57075-D3B3-4443-B22B-335DD16331B9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AE4C49B8-3317-4361-A211-4A4DB686DE0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7BE36A20-2D92-44F8-842D-27057E8787D4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15954659-77A0-487B-A3F0-1CE7503502D1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EEF3B261-1DBC-4B10-96F0-6E1A769CF3E6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3539C4A5-69C2-430B-97FD-95F7BCC6C44B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C3214F57-ECE5-4D3F-BF62-A65960FB9A09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4C0CAB22-4591-4B3B-9885-0664F88EB305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630A94B-5B43-4E09-86DE-BFB6B99C36E8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BFDF6950-2640-42C2-B140-1700CDD4DA4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A7E31B8F-99E6-41D9-8E88-2A2E2D262CFB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5464E908-74B6-476D-9AED-043AEF9E2177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919F60F-81B1-4A1D-984F-0F826C96E693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AF4A1C25-6A73-41A9-9DE1-2D01415BDB9F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079BBFD-3D28-455E-8AF1-1B47E01E0489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1205D00-9FD8-49C1-92AB-312B6F3136E5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ED5B9FC-257D-4495-8911-D1CB34A245F2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74C0179-83FC-4EC5-BC20-E2586FDC0250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C36C997-89C3-4ED4-932E-3CF56B43E9D2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8ABEA351-4179-4078-B5DD-C12789177993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006A0B6-D470-4336-8913-12FEBFF3D101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A69CD52-AA63-4AA2-A52B-2991CB99D7FA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79939FE-DE4B-44BE-BE34-02BB11B98D06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51E2E391-B9F8-4F24-96E5-EC7F5EE53E60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547FC6E-1C69-46CF-8FB6-1109B45568D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95F2D80C-0BA6-4C59-8CEE-D61C27AFD7FC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2BBBCFA-B928-400D-A650-1B842D9EB7DD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049DB53-6A7D-4A4A-84EE-EAC5DEB95CCE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7045A83-0926-4207-AFD2-114213F630CD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CD929FD7-0E07-481B-973F-CEC8B428A7DE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61535D07-ACEB-481D-95A7-F780A808AA60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56FC4850-F58A-436F-BB24-D8812EFC7D32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75FC0804-E972-42E8-A52B-9091B10445CC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71E3CB7E-B928-4DE8-BB3C-BF2C75FD2761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7805B39-A5BF-463C-8267-DF233980B1EA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F40DE129-3964-42B6-9BCB-4898BC741446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339C67D5-75C5-4019-BE5A-21AB241164F3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1C4614CD-CE27-4AD2-8E8F-1A7A456B6479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E3154BE-E1C6-48CA-916C-C91ED485450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F099D77D-4130-4C4E-890E-E7EDAA9838AD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58DF083B-F2AF-43F5-96D9-AF598B968B57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1121C61A-D013-41FA-A928-6160B924CC1F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15CDB27-4ECD-4EDA-A8E1-60A40C4573BE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54446B3D-23F2-483A-B8FB-57509614B9AE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17AB51C6-35B1-4115-AF69-644FB3E472F8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7FCE9E0C-94F6-4519-856D-70B4ADA434D6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656F258-1C6D-4E11-8E3C-9153740A6E2B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EFFD6D70-B31F-45DC-8ED2-6A34FC1CE7B0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8BEAC37-BB1D-4FE9-BF95-D02B89A971D4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C5ADCA12-C0AC-4F35-A51E-5935822C857A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0F92F94-2D27-4512-A5A7-76BC5E9D60E0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15A50868-099A-4C9D-ADC4-7C8B7F140C57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1EFC0CD-E475-44E2-8472-7D9D0F69D038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A0D0AD37-F86C-4950-8BD2-851C2DA7F4B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97498AE6-6A30-402B-96F8-0FC60D543D1E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F7A08955-65B3-4447-B49F-7E0833590E94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5A49F7A-4692-421A-8615-27FCFC2DE52B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DFAB756D-9714-4CFC-9CA6-C0CFE08D4F44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65BC170-7CF4-40F9-BD78-EAF27680E7C8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CD75BEB5-F634-48DF-AC52-FA81D454841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D311963D-F2B9-4052-AD63-636A62B16374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ED6913B8-AFDA-4D05-ACAE-5F5F7345CEC9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96B902DD-4056-4949-AB47-58B19A5CF1AE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BFB7917A-4678-4767-AACA-5850841B2F5B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6DDD18E7-26A8-4EBF-B0B3-DAF3CBE95A22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A40052BB-320F-48FA-852E-11F998D93647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91F740BA-96EF-4886-8D68-401BCF02F5CA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A4D50EE7-1D1D-45B0-B7E1-CE232318C1E7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C3547DC0-C09E-435F-A619-B39AD9DC529F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29371F02-C994-402B-9D61-4959A68C084E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74CC70D-81E9-4FE6-AE21-0009BB1BBAFB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8FABA864-94A6-4D3F-81BF-08122ACFEEA6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4836939A-5495-4A2E-9C20-104EADA7B1AD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72102894-1FD4-4950-872D-515789985F78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2F9ADF3-C595-41F9-9975-C27E5BF2DFB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6545E164-077E-402D-9AB4-4203A13502AF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297290C6-59FF-4081-9AA6-A47428F6AEB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1E260994-7095-490D-98D2-D681D1AC77D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B6596EC5-2A44-4E03-A9AD-DA3EFFE8143A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558F24DA-2AB7-4860-A302-5B3B4D2F579B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7EDB5F6F-879C-4409-81BA-DFE3531EE47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A3F08D3F-6320-46F6-9993-4F54DE20CCFB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2E401B3-68AD-4469-BECD-5EFB20EA73B9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DFA6BAAC-2170-434F-9386-2F250F2DD42E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E27BDA2-F034-4B20-94B4-2F5F044D0F9B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6285D459-62FB-4354-9010-9629659D33EA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C983BCA6-42A8-4283-B55C-CF27763C07C9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6896AD8F-9EEC-444D-BCC7-70A56B694EE9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A88B2666-4310-425D-BA2A-C93D01734C2A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4D46EB93-FF6D-4F0D-B73B-2391B05FC301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F4E48FDC-91F6-4F5D-9F2F-82805964EEC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F14DF8CA-F0E7-4F98-900E-7C501F7B072D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2C216B1F-A6A8-4439-8D81-488A935F26C4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4ED57E55-4C46-47AE-AF67-D22440FD1CA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D6D3E813-4321-49BD-AC2E-D38EC3E0AD3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78708E72-F85C-4528-BB27-423662CDE43A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57D85A7F-8EB5-420E-8FF9-494A7AC9AEA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E2B57FD0-E132-4F60-B855-9DAE9D8A16E3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995300F-3A09-4966-84CA-49F9F2DFEA98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84334DDE-ECE0-4A97-88CD-266184FC4EB1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B26DDE2B-7061-4F0C-8FC9-68C79CCFFFF4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8223A97C-A64C-4B3C-AE64-ED91ED23AA68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C66796B4-0D69-4F7A-8ADB-0AC846D6E80C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EDD3597F-8F42-4886-87D3-CF6CEED41BF6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A7F20F39-D161-4A0F-AA68-E8386D044F03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AC2D3C8A-CF03-4484-BC5A-3A54B478E88E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C1888B7-B49C-4FF9-ABB1-736E37BD5C95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863E5C3D-76DA-477D-808B-D0B367C2134D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C8530ED-5F6F-4FBA-8992-B8905219E682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1D325EE5-C21A-4C62-96C4-42D3CD67F750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BD576816-0168-4F7B-B519-E7475658E170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FC6E52F7-E790-487C-A5F3-0A5E7BE36F6A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DFF292DC-24F7-45AF-A2C9-7B196E7FBB5A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CEF83D62-9F54-48A7-AC1B-659A5911E5F4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BE2BDD3A-7DB5-4279-A538-ED21980ED383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F67FA1DA-8433-4863-B0CB-588495A944FA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987F4DAB-C1CF-48F0-A03E-6A09DFFDD1C1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2C47742C-96CD-4983-AFFA-53FA1B52DC31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A0201236-C2E4-4C84-AB24-DD685C62306B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DADD290C-EC91-4000-BF3C-6512BE43610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F505F24A-8F0C-450C-8A55-443331B1E635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60DB9FE1-E510-434E-AFF4-76861616F48C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27CC84E-971A-498D-B432-64CEC85DB248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2FC2EE8A-C629-4643-9E1F-A3140D39B2D2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D9D5B60D-01F6-4171-97BD-3416DACE3402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14465AD8-60D0-435C-BE8B-4C1F590964C4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8A295794-A8FA-458C-8005-470525CEAEA2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2B20C471-639F-4F8A-8FCF-3EC7D40011EB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10CD3090-29F7-4C3B-BBC7-7FE5D368D377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10923BCD-95C9-4BD5-BCC2-BF00BA32A0EA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E74C6054-F7E6-49AA-B063-A5530594894D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8D3435C5-164B-4158-B0D8-34A18EF4694B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B26E1BA9-B8FB-4ED6-915B-3DF3F168262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FADDC205-14BA-4113-84BC-32C11B9E772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CE58A68-5519-42F7-9927-FDD1A89D0CF9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148F88F2-A992-4F2A-B7AA-67B9F39C8FBD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E6E76E43-8F07-40A1-A201-688669EF522D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BFB69CFD-4BE0-4CB4-9648-72FD117E2408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8C95A752-7962-457B-8C31-43D448420D6C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00940CF9-ADFC-436C-AF6F-E157409139CC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7135C032-D8E0-41B2-80A7-0BCE6407837C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B1804272-494A-420D-991C-18F5913E8C76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D13D8D7E-5F55-4ADE-8549-289B3EAB3394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101EF48A-74C9-44F9-BA8F-B27C1ADA107E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B5148B2D-9CD4-43AD-8DFC-6F40AAA68F70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4D5073E3-2071-44D7-80E4-DD76B7754C7C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23F79A0-D406-4F1A-8272-643A9733B61F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EE35677F-437D-4890-9BB4-D63ACFED60C0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2C2DCBE6-0402-4D81-AC4D-D767155F697A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22860</xdr:colOff>
      <xdr:row>17</xdr:row>
      <xdr:rowOff>7620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D707DC6D-563D-487D-BBA1-F9B617E2974B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379720" y="32308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63EFFB37-4FC3-4ABA-96D6-8A35AB2E3F46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B59398C5-340F-4CB4-8B47-55C5A104EBFD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E945006C-9892-48E2-9CF3-13892A5A73B6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E598172D-0F5E-4A3E-A6FA-E6E1DC3B057F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42E9A800-11AA-4378-8CC6-5D8586DADDF3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0CE82D3B-E34A-4346-B312-22DD7A82821B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12B69B5C-1CDC-4051-A8F7-EA596901926E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538F3CD4-1778-4095-9EB7-044E1165813D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77E282BE-A0A2-4F4A-AA4A-8CCA05E28D45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153CD573-D632-479B-9202-68974EBC1138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D50D6169-5068-44FB-9ADF-17A98350406E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E28B6744-3F54-4280-BF8E-4D6995454EB8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784620E3-C26A-4461-8432-9B2415805F73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CC5AAC1F-B252-4DAB-8BE8-45CC7CFD420D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984E826B-4D69-4DE9-8816-8927839F3296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54F2B524-E326-4552-AAE6-710EC003EDBA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CD89E0E9-9A51-4A06-8D37-C677CE2FBB2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EDC7E6CF-FBB1-46B3-9FF4-09686FA8562D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F8641D6D-9C84-4D45-B6A0-60A50829437A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D5EAC946-5BD7-4CF5-8C89-9854305359F3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BBD24119-F162-426E-8A4E-E9FB9C9E83C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EE02F654-D144-4C77-AA24-C2A1ED04C715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D6BBFABF-70B0-4FB4-B955-18591699E3E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E1C1210C-B9D0-413E-86AF-10916AD567DF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4F469560-2727-482A-BA03-A3C9B57BB667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43A77C53-EDF3-4670-961E-575F8241EC31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9BB1BF0F-A3A8-4643-83ED-E01A62A34AB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C4487073-16C2-45C6-AC75-750CBE3AFF7F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F47118D-3669-46CB-A1DE-28AD07A4BF78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76478C7D-1B21-40C0-A204-F7517AFC4A71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180945D7-BF7F-4A29-B89B-8209EC81BBB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365FDC57-6C49-4607-90F2-070F5ABA6ECE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9EB9392-F2A1-4D77-A484-6A2D5DAF4B1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81E2E1EC-0CEC-4EF4-A2EC-207A377E7EFA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39EF8A8A-9A4E-428D-87CA-8F65E7F83513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C68636AE-59F5-492C-AF31-77668A8D5368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55B18717-FC8D-48F4-B569-71970CDB1E20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4204586E-A9B7-461B-BF38-75B0CFCD79A2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8A03438-333E-45B5-84F1-987B277D31FD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E50EFBDE-474C-4A6A-B174-598FA3D57BD7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D35D377-60BA-4AFC-B8AD-09271CF21AAA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2B2D247F-4097-4B3F-B141-D4CBC378FFE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CF4EC31F-3D80-44D6-BD8B-1F0BF9FF2AD3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18708497-BCF1-421E-AAEA-FD68F6E86865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45908976-FEF7-4ED9-BD0E-1DC3B530193E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451B1902-D9F6-4A48-BD93-5D89873F871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6927E9F0-41BD-4FA2-B229-9FAED065BAEF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81CF24C1-9620-4498-AF6B-7BC762593B5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D8379D33-C277-4128-A21A-6406445E025E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C960DCBD-FDEF-4828-AA1A-4D95EC4C5963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FEA689D4-DE87-4B14-A4C4-F0E6C7959857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EDE36703-D3B2-453A-B3E7-3AF0F7B27701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7EB4A290-BB31-4B90-AE28-AA3E03453D67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883F588D-977A-43CA-BEB0-F449B42167F7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18A66EFF-5103-4376-8497-A67034A02DAA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04CD0F94-DC8B-4F0C-A31E-B75F45F898F0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BE1008FA-999E-43F0-A05B-38D249BFD5CE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3E60265C-D936-4D72-ABC7-E84145AC5A9A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8636EAC5-AA7D-47C8-968A-67DC7CF3925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0AB07DF1-0BB4-42B4-BC73-DC13FE953FD7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E7FE61B5-EDDE-4509-AD4E-61DC51C13899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921B031F-CCF2-41FB-B923-15D6E54641A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66AFBFC8-86B5-4B16-A1B7-55E9FC34F34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21D091CD-C705-473D-91CD-9F897CCFA227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FEADA377-D21B-461C-8F47-BEC2C96EB7B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BDA6B2CD-F772-4376-9708-866F7898D116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2F356-7FB7-4C28-BF80-FAB274CAD8FB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3E063BE2-E9AD-4F0B-A5FE-F396291A6CE1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49FCA69-145B-4FD8-9525-9F820F2875BF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9F805251-0347-4EA0-B7C7-F46EC5E0A363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24C93607-DC43-4CC8-910B-1233C29CBA87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774BBB20-9982-4B22-B2DA-E90AF8479E21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12D42F4B-A87A-4BED-9E8B-46FE2266F577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8EFC8E40-8D28-489B-BDDB-DFFCD8530B18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B2A02FFB-ABD7-45F9-8697-FD840DFDAEC8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091749C1-2099-4097-A83A-799081B25638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255CFF9E-BF3F-4B40-884C-72BD82515FED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15620551-3449-4BD1-A007-F328919F67F3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399AEB70-D615-4266-B116-2C943A03847E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526F9D64-77CB-4FAA-A459-1A2B8A65401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F1C31735-4834-4A75-8FA0-8C59DD60AF53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E7559D88-EAB3-4617-9EE3-7F0A5211D330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218F5FAA-A6D8-4483-883E-49DDAC350F2C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072AAF1D-7F9A-4650-AAF0-DD966B2C5AA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DF54B3D2-84D8-41B5-BB74-8D7314E009D4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E4609E27-9294-4B45-ADB6-A59C8793F35A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5789125D-048C-4E15-B4CD-B5B882D48721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06718FA4-AD3B-4CB2-A849-68523A8E7741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46DB941F-3DDB-4555-9F90-A11CBC1A443F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4C391507-6299-4B52-BA56-0F2698334DFD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D2AFB405-23CF-452B-927A-61876502D3BC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A02653B9-57F8-4741-8FBB-40EA9D9386CF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4BDCF47F-38A2-4852-B6D4-404C0575FE20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8E697ADF-67B0-4061-92BA-E98581D9502A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84524D5D-E351-4BFF-A926-96372B74EF0D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4C7EE5FC-DAC1-4D23-AC99-5097E4FFB22A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9CA6FC23-E4EB-4C6F-8C9E-C10091A58F06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B56EDE8D-4D32-4E98-8776-3868FDA72F08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4C6D35D3-8BFD-4537-9D98-1B9E774E96E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C4E0AA73-87DC-4660-9C8C-4032EC2EC59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941B0D92-DA7D-4A4F-989C-59CD10D0EE19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EACAADEB-5CD8-4BC0-9D3D-26EA5B04FB62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C79D6680-8D5B-44D7-94D7-A86A7D073006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9ED9DB10-610B-45DF-B91B-6AAD65A44121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4DE5972-DA3B-4DA8-A9BF-81229103AAA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92839B5-74F4-461E-9DBE-AC112FCD5A4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13480D5C-6E5C-490E-950A-A4C83B0F2507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DD9D6768-4443-4914-9AF3-34B3E795A9AC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D359F88-2487-433C-A90E-FF655AA1658E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EF54E9A-34E3-4A49-9863-607FC7321F70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7FCE8903-AF9E-45C7-AEB3-E5314833D136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D57E0FE-CFA5-44C9-B817-B2DCBE7600C0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541FF48-0FF1-47AC-A8CD-949E1DC2E634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DEB62FAC-7962-45A2-9749-A152661EBF58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A984F271-636A-47D0-907A-2809626A18C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F6AABE69-2E57-4486-A6FC-4ACEEB8C3140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4D18420-7703-483B-9579-EC7942C2D650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1258C5BA-F32A-42A6-B80A-0F550D7E69C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EC42350-04CC-4745-ACBE-5587E21F6CBD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08974FBE-4FB2-4667-816B-C1B9B7C381E8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9EDD0BB1-CB74-4B36-8DD0-A29313B521C4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ACB09912-80AC-43E9-96C9-8DCDBC66229F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2A560E4F-302A-424F-B91C-652EE14DC012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E0570649-48F4-4470-BB22-EC5D15094652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C32ACD6F-FA95-4E1C-9DBC-6C05B80C97F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BB0B7F4C-50AE-4967-B493-1D623413BFC9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F8FFE792-EBF4-444C-A75D-E81666329E6A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8D316ED6-FD7D-4F0E-8545-67D20BC8F732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39FCFA42-847F-4CE6-9850-686257FBAF7E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D619EDF2-8FF6-469D-9B82-0C5C7914E447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6016BDCF-5904-452C-A422-45814EBBFACC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345E4382-7A8C-4C46-BE5E-348C6B3AB118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BA21A5E2-C118-4554-9F54-E9AC1B9B22CB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688BEA56-FB43-418B-A7F6-4DF89A3DDB33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9DB7FD20-ABCB-43D2-838D-7AE0FA36D397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CD68E500-B312-4047-9E3E-AED6835D06CC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53F97B4-8B89-4A49-8759-3598F7A45D67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01B2A4C6-EE9B-45A6-8A03-CB84C00AD21A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8E9BA1E3-FEF6-4503-A511-EFF392F2A1E3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EF7950FC-4C55-4B69-B357-A763B8E24A69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B5F2E83F-1B02-459E-951F-4735C823D94B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48FF7BE3-30C5-4BA8-B8C3-2FE9CEE3848B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ED42A94-62EF-49C4-8086-B268242B5696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2AFB3E01-E11E-4FF4-8F5E-F85FCE1AC365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33B1F729-0EC9-4C92-BD09-6347439628F5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E4F776DE-95C7-4596-A04F-9DAEEDA6B17E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C704783F-B785-48A8-8477-D2D24A1078CA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36A336B6-00C3-4280-87AA-A8627DE49A93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166CF2B-82CF-4174-B7D8-E7A4F52582C7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0050C710-3CCB-4A0B-9F6B-8F41FAC4F034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BFAF4EEE-AC3B-4CF1-AC60-ADF1C2899DB7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75C6FD45-2829-4615-A26A-4FA289D11169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15A40ED1-6B99-4078-81DB-EC3ADB45B6FE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7271D1A0-AC57-423C-A907-1805C5D7B883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3BA7D577-BC93-4094-8826-58BA49437F9D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4A84C66E-E64C-428E-8F8C-7A3222C240F9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C9FE2F00-9293-454F-943E-11AC1B803C68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A1A35538-51F8-4C8D-963F-B2B6B8C9D797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9A798A6E-691B-4650-A250-3FB2CB49B1CB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02E64B99-046A-4E37-B446-58F80EC31647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ECB5B32-BD3F-43D7-BDD7-07EF09CD693C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F99C0DAF-9CD5-4DE5-B4FC-9E51AA82F169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59C7E2F3-EA84-4BA9-975D-6A79AFFC3ECF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8118C0E6-CFEC-4ADC-894D-3514FC525D8D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11BEB446-6FDA-42E9-A6AA-A05B7B829B6D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9549F19B-C293-4BFE-BC35-77314C76DD8A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2744F4E3-1B2C-4C09-93E6-1F7A346EEBC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634CF8F2-1E25-49D1-8E3C-13AD3766D898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1B18C1C-C171-415A-B545-F6F6B410EB8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60184C5D-4610-4059-8394-10FE189D75F8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ED45D97F-642A-4301-A47E-70DB50AE97C8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367ED354-2B42-401C-80AA-DCCAC07CFCD3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710D1729-EB95-4F3E-A653-CB5C934D24D2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0A446596-CB52-4867-A0CD-1B552CBA88A8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2641FF04-518A-4FEC-A5E2-7A3AD749459D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BB9650F1-08A0-4089-BCD7-5C1A0A816818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A87765EC-FD84-48F1-A8A5-7A0AAE0B75BC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13C59842-6B7C-472E-8EEF-C775D965BE28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AFF7A56E-5AD4-4450-A5A9-8BBF1A5CA4C8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AF8C3401-277D-45A8-8FE7-105AEBADF479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E07B6593-4873-449F-B774-A7A725FCC60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5A1B6155-120D-4D60-A54D-84C34219E305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ECAFD627-1138-4CA0-BFDB-1859CEEAE54C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94A9F1AF-4B3C-4799-B0CA-F56FD1C05F28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BD190BAC-6541-485D-A2CF-383F549793CF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A150319F-D257-41D0-B073-DB291C839D4E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63E4988C-1D63-4106-85DF-E103F6D4BE8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B38418B6-22AA-4925-939A-DD0F54E04FA7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00A7036-54A1-456F-8DD6-856B32F577C1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B0E13310-7B04-4C8E-8F68-5075311CBB0E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5B0BA26B-6D34-4D0A-B240-C89B11A78778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B1591164-7B35-4A5F-8D1C-37C173E11E0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6CDD0E01-99EF-44BF-B6CC-D1A28A412500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9A733975-C677-4BED-887A-9B886B053285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9895A0CC-BEC7-4208-9249-5580300FAB8D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9E992975-4CA3-4055-AE0C-B435666667B5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C6861EEC-2493-40FB-A713-49C97B54A24A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5F3FE51B-58D6-4915-AFA4-464FD6125BD6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6C9EC8B2-623F-475D-9250-F02B99D18B7E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BCE44E99-5551-4B74-ADB1-A4310C28E79D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7355AFB0-3B9A-4AD9-805F-A96F119EC952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57E64D56-4DA4-48E8-A822-058DED220F78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7679DC19-CE65-4253-BDA8-5F53E84B6E29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466AC1C9-0FB4-40C6-9548-C54E7AF16271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DEC95F20-97B9-4995-B355-3ED688AF49BE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4D6E07FA-82DA-4AFC-A29D-21B11319818E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8D919D88-D7C9-4C95-B0C8-106038CFBCE5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CE526908-9F01-48BE-940D-C9D04343594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F5ECD975-6776-4A0E-B901-D757DD1A4A0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0B97BFD3-72F5-4A54-BD43-9DB51420F61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C79F8AA2-1F52-4F17-9522-D6117CA3F519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446AADF2-4D6C-48AD-B7EC-0C266B5A3D6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B2D206B2-BA6F-455D-8558-C1B090E1D786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590EAC8F-990D-4B73-81B4-C7C8E2222F2D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990668D6-3CA4-4A71-997D-FC6359430991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EE0C260B-64F5-4DF1-9E00-1A675DFB7306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4E90B961-6F9A-4A12-B6A2-0BFFCB988EF0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C8C7C20B-C7A5-4D29-B392-D419E0B9AF5F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FC385397-2BC4-42FE-8627-F61F59DE96F0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4B40E991-1C96-4A7E-9B5E-FEB49641EE1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50420A77-998E-49AE-8A9D-86DAA4889BC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B72F36C8-01FB-43E0-A304-24E7E6F0B7C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CD526E50-6801-46E2-BA9C-E41687057C3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96913A62-8585-4647-B1B0-D7221F534B4B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51CC0189-12D1-4B3A-B7B2-A972D8D53C7A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AD9F8C46-65E8-40BF-AC6D-273A8E795EE3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55D19ADA-1826-490D-9741-CBBD56340E46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5CA05A72-AFE5-4FB5-B20B-7C605CFBB350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48BA90F9-AAD9-46DE-B785-9706600E1B6D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ED4FDCC3-256F-44E4-9E33-74EE3183ED2E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1C9F8C2A-B560-4BF7-A139-8C4DC7E459DE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3924428F-A779-4B3A-8A96-53CFB1E1E9D2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63104C22-AC47-4973-A752-CF8B5D980EB0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403B1D32-840D-407A-A9EC-76603E1DBF5D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FA324094-A991-4D2F-84CF-CD27E5DCAF7B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0B7C836E-8FEE-4C42-AF7F-779FB95F9C7C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ABD7A338-2412-4178-85B9-3F4BB304F4A9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246C42BE-34AD-4B5A-8B23-81226690BC1D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375F6E46-6FCB-495C-9A4C-BF2A9F135E2F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22860</xdr:colOff>
      <xdr:row>2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EBD71AFA-4A38-4F34-A3FB-75C0939B20C9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806440" y="32308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FEB027F3-8E89-4C0D-9153-C07EB650CB9E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53963D3D-C20D-41F0-A688-E98E527E4F4F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1AA65589-2C34-479D-AAA0-422C44B7826C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52C3BD29-DEF5-4564-9775-410B9725EB3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9971F0C6-527E-45E9-BCDD-D95C434CE832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80C0C18F-5020-496C-A558-340F4BFDF0B1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6C47502D-94B0-4A90-ACE8-B54484E06CF4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0D32A9F8-C650-4BF9-BDE2-7822F264A9B2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5DDD0554-4232-4F3C-9C05-44948717B690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CA9D98C5-D387-48ED-8A44-35FC1A1242E7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AEE63C8D-FFB3-4EDF-9007-C37CADA7DB1B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55A206AE-D1C9-4DAC-9A39-A7553F197754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BE86081B-5E81-40AE-8D13-304553656D60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2A963CC7-CB72-413F-936A-03FF7929ACE5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44A468A2-D6AB-4542-97D1-87BAC441C659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35307193-D24D-4E4C-8407-4D24C94F0996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692A1BD1-0296-4169-B97B-64943104BC5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E112BE9D-BF3C-4541-B79D-DED5B7C66D3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71E30DC3-1A31-4F30-AF47-233160DA673E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F9517EA3-90DA-4378-AC7C-2342450E6A24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B2CA4122-06A6-4192-B870-2CB3EE5E492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EE0BD2B0-D051-41D9-B0BD-1A043E0269E8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4249853E-2DFB-4CE9-A7DE-AB3B8BB4C62A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30A661DA-D3DD-4B39-A743-26A0FBF040F4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B8246B24-016C-45CF-8465-0EB499DB5592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B9C0A51F-4A96-46B6-B716-955921A92A24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130C04AF-CDE9-4CCC-91B5-E8DD905298CE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68A0267B-535A-4E34-A3AA-A1581FB8F47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8776426D-6E02-40DB-96B9-DCD62680C8F2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B87DC09F-E751-475F-BF9E-48CA222B6E9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9FB8884F-4C08-4643-B5BB-500ECBB93C57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0CC747BC-F13F-458B-A7D5-0FCD79B7571C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3FD50B7B-59EC-43B0-A1BB-67915BB3E0BA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818557FE-3263-42C0-9F26-573797D85268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5A8B16B0-7558-48B2-91FC-21757B48E0BD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D7E03B4E-B84B-4E52-8313-BCBB336033E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FA3CC587-4621-4E6C-9738-DCC25DF4D9F5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B1617D4C-6BEC-4836-971C-79548AC503E1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D89EAFAF-6777-4475-B210-F1BF3C4D483A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FBEE74E3-F3BE-4F42-89F7-0100B078A48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B553E45D-D87C-493F-989E-A749874B967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58C37AB3-0C07-4891-AA6A-E0AD99572CF8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FDC728D-D353-4A55-90A0-FA8C4901C3B9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32B9D254-86B6-4B70-A5A6-226B8661FE03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73AE45A9-FE76-47DF-B008-985559D49F3C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EE7E3BA9-C4EB-4B14-B8CB-E29E8702C422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F010771F-8EDD-407A-AFCB-039A9CA6E2B6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8E353F3A-AEDD-4CCB-A4C9-9D30D2E9F7EF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9BDA877C-A134-4071-BD44-9810B56D3F3B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C4FB9A5C-39DD-460E-81ED-65E6A47599F4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37CD217F-F333-4433-A0E9-69B084E4FBC8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089EA935-D22F-46A4-A9BB-EBE9A2B0EF95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8C3D8228-C7D0-42EB-A586-A4DC0F35D0EC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512A8A1A-E8B8-40AA-A5B9-5814555C8D0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24938A04-099C-4491-A122-75D409E36E0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540243F1-7896-4A6A-9358-D6EBAB144559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A3BEE87E-7CB3-4B4B-8BAD-322637ABC521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AD507746-F7B9-4F39-9E49-904AF5CA372A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BAA5AC31-4077-48CF-BBBE-34DE29771CA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5EF2A8B9-D3DF-4056-80CE-9BB21F0782D1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5D5CC3D5-8CDC-4106-8C6D-B795F854E96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D4FF9043-7C9B-4708-978B-8E5E34C5FF5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EDDDAF4E-BA87-4488-8CAD-4424A4B28EC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BEA157EF-63B3-4FF6-B148-51AFB69F9EDE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F82CA673-1F63-425A-8FC3-9547D6F0FF95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B2F47356-2817-4B4A-8DD2-78361A38558A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1E5516B5-8CF2-4F61-A498-3C69C2AC0EC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9DFAC818-0A2E-4777-9C07-32A960E6AE1B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5AC14385-59F8-46E3-9B55-DB04550DF1A1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A828C8AE-828E-4DE5-A10F-810F173A6193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2C377E78-1DAC-4F2A-B367-F852D1E21818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288C5122-B6BE-458B-8DE9-5E413FA0DC1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2E5F3660-267E-4F0E-9DC9-9B7A94A0FAA0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35236945-9464-48F5-9989-FB413FAF4057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27DFFA9-B9E4-4AD7-A5FA-9CD15081B0DB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BF0C6B8A-BE1F-4048-AAF8-6DEFE9AB2C26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31C113E-6D5B-423A-8DEB-7ED13501F425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6F703310-8CD3-4A46-9BEC-61490CD216ED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FD58F48F-FB8B-4FE9-9FE0-6181D48A97B8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74F81398-2903-4758-9F70-17E3BA880D30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B837BE0-5834-4FF6-BB70-485A08FB6BE0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561B8556-E245-4F1B-AE40-9F9E2D9EA81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348FF80D-864E-43C7-A56A-F9D0C21073C0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30AE4EF7-16B7-4CE2-9FA0-40C7E64209D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B3779C95-517F-4374-B4CE-77788BBF2481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66B84C83-B6FD-4C9C-9136-57FAFC124C3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3D740322-9B3C-4711-BA65-F1803810572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6D801125-29D3-408E-8603-BBBAC87A7890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7734D07-0793-461F-939E-2A90CF096AC6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272458FC-D03E-440D-991F-D43FDF0E5A8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7B73D56A-0F34-49B9-9587-DCD47FCE8225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5FF766BC-4EF5-4F7D-91F1-FF10101F478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636B53E3-A0DE-407B-A4A2-B80C76B0FB60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5D3F14C8-3E63-4452-9861-E2E90C8001E0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8DD1FAE2-8B57-494F-BF00-A853412C58F8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04A370DD-9B03-433C-853F-576BE47B8141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9FDBC507-561E-488B-9401-62F85ACBC6B0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CCB0B1AE-6EAE-49A7-B74A-0F9FBB293396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C1089E1D-2D15-4DB9-8E8D-A04624FCD30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146D44A6-170F-450C-B2F7-FD7793FAA15E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2A3BDB1-A2A2-41D7-AFA1-2EF7F57A6229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F2A73EAD-B3B6-495A-B6DD-2E4547BD5E58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EAC44E7-AA8A-4C69-A520-DA42EA658A86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3CD56281-0343-48D7-99A1-7F2B19C87A28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1A1CA1B4-670B-4E70-BC52-3C18C146AF6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3" name="AutoShape 2">
          <a:extLst>
            <a:ext uri="{FF2B5EF4-FFF2-40B4-BE49-F238E27FC236}">
              <a16:creationId xmlns:a16="http://schemas.microsoft.com/office/drawing/2014/main" id="{47164270-A3A8-4B1A-A83E-09A4CBBFF5D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AF37F063-BA63-490B-A917-F1F09451017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5" name="AutoShape 2">
          <a:extLst>
            <a:ext uri="{FF2B5EF4-FFF2-40B4-BE49-F238E27FC236}">
              <a16:creationId xmlns:a16="http://schemas.microsoft.com/office/drawing/2014/main" id="{989ED438-7E75-4963-ADB3-F79EB13B96BC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06E11E14-0F13-46A5-896B-47254801E40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7" name="AutoShape 2">
          <a:extLst>
            <a:ext uri="{FF2B5EF4-FFF2-40B4-BE49-F238E27FC236}">
              <a16:creationId xmlns:a16="http://schemas.microsoft.com/office/drawing/2014/main" id="{86DA2B89-5EA1-4058-AED4-45AEF7A4F540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1F9AD6FA-E167-49B1-89DD-059169568274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9" name="AutoShape 2">
          <a:extLst>
            <a:ext uri="{FF2B5EF4-FFF2-40B4-BE49-F238E27FC236}">
              <a16:creationId xmlns:a16="http://schemas.microsoft.com/office/drawing/2014/main" id="{79192586-3E73-4CBE-9479-13591DC84EF9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1ADD4347-21F1-4106-BD1E-3F7DDE0589EF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1" name="AutoShape 2">
          <a:extLst>
            <a:ext uri="{FF2B5EF4-FFF2-40B4-BE49-F238E27FC236}">
              <a16:creationId xmlns:a16="http://schemas.microsoft.com/office/drawing/2014/main" id="{C8A14A30-9D2C-4C32-87AA-EF1E2DE2C4B5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0C7CF038-1B2C-4730-BA58-CA394E2A0112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3" name="AutoShape 2">
          <a:extLst>
            <a:ext uri="{FF2B5EF4-FFF2-40B4-BE49-F238E27FC236}">
              <a16:creationId xmlns:a16="http://schemas.microsoft.com/office/drawing/2014/main" id="{40801821-9D7A-47CD-BBC2-67901318DD70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EA1360D5-8203-477B-89F8-0A403C4E9C6E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5" name="AutoShape 2">
          <a:extLst>
            <a:ext uri="{FF2B5EF4-FFF2-40B4-BE49-F238E27FC236}">
              <a16:creationId xmlns:a16="http://schemas.microsoft.com/office/drawing/2014/main" id="{6747809A-A720-4B09-96E8-037AE6BB2024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4DCBD3A5-968B-4503-ABF4-15382C305C25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37" name="AutoShape 2">
          <a:extLst>
            <a:ext uri="{FF2B5EF4-FFF2-40B4-BE49-F238E27FC236}">
              <a16:creationId xmlns:a16="http://schemas.microsoft.com/office/drawing/2014/main" id="{A8275DC7-679F-499E-AB49-1620A31A4B6D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D1D89B60-CECB-4667-966D-96C34AAD40E4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39" name="AutoShape 2">
          <a:extLst>
            <a:ext uri="{FF2B5EF4-FFF2-40B4-BE49-F238E27FC236}">
              <a16:creationId xmlns:a16="http://schemas.microsoft.com/office/drawing/2014/main" id="{9956DC37-C295-46FC-B3F0-C3B054234C54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AA9FFEAA-41E0-426A-8512-705F8E407E29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41" name="AutoShape 2">
          <a:extLst>
            <a:ext uri="{FF2B5EF4-FFF2-40B4-BE49-F238E27FC236}">
              <a16:creationId xmlns:a16="http://schemas.microsoft.com/office/drawing/2014/main" id="{0F74180E-0441-4ACA-8E17-5BDFDC59B421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F2589E62-3FEE-4F80-9F03-70A0DE66F60B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43" name="AutoShape 2">
          <a:extLst>
            <a:ext uri="{FF2B5EF4-FFF2-40B4-BE49-F238E27FC236}">
              <a16:creationId xmlns:a16="http://schemas.microsoft.com/office/drawing/2014/main" id="{CEAD8BF2-D3D0-499D-89BD-04905D86153B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C4D232E1-530E-4899-99C6-9C93B077C59D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5" name="AutoShape 2">
          <a:extLst>
            <a:ext uri="{FF2B5EF4-FFF2-40B4-BE49-F238E27FC236}">
              <a16:creationId xmlns:a16="http://schemas.microsoft.com/office/drawing/2014/main" id="{4E420EE5-06A1-4F33-AF71-22F83AE7EC6D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91CFEB23-3445-44BD-BECB-6CD666CFC6B9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7" name="AutoShape 2">
          <a:extLst>
            <a:ext uri="{FF2B5EF4-FFF2-40B4-BE49-F238E27FC236}">
              <a16:creationId xmlns:a16="http://schemas.microsoft.com/office/drawing/2014/main" id="{A398EBA4-5478-498A-8EE3-7ED5EA27931C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A29DC8C4-448F-4E0A-8108-58840D8668AC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9" name="AutoShape 2">
          <a:extLst>
            <a:ext uri="{FF2B5EF4-FFF2-40B4-BE49-F238E27FC236}">
              <a16:creationId xmlns:a16="http://schemas.microsoft.com/office/drawing/2014/main" id="{98538E5F-7A56-41C9-BB38-ABC638702F41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1F060182-6BD2-4721-B760-6A67B4D421E6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51" name="AutoShape 2">
          <a:extLst>
            <a:ext uri="{FF2B5EF4-FFF2-40B4-BE49-F238E27FC236}">
              <a16:creationId xmlns:a16="http://schemas.microsoft.com/office/drawing/2014/main" id="{F4EB824E-B3F0-428C-8DD1-2AA53F30B8A3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61852960-007F-4207-9635-8CF849AD585D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3" name="AutoShape 2">
          <a:extLst>
            <a:ext uri="{FF2B5EF4-FFF2-40B4-BE49-F238E27FC236}">
              <a16:creationId xmlns:a16="http://schemas.microsoft.com/office/drawing/2014/main" id="{66783A13-0C81-4A6C-B4F4-EA6DE7CF1E43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183808BE-8440-4D3F-AE90-72A50B20EB60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5" name="AutoShape 2">
          <a:extLst>
            <a:ext uri="{FF2B5EF4-FFF2-40B4-BE49-F238E27FC236}">
              <a16:creationId xmlns:a16="http://schemas.microsoft.com/office/drawing/2014/main" id="{C4D55894-A78E-46F1-BB01-B0A06F04B33D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0B1D51C7-79AA-4CC9-BA32-60EBB6DB10E3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7" name="AutoShape 2">
          <a:extLst>
            <a:ext uri="{FF2B5EF4-FFF2-40B4-BE49-F238E27FC236}">
              <a16:creationId xmlns:a16="http://schemas.microsoft.com/office/drawing/2014/main" id="{FA4311EC-8721-4487-96F1-6BDA2F9998CD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50FF43B4-954C-4D06-BB04-6AFE6AAA8E3F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9" name="AutoShape 2">
          <a:extLst>
            <a:ext uri="{FF2B5EF4-FFF2-40B4-BE49-F238E27FC236}">
              <a16:creationId xmlns:a16="http://schemas.microsoft.com/office/drawing/2014/main" id="{0015D713-80F5-4C4A-AF5E-33B3D3A77F55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FCFEA5BE-DF0A-42CB-A135-F34E9E1B8802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1" name="AutoShape 2">
          <a:extLst>
            <a:ext uri="{FF2B5EF4-FFF2-40B4-BE49-F238E27FC236}">
              <a16:creationId xmlns:a16="http://schemas.microsoft.com/office/drawing/2014/main" id="{C3958A6A-AA2C-401C-8980-633D81CB4753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33310168-248D-41AA-BA90-9CC6953A8337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3" name="AutoShape 2">
          <a:extLst>
            <a:ext uri="{FF2B5EF4-FFF2-40B4-BE49-F238E27FC236}">
              <a16:creationId xmlns:a16="http://schemas.microsoft.com/office/drawing/2014/main" id="{7C940DC1-E07C-4416-BCA9-10630E594643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8A72B099-055D-4375-84A4-C25964754D2F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5" name="AutoShape 2">
          <a:extLst>
            <a:ext uri="{FF2B5EF4-FFF2-40B4-BE49-F238E27FC236}">
              <a16:creationId xmlns:a16="http://schemas.microsoft.com/office/drawing/2014/main" id="{90C3D4D6-97B4-4503-B95E-AB3761EDE45F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F70B59F5-14D3-43C4-BBAE-82941CA987B2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7" name="AutoShape 2">
          <a:extLst>
            <a:ext uri="{FF2B5EF4-FFF2-40B4-BE49-F238E27FC236}">
              <a16:creationId xmlns:a16="http://schemas.microsoft.com/office/drawing/2014/main" id="{2BAB3DF3-5639-4D43-A449-85FA404DA7D3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97E1BBDC-7447-4831-B929-79F86084DBA9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69" name="AutoShape 2">
          <a:extLst>
            <a:ext uri="{FF2B5EF4-FFF2-40B4-BE49-F238E27FC236}">
              <a16:creationId xmlns:a16="http://schemas.microsoft.com/office/drawing/2014/main" id="{123FD9C8-0253-4E09-9BB9-E6982A0E8663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29A15B2E-D2FC-4DFA-A389-CD5B8FE9D1A2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71" name="AutoShape 2">
          <a:extLst>
            <a:ext uri="{FF2B5EF4-FFF2-40B4-BE49-F238E27FC236}">
              <a16:creationId xmlns:a16="http://schemas.microsoft.com/office/drawing/2014/main" id="{DED97E13-6CF1-4C81-89D5-77EA4263D611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B183EE01-FF78-4553-98D7-5FE31C4112F9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73" name="AutoShape 2">
          <a:extLst>
            <a:ext uri="{FF2B5EF4-FFF2-40B4-BE49-F238E27FC236}">
              <a16:creationId xmlns:a16="http://schemas.microsoft.com/office/drawing/2014/main" id="{CFA5B0E3-9C9F-4BAE-8F82-D1610670CF59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DF0BDE69-A2E5-46C2-AC10-19318798A535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5" name="AutoShape 2">
          <a:extLst>
            <a:ext uri="{FF2B5EF4-FFF2-40B4-BE49-F238E27FC236}">
              <a16:creationId xmlns:a16="http://schemas.microsoft.com/office/drawing/2014/main" id="{0C7612BB-474B-4D1A-A058-7A4DCDAE4E9C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56B0B9A8-EA8B-4C7D-A1D5-2A60C821CED4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7" name="AutoShape 2">
          <a:extLst>
            <a:ext uri="{FF2B5EF4-FFF2-40B4-BE49-F238E27FC236}">
              <a16:creationId xmlns:a16="http://schemas.microsoft.com/office/drawing/2014/main" id="{FDB0FC50-3E9E-4C0D-BF9B-CA6F8AA85F8A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1DB87375-1A1F-444D-B40C-7BBA6D51C255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9" name="AutoShape 2">
          <a:extLst>
            <a:ext uri="{FF2B5EF4-FFF2-40B4-BE49-F238E27FC236}">
              <a16:creationId xmlns:a16="http://schemas.microsoft.com/office/drawing/2014/main" id="{17B1673B-6A14-4C2C-BE47-F4B4DC44089C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C23846CC-E38A-46C4-8C7E-FCDBC89E1D8C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81" name="AutoShape 2">
          <a:extLst>
            <a:ext uri="{FF2B5EF4-FFF2-40B4-BE49-F238E27FC236}">
              <a16:creationId xmlns:a16="http://schemas.microsoft.com/office/drawing/2014/main" id="{E4BCA150-17A6-4093-8AF7-2C617C4B1924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68A917A0-2470-4C61-B033-0112D5546B5C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3" name="AutoShape 2">
          <a:extLst>
            <a:ext uri="{FF2B5EF4-FFF2-40B4-BE49-F238E27FC236}">
              <a16:creationId xmlns:a16="http://schemas.microsoft.com/office/drawing/2014/main" id="{25C87C0D-8AFA-4E90-9751-954E0FB3768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DD346B08-B847-4F96-8767-FE6D39B18D3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5" name="AutoShape 2">
          <a:extLst>
            <a:ext uri="{FF2B5EF4-FFF2-40B4-BE49-F238E27FC236}">
              <a16:creationId xmlns:a16="http://schemas.microsoft.com/office/drawing/2014/main" id="{AC2D7589-1F17-4E01-AE4A-D58D8F9B0EBD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244A82DA-0578-4EFF-A6E2-AD5967EABC98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7" name="AutoShape 2">
          <a:extLst>
            <a:ext uri="{FF2B5EF4-FFF2-40B4-BE49-F238E27FC236}">
              <a16:creationId xmlns:a16="http://schemas.microsoft.com/office/drawing/2014/main" id="{829D8968-9A41-4FD3-A58A-72526A20074E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EE7B2B31-1C5C-4337-9BEB-83D47861BC9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9" name="AutoShape 2">
          <a:extLst>
            <a:ext uri="{FF2B5EF4-FFF2-40B4-BE49-F238E27FC236}">
              <a16:creationId xmlns:a16="http://schemas.microsoft.com/office/drawing/2014/main" id="{9025AEED-CD91-4A78-8CB9-D1DAE4EC832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F642D2C1-B611-43C5-8FE4-A050FBF6A22F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1" name="AutoShape 2">
          <a:extLst>
            <a:ext uri="{FF2B5EF4-FFF2-40B4-BE49-F238E27FC236}">
              <a16:creationId xmlns:a16="http://schemas.microsoft.com/office/drawing/2014/main" id="{9571C272-CA05-4874-8838-12AA318BFBDF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58AD0598-BD26-4550-8888-6E80DB33B5AA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3" name="AutoShape 2">
          <a:extLst>
            <a:ext uri="{FF2B5EF4-FFF2-40B4-BE49-F238E27FC236}">
              <a16:creationId xmlns:a16="http://schemas.microsoft.com/office/drawing/2014/main" id="{3E00A5F2-C984-4EED-AB4C-3D6AFBF1F539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94E0E11C-8E57-4F4A-B9A7-C5B29FCBD2FD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5" name="AutoShape 2">
          <a:extLst>
            <a:ext uri="{FF2B5EF4-FFF2-40B4-BE49-F238E27FC236}">
              <a16:creationId xmlns:a16="http://schemas.microsoft.com/office/drawing/2014/main" id="{344AA879-9016-4637-8246-E37517BFD2D1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9BA9E540-A34D-4AB9-93CF-7DFFFF608EF0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7" name="AutoShape 2">
          <a:extLst>
            <a:ext uri="{FF2B5EF4-FFF2-40B4-BE49-F238E27FC236}">
              <a16:creationId xmlns:a16="http://schemas.microsoft.com/office/drawing/2014/main" id="{E1112049-98D4-473E-9BAF-F1C8E76A6B07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0C819ABA-F2A6-4F41-8720-53553BA2563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9" name="AutoShape 2">
          <a:extLst>
            <a:ext uri="{FF2B5EF4-FFF2-40B4-BE49-F238E27FC236}">
              <a16:creationId xmlns:a16="http://schemas.microsoft.com/office/drawing/2014/main" id="{327BCEB8-E450-4BBC-8214-4D64F0BEEA1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B2FB3918-33BE-4650-9F27-14BD56098F6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1" name="AutoShape 2">
          <a:extLst>
            <a:ext uri="{FF2B5EF4-FFF2-40B4-BE49-F238E27FC236}">
              <a16:creationId xmlns:a16="http://schemas.microsoft.com/office/drawing/2014/main" id="{833488DD-D115-458B-AFF8-499FBEAC1129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359A3335-6757-49AE-9A6B-D58943042612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3" name="AutoShape 2">
          <a:extLst>
            <a:ext uri="{FF2B5EF4-FFF2-40B4-BE49-F238E27FC236}">
              <a16:creationId xmlns:a16="http://schemas.microsoft.com/office/drawing/2014/main" id="{FE6A46F8-A7C4-4187-9C8B-96FBE1C396B6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4C1F6F9D-DB18-404E-B9FD-088E00D2B52A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5" name="AutoShape 2">
          <a:extLst>
            <a:ext uri="{FF2B5EF4-FFF2-40B4-BE49-F238E27FC236}">
              <a16:creationId xmlns:a16="http://schemas.microsoft.com/office/drawing/2014/main" id="{83DC1913-5EC5-4456-9997-175DCEDEEE5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E94EBDB1-CBE8-47AD-B72E-25E479749505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07" name="AutoShape 2">
          <a:extLst>
            <a:ext uri="{FF2B5EF4-FFF2-40B4-BE49-F238E27FC236}">
              <a16:creationId xmlns:a16="http://schemas.microsoft.com/office/drawing/2014/main" id="{F68B2BA4-33FC-439B-955C-45D9FDD78518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2F63FB81-A02A-437D-86CD-F18F4EC4DCD3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09" name="AutoShape 2">
          <a:extLst>
            <a:ext uri="{FF2B5EF4-FFF2-40B4-BE49-F238E27FC236}">
              <a16:creationId xmlns:a16="http://schemas.microsoft.com/office/drawing/2014/main" id="{56112EC0-E984-4667-AA84-C583DC237A44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34AD7A68-5579-4D1C-BC71-24522A08E82B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11" name="AutoShape 2">
          <a:extLst>
            <a:ext uri="{FF2B5EF4-FFF2-40B4-BE49-F238E27FC236}">
              <a16:creationId xmlns:a16="http://schemas.microsoft.com/office/drawing/2014/main" id="{46E81463-ADD0-40AC-9D3C-174BC5387352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41E8C290-6D09-4E35-A60F-83AD365FC257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3" name="AutoShape 2">
          <a:extLst>
            <a:ext uri="{FF2B5EF4-FFF2-40B4-BE49-F238E27FC236}">
              <a16:creationId xmlns:a16="http://schemas.microsoft.com/office/drawing/2014/main" id="{C89B5230-3CC0-4A71-8B03-5CFA94D25CFB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4A25DDF9-0C61-4449-9E45-7577F7415002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5" name="AutoShape 2">
          <a:extLst>
            <a:ext uri="{FF2B5EF4-FFF2-40B4-BE49-F238E27FC236}">
              <a16:creationId xmlns:a16="http://schemas.microsoft.com/office/drawing/2014/main" id="{C66B14D9-E579-4FBD-83C1-74E33EC00BED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D325E442-BCA6-4962-954A-FD4F66BAED99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7" name="AutoShape 2">
          <a:extLst>
            <a:ext uri="{FF2B5EF4-FFF2-40B4-BE49-F238E27FC236}">
              <a16:creationId xmlns:a16="http://schemas.microsoft.com/office/drawing/2014/main" id="{B7BC7B7F-7068-4369-957C-61C489B36F42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5DB56E56-25D3-4CAB-991A-5F6F9C8A7E26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9" name="AutoShape 2">
          <a:extLst>
            <a:ext uri="{FF2B5EF4-FFF2-40B4-BE49-F238E27FC236}">
              <a16:creationId xmlns:a16="http://schemas.microsoft.com/office/drawing/2014/main" id="{DC82B3FB-67EB-4896-AE6C-7B944F64C8DA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A5E82FF6-8490-4747-A94A-B127795639BD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1" name="AutoShape 2">
          <a:extLst>
            <a:ext uri="{FF2B5EF4-FFF2-40B4-BE49-F238E27FC236}">
              <a16:creationId xmlns:a16="http://schemas.microsoft.com/office/drawing/2014/main" id="{0693E360-8452-4A62-8B87-422F28800CEB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FA912363-D63C-4E55-AB8C-F0895F410175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3" name="AutoShape 2">
          <a:extLst>
            <a:ext uri="{FF2B5EF4-FFF2-40B4-BE49-F238E27FC236}">
              <a16:creationId xmlns:a16="http://schemas.microsoft.com/office/drawing/2014/main" id="{E46E4F8E-A19E-41F7-9254-31ACEECAA2E8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2F2D3DF1-3894-4B53-95D5-9E2BCB881B26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5" name="AutoShape 2">
          <a:extLst>
            <a:ext uri="{FF2B5EF4-FFF2-40B4-BE49-F238E27FC236}">
              <a16:creationId xmlns:a16="http://schemas.microsoft.com/office/drawing/2014/main" id="{CA260B9E-E1EB-4CB2-BF9A-255B85DB9B35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3756969-1FAE-42D1-B8FA-CC59C6A4B359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7" name="AutoShape 2">
          <a:extLst>
            <a:ext uri="{FF2B5EF4-FFF2-40B4-BE49-F238E27FC236}">
              <a16:creationId xmlns:a16="http://schemas.microsoft.com/office/drawing/2014/main" id="{E5424907-0C66-4DAF-8FE8-96CC36302A68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457D4CF2-A237-40C8-9C2D-110F363B779A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29" name="AutoShape 2">
          <a:extLst>
            <a:ext uri="{FF2B5EF4-FFF2-40B4-BE49-F238E27FC236}">
              <a16:creationId xmlns:a16="http://schemas.microsoft.com/office/drawing/2014/main" id="{4381D7A2-287B-4F13-9419-A5D844BA41B8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AAA019A7-686A-4C4E-845B-9E2462D928F1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1" name="AutoShape 2">
          <a:extLst>
            <a:ext uri="{FF2B5EF4-FFF2-40B4-BE49-F238E27FC236}">
              <a16:creationId xmlns:a16="http://schemas.microsoft.com/office/drawing/2014/main" id="{0F2316E4-493F-409A-BDC0-D646E0C5C05E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64659FFF-C8BD-467E-A6FB-FDE7BC90306D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3" name="AutoShape 2">
          <a:extLst>
            <a:ext uri="{FF2B5EF4-FFF2-40B4-BE49-F238E27FC236}">
              <a16:creationId xmlns:a16="http://schemas.microsoft.com/office/drawing/2014/main" id="{D920E5DF-30B4-498D-A659-4D943F6F73EB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CED1F4DD-774C-49E0-9787-0E0B30F53E16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5" name="AutoShape 2">
          <a:extLst>
            <a:ext uri="{FF2B5EF4-FFF2-40B4-BE49-F238E27FC236}">
              <a16:creationId xmlns:a16="http://schemas.microsoft.com/office/drawing/2014/main" id="{10D1D31B-5FED-41E7-B5A8-84E0D6724962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FB20B79E-6ABB-4F3A-9C52-2BCAC347646B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7" name="AutoShape 2">
          <a:extLst>
            <a:ext uri="{FF2B5EF4-FFF2-40B4-BE49-F238E27FC236}">
              <a16:creationId xmlns:a16="http://schemas.microsoft.com/office/drawing/2014/main" id="{085DE78C-276E-455C-B5B4-F80390B9B5E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85185887-46FE-4177-A788-FC19706218CD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9" name="AutoShape 2">
          <a:extLst>
            <a:ext uri="{FF2B5EF4-FFF2-40B4-BE49-F238E27FC236}">
              <a16:creationId xmlns:a16="http://schemas.microsoft.com/office/drawing/2014/main" id="{DB387F8E-D612-4597-A1D6-3E45AF5D6997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54E78595-4DE1-49DF-BD3D-3EEF5929184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1" name="AutoShape 2">
          <a:extLst>
            <a:ext uri="{FF2B5EF4-FFF2-40B4-BE49-F238E27FC236}">
              <a16:creationId xmlns:a16="http://schemas.microsoft.com/office/drawing/2014/main" id="{9C72B86C-E536-4975-B44A-A9F8BE5E20AD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F3E602C2-12D4-4B54-A4D1-CEC69DB24B48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3" name="AutoShape 2">
          <a:extLst>
            <a:ext uri="{FF2B5EF4-FFF2-40B4-BE49-F238E27FC236}">
              <a16:creationId xmlns:a16="http://schemas.microsoft.com/office/drawing/2014/main" id="{36D1509A-5859-457F-A47E-2D4E778BA4AC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F57F789B-0D01-4E9B-AC88-DFEB67710303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5" name="AutoShape 2">
          <a:extLst>
            <a:ext uri="{FF2B5EF4-FFF2-40B4-BE49-F238E27FC236}">
              <a16:creationId xmlns:a16="http://schemas.microsoft.com/office/drawing/2014/main" id="{78DAE3D1-0D11-41C5-BCCE-EFE8969625DA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EEAA3C97-4B4D-4FD4-AA49-2B716D752D3A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7" name="AutoShape 2">
          <a:extLst>
            <a:ext uri="{FF2B5EF4-FFF2-40B4-BE49-F238E27FC236}">
              <a16:creationId xmlns:a16="http://schemas.microsoft.com/office/drawing/2014/main" id="{368AA0B0-7B34-40BF-A88A-34033AE48391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6C9900D7-47DF-4F78-853D-5822F8547513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9" name="AutoShape 2">
          <a:extLst>
            <a:ext uri="{FF2B5EF4-FFF2-40B4-BE49-F238E27FC236}">
              <a16:creationId xmlns:a16="http://schemas.microsoft.com/office/drawing/2014/main" id="{915793DA-AF5E-4C12-9F32-8AB26DEE0E0A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70333086-E5FD-42A7-8C32-2A235FA8FAB9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1" name="AutoShape 2">
          <a:extLst>
            <a:ext uri="{FF2B5EF4-FFF2-40B4-BE49-F238E27FC236}">
              <a16:creationId xmlns:a16="http://schemas.microsoft.com/office/drawing/2014/main" id="{4F584B0E-4D74-4BB7-87C3-B6C516A0E8AC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0F19C5F7-12B4-4B9A-8BBF-B31B60552D13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3" name="AutoShape 2">
          <a:extLst>
            <a:ext uri="{FF2B5EF4-FFF2-40B4-BE49-F238E27FC236}">
              <a16:creationId xmlns:a16="http://schemas.microsoft.com/office/drawing/2014/main" id="{C072AE79-8CA6-4862-B863-1380D1062600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42B4BE1B-D503-4E6E-9FF7-C0E2497DB8E5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5" name="AutoShape 2">
          <a:extLst>
            <a:ext uri="{FF2B5EF4-FFF2-40B4-BE49-F238E27FC236}">
              <a16:creationId xmlns:a16="http://schemas.microsoft.com/office/drawing/2014/main" id="{B76D1722-89B7-4F9B-8071-D929EBDC6420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2D74ED69-6125-40D2-8A9E-97A283290AD2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22860</xdr:colOff>
      <xdr:row>17</xdr:row>
      <xdr:rowOff>7620</xdr:rowOff>
    </xdr:from>
    <xdr:ext cx="304800" cy="312420"/>
    <xdr:sp macro="" textlink="">
      <xdr:nvSpPr>
        <xdr:cNvPr id="857" name="AutoShape 2">
          <a:extLst>
            <a:ext uri="{FF2B5EF4-FFF2-40B4-BE49-F238E27FC236}">
              <a16:creationId xmlns:a16="http://schemas.microsoft.com/office/drawing/2014/main" id="{8263784D-F3DE-410E-89CC-9FAAA32A354D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225540" y="32308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FC04C629-1E04-4944-956F-FBE15FD2D3FC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59" name="AutoShape 2">
          <a:extLst>
            <a:ext uri="{FF2B5EF4-FFF2-40B4-BE49-F238E27FC236}">
              <a16:creationId xmlns:a16="http://schemas.microsoft.com/office/drawing/2014/main" id="{877A4D0D-B254-4350-95A5-7033437B679D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89DF52A3-F484-4454-BBB6-6B1A3DD5A430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1" name="AutoShape 2">
          <a:extLst>
            <a:ext uri="{FF2B5EF4-FFF2-40B4-BE49-F238E27FC236}">
              <a16:creationId xmlns:a16="http://schemas.microsoft.com/office/drawing/2014/main" id="{6574D66A-41F7-46E7-B34B-6FA2E79E4CB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2AF0934F-A5AD-464E-867C-60F9DBC674A5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3" name="AutoShape 2">
          <a:extLst>
            <a:ext uri="{FF2B5EF4-FFF2-40B4-BE49-F238E27FC236}">
              <a16:creationId xmlns:a16="http://schemas.microsoft.com/office/drawing/2014/main" id="{FCA02D95-BEF4-46C0-8546-5C9D1ABAC4E6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11EDC74F-5AD4-416A-908E-41BC0041793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5" name="AutoShape 2">
          <a:extLst>
            <a:ext uri="{FF2B5EF4-FFF2-40B4-BE49-F238E27FC236}">
              <a16:creationId xmlns:a16="http://schemas.microsoft.com/office/drawing/2014/main" id="{1D21DD94-9FD7-49C6-A520-EE690A9846FA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844DF725-1F37-43FA-A8EE-49DC16EC96CA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67" name="AutoShape 2">
          <a:extLst>
            <a:ext uri="{FF2B5EF4-FFF2-40B4-BE49-F238E27FC236}">
              <a16:creationId xmlns:a16="http://schemas.microsoft.com/office/drawing/2014/main" id="{39504A81-AB22-4144-84A0-4AABC485C13E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151C880A-99E2-4711-B10B-B5DE188460E5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69" name="AutoShape 2">
          <a:extLst>
            <a:ext uri="{FF2B5EF4-FFF2-40B4-BE49-F238E27FC236}">
              <a16:creationId xmlns:a16="http://schemas.microsoft.com/office/drawing/2014/main" id="{5B2C9C15-40A3-454D-B111-CA27229DF386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72757DEC-8A0C-4169-97D3-547F138A8836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71" name="AutoShape 2">
          <a:extLst>
            <a:ext uri="{FF2B5EF4-FFF2-40B4-BE49-F238E27FC236}">
              <a16:creationId xmlns:a16="http://schemas.microsoft.com/office/drawing/2014/main" id="{9C1903AC-1CBC-4CE2-94B0-2F0E8BB420BE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A67A98FC-01BA-4567-ABB2-2B1E12A6E89E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873" name="AutoShape 2">
          <a:extLst>
            <a:ext uri="{FF2B5EF4-FFF2-40B4-BE49-F238E27FC236}">
              <a16:creationId xmlns:a16="http://schemas.microsoft.com/office/drawing/2014/main" id="{304477DE-9A20-49B0-B91B-C9359C8A1496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FF7E64A0-F741-4E97-994A-6777A05D4BE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5" name="AutoShape 2">
          <a:extLst>
            <a:ext uri="{FF2B5EF4-FFF2-40B4-BE49-F238E27FC236}">
              <a16:creationId xmlns:a16="http://schemas.microsoft.com/office/drawing/2014/main" id="{99F55004-FF16-48A9-820A-9EA43A39FB3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7A137DEB-60A4-4414-9486-0928702780F2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7" name="AutoShape 2">
          <a:extLst>
            <a:ext uri="{FF2B5EF4-FFF2-40B4-BE49-F238E27FC236}">
              <a16:creationId xmlns:a16="http://schemas.microsoft.com/office/drawing/2014/main" id="{C64A9C5F-B354-460C-A3F6-94CCCC24D068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41175E1A-E5FF-4F26-B14A-9F06FA626606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9" name="AutoShape 2">
          <a:extLst>
            <a:ext uri="{FF2B5EF4-FFF2-40B4-BE49-F238E27FC236}">
              <a16:creationId xmlns:a16="http://schemas.microsoft.com/office/drawing/2014/main" id="{E9114C19-19E2-4D46-AD4B-4A14B04F997F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698CB09A-1FB4-43E3-A20C-A9A6A6359677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81" name="AutoShape 2">
          <a:extLst>
            <a:ext uri="{FF2B5EF4-FFF2-40B4-BE49-F238E27FC236}">
              <a16:creationId xmlns:a16="http://schemas.microsoft.com/office/drawing/2014/main" id="{D86F502C-834F-4E18-87DB-94D5AE824D9B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67149CD7-383E-4342-AC27-7708DC5F5079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3" name="AutoShape 2">
          <a:extLst>
            <a:ext uri="{FF2B5EF4-FFF2-40B4-BE49-F238E27FC236}">
              <a16:creationId xmlns:a16="http://schemas.microsoft.com/office/drawing/2014/main" id="{782123EF-A6FB-4F51-8A0F-24BFD888B8D4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31AA8DEC-0A69-4D38-9971-A7C1D547FD92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5" name="AutoShape 2">
          <a:extLst>
            <a:ext uri="{FF2B5EF4-FFF2-40B4-BE49-F238E27FC236}">
              <a16:creationId xmlns:a16="http://schemas.microsoft.com/office/drawing/2014/main" id="{4C048438-A779-42D3-9864-BB05B5728AC1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0010C9B3-C866-4047-8B10-73C0BB806945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7" name="AutoShape 2">
          <a:extLst>
            <a:ext uri="{FF2B5EF4-FFF2-40B4-BE49-F238E27FC236}">
              <a16:creationId xmlns:a16="http://schemas.microsoft.com/office/drawing/2014/main" id="{B6A83F48-01B5-471C-954E-413596380326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73C4AE63-2520-42EE-B95B-304099147F17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89" name="AutoShape 2">
          <a:extLst>
            <a:ext uri="{FF2B5EF4-FFF2-40B4-BE49-F238E27FC236}">
              <a16:creationId xmlns:a16="http://schemas.microsoft.com/office/drawing/2014/main" id="{AD621FBD-D67B-4AC9-B7D3-E6D1AD193972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1CD9D336-BC82-47D6-9348-2F389522B31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1" name="AutoShape 2">
          <a:extLst>
            <a:ext uri="{FF2B5EF4-FFF2-40B4-BE49-F238E27FC236}">
              <a16:creationId xmlns:a16="http://schemas.microsoft.com/office/drawing/2014/main" id="{D32AAAAD-525F-41DC-9562-1CF5FE927914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EF7791E1-5329-4C9D-A441-3DD091D6847B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3" name="AutoShape 2">
          <a:extLst>
            <a:ext uri="{FF2B5EF4-FFF2-40B4-BE49-F238E27FC236}">
              <a16:creationId xmlns:a16="http://schemas.microsoft.com/office/drawing/2014/main" id="{67FF1F71-D4DE-4AD4-BF7B-9BEF7BA16E6F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7079204C-E1F4-4BF0-9DE4-93D4E44518F3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5" name="AutoShape 2">
          <a:extLst>
            <a:ext uri="{FF2B5EF4-FFF2-40B4-BE49-F238E27FC236}">
              <a16:creationId xmlns:a16="http://schemas.microsoft.com/office/drawing/2014/main" id="{0FC571C3-3759-45DB-8633-C3A5D150572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49E7948D-ED1D-4D91-AC95-FD66871D3C54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97" name="AutoShape 2">
          <a:extLst>
            <a:ext uri="{FF2B5EF4-FFF2-40B4-BE49-F238E27FC236}">
              <a16:creationId xmlns:a16="http://schemas.microsoft.com/office/drawing/2014/main" id="{BE7BD5C4-964F-4933-A528-69CB503820F8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47A7B2C-7556-4AFD-9EC6-344C1BF2B52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99" name="AutoShape 2">
          <a:extLst>
            <a:ext uri="{FF2B5EF4-FFF2-40B4-BE49-F238E27FC236}">
              <a16:creationId xmlns:a16="http://schemas.microsoft.com/office/drawing/2014/main" id="{078F5240-846C-4638-A5D5-482A877BD10E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79B7AB31-9051-48B6-9A2E-3A25B32D9F1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01" name="AutoShape 2">
          <a:extLst>
            <a:ext uri="{FF2B5EF4-FFF2-40B4-BE49-F238E27FC236}">
              <a16:creationId xmlns:a16="http://schemas.microsoft.com/office/drawing/2014/main" id="{E6BB07A3-A978-4737-93F2-6B06655EB8C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AFCA988E-7A79-441B-B8A7-7049ADD8DD81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03" name="AutoShape 2">
          <a:extLst>
            <a:ext uri="{FF2B5EF4-FFF2-40B4-BE49-F238E27FC236}">
              <a16:creationId xmlns:a16="http://schemas.microsoft.com/office/drawing/2014/main" id="{47C61EB6-2F54-44A8-8811-E43247B838B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3B7A5061-2245-4C33-AF37-C03ABC78D91F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5" name="AutoShape 2">
          <a:extLst>
            <a:ext uri="{FF2B5EF4-FFF2-40B4-BE49-F238E27FC236}">
              <a16:creationId xmlns:a16="http://schemas.microsoft.com/office/drawing/2014/main" id="{E9CFD24F-D42E-4BAD-9DE2-3CE012EDDFA0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B97B13F2-2EC6-4098-8BC0-18C702E66006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7" name="AutoShape 2">
          <a:extLst>
            <a:ext uri="{FF2B5EF4-FFF2-40B4-BE49-F238E27FC236}">
              <a16:creationId xmlns:a16="http://schemas.microsoft.com/office/drawing/2014/main" id="{47CA967A-6B79-4EFD-8056-AB2B0EB74139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2B850271-1E44-489F-AB47-8A25DDE42F95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9" name="AutoShape 2">
          <a:extLst>
            <a:ext uri="{FF2B5EF4-FFF2-40B4-BE49-F238E27FC236}">
              <a16:creationId xmlns:a16="http://schemas.microsoft.com/office/drawing/2014/main" id="{D810BB1A-220A-4F14-8722-AE5726887432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B7A6AA2E-EBEF-4BCB-8D30-6072582D3F7B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1" name="AutoShape 2">
          <a:extLst>
            <a:ext uri="{FF2B5EF4-FFF2-40B4-BE49-F238E27FC236}">
              <a16:creationId xmlns:a16="http://schemas.microsoft.com/office/drawing/2014/main" id="{48F05EEC-B9BF-4F18-B9AB-F99735D6828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DAC22F55-2459-47DC-B99F-4E190F18D104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3" name="AutoShape 2">
          <a:extLst>
            <a:ext uri="{FF2B5EF4-FFF2-40B4-BE49-F238E27FC236}">
              <a16:creationId xmlns:a16="http://schemas.microsoft.com/office/drawing/2014/main" id="{1FBFC81A-F747-4F04-895A-D02FC5AC777B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8125425D-4F30-4369-AA78-65AEDDE53D58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5" name="AutoShape 2">
          <a:extLst>
            <a:ext uri="{FF2B5EF4-FFF2-40B4-BE49-F238E27FC236}">
              <a16:creationId xmlns:a16="http://schemas.microsoft.com/office/drawing/2014/main" id="{67092343-DDBE-4787-BB90-784E614710F7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BCFA175D-2D8D-442F-9FF1-8A4B4156F06E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7" name="AutoShape 2">
          <a:extLst>
            <a:ext uri="{FF2B5EF4-FFF2-40B4-BE49-F238E27FC236}">
              <a16:creationId xmlns:a16="http://schemas.microsoft.com/office/drawing/2014/main" id="{A4BC25CB-1897-4FFA-B2B4-D5651F2B88B3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11E21559-2765-432E-A946-C11AF03B145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19" name="AutoShape 2">
          <a:extLst>
            <a:ext uri="{FF2B5EF4-FFF2-40B4-BE49-F238E27FC236}">
              <a16:creationId xmlns:a16="http://schemas.microsoft.com/office/drawing/2014/main" id="{5540DE42-5A4C-4767-BEE9-E958010B2D2D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B1E72CCA-D773-4612-872C-978D42481BF0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1" name="AutoShape 2">
          <a:extLst>
            <a:ext uri="{FF2B5EF4-FFF2-40B4-BE49-F238E27FC236}">
              <a16:creationId xmlns:a16="http://schemas.microsoft.com/office/drawing/2014/main" id="{165F3DD9-5235-499C-9578-F405BC291FEC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8D35E93E-B4AF-43E6-90E0-FC44C6A834E4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3" name="AutoShape 2">
          <a:extLst>
            <a:ext uri="{FF2B5EF4-FFF2-40B4-BE49-F238E27FC236}">
              <a16:creationId xmlns:a16="http://schemas.microsoft.com/office/drawing/2014/main" id="{6E92A2B4-7DF4-4297-9424-C28459B6E084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502489F1-942E-49BA-BC60-5F77B8D968DB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5" name="AutoShape 2">
          <a:extLst>
            <a:ext uri="{FF2B5EF4-FFF2-40B4-BE49-F238E27FC236}">
              <a16:creationId xmlns:a16="http://schemas.microsoft.com/office/drawing/2014/main" id="{E194FCEA-047A-42AC-A943-639BF303AAB1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CE2B4B79-CC45-4D7D-B249-89E0B0F15301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27" name="AutoShape 2">
          <a:extLst>
            <a:ext uri="{FF2B5EF4-FFF2-40B4-BE49-F238E27FC236}">
              <a16:creationId xmlns:a16="http://schemas.microsoft.com/office/drawing/2014/main" id="{03906CFC-072E-4B44-8575-43417BE3F35E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B407A16B-FB29-4EC3-A165-0122D41163E8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29" name="AutoShape 2">
          <a:extLst>
            <a:ext uri="{FF2B5EF4-FFF2-40B4-BE49-F238E27FC236}">
              <a16:creationId xmlns:a16="http://schemas.microsoft.com/office/drawing/2014/main" id="{2BB6B62C-1E47-4300-AFA2-1AD4A26C1C93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4D51D529-100E-40A2-BD62-10682B8039A2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31" name="AutoShape 2">
          <a:extLst>
            <a:ext uri="{FF2B5EF4-FFF2-40B4-BE49-F238E27FC236}">
              <a16:creationId xmlns:a16="http://schemas.microsoft.com/office/drawing/2014/main" id="{EDE69BAD-B471-4658-9893-C37DAF693D2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AB087053-6B34-4504-99B6-00242A1021BE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3" name="AutoShape 2">
          <a:extLst>
            <a:ext uri="{FF2B5EF4-FFF2-40B4-BE49-F238E27FC236}">
              <a16:creationId xmlns:a16="http://schemas.microsoft.com/office/drawing/2014/main" id="{DDD309EC-9C8C-427F-A19A-92996F35B6C0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3968C725-DAFF-4715-826F-203C4DD72529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5" name="AutoShape 2">
          <a:extLst>
            <a:ext uri="{FF2B5EF4-FFF2-40B4-BE49-F238E27FC236}">
              <a16:creationId xmlns:a16="http://schemas.microsoft.com/office/drawing/2014/main" id="{53DE9AAC-0E96-41B8-984A-56EF386CA173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F5413C10-A3CC-447D-A844-13CF73903CA4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7" name="AutoShape 2">
          <a:extLst>
            <a:ext uri="{FF2B5EF4-FFF2-40B4-BE49-F238E27FC236}">
              <a16:creationId xmlns:a16="http://schemas.microsoft.com/office/drawing/2014/main" id="{F62C5416-BD51-441A-8DB9-ECB05C70097F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E6816056-C630-462B-8FD6-772DCE472BBF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9" name="AutoShape 2">
          <a:extLst>
            <a:ext uri="{FF2B5EF4-FFF2-40B4-BE49-F238E27FC236}">
              <a16:creationId xmlns:a16="http://schemas.microsoft.com/office/drawing/2014/main" id="{CB227E1D-DE98-426F-8382-F3D8851B0A67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73FED291-384A-4BEF-8E2F-0E8030C6CDBF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1" name="AutoShape 2">
          <a:extLst>
            <a:ext uri="{FF2B5EF4-FFF2-40B4-BE49-F238E27FC236}">
              <a16:creationId xmlns:a16="http://schemas.microsoft.com/office/drawing/2014/main" id="{4B2808CD-2EC4-4AD3-A6C4-6FBBC77DA5D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5254D2D2-363D-4100-8FE0-13CBB81624FA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3" name="AutoShape 2">
          <a:extLst>
            <a:ext uri="{FF2B5EF4-FFF2-40B4-BE49-F238E27FC236}">
              <a16:creationId xmlns:a16="http://schemas.microsoft.com/office/drawing/2014/main" id="{350E9F96-86B0-4CA0-997A-E536F867EDF4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DA097C0D-443E-4DE3-9FF4-0EA755971452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5" name="AutoShape 2">
          <a:extLst>
            <a:ext uri="{FF2B5EF4-FFF2-40B4-BE49-F238E27FC236}">
              <a16:creationId xmlns:a16="http://schemas.microsoft.com/office/drawing/2014/main" id="{55035120-91F1-4358-B3FA-CE6B8CF990D5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2D2E7415-1123-4121-9EC4-8E76C9C1FA0F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7" name="AutoShape 2">
          <a:extLst>
            <a:ext uri="{FF2B5EF4-FFF2-40B4-BE49-F238E27FC236}">
              <a16:creationId xmlns:a16="http://schemas.microsoft.com/office/drawing/2014/main" id="{4EE7A6D8-31E6-4199-84FC-47D130F224A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8B349E38-0314-4605-AF71-3FEB93C8B028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49" name="AutoShape 2">
          <a:extLst>
            <a:ext uri="{FF2B5EF4-FFF2-40B4-BE49-F238E27FC236}">
              <a16:creationId xmlns:a16="http://schemas.microsoft.com/office/drawing/2014/main" id="{4ACC3995-9863-4428-82DE-DB3DF85F1C3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2362F817-DD07-4546-9221-B77738B86801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51" name="AutoShape 2">
          <a:extLst>
            <a:ext uri="{FF2B5EF4-FFF2-40B4-BE49-F238E27FC236}">
              <a16:creationId xmlns:a16="http://schemas.microsoft.com/office/drawing/2014/main" id="{EC223538-7D99-4664-8BFE-8D0131331F5B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1EB4B631-4B52-4C10-996B-D87337C3FB15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53" name="AutoShape 2">
          <a:extLst>
            <a:ext uri="{FF2B5EF4-FFF2-40B4-BE49-F238E27FC236}">
              <a16:creationId xmlns:a16="http://schemas.microsoft.com/office/drawing/2014/main" id="{E3D2AD5E-5463-47D8-8ADE-DD261985888D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1FD2907D-FAA5-4A34-88B4-682A9BC22206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5" name="AutoShape 2">
          <a:extLst>
            <a:ext uri="{FF2B5EF4-FFF2-40B4-BE49-F238E27FC236}">
              <a16:creationId xmlns:a16="http://schemas.microsoft.com/office/drawing/2014/main" id="{C7455913-638F-483E-9564-7C71599108E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579594EF-CEDA-4384-A456-D269AF0372A4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7" name="AutoShape 2">
          <a:extLst>
            <a:ext uri="{FF2B5EF4-FFF2-40B4-BE49-F238E27FC236}">
              <a16:creationId xmlns:a16="http://schemas.microsoft.com/office/drawing/2014/main" id="{EC45A908-0A0B-4C92-B77C-E49C2E4FFA2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941FCFF8-1C11-4ECC-850E-2F980F0AD2F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9" name="AutoShape 2">
          <a:extLst>
            <a:ext uri="{FF2B5EF4-FFF2-40B4-BE49-F238E27FC236}">
              <a16:creationId xmlns:a16="http://schemas.microsoft.com/office/drawing/2014/main" id="{9B49F701-98EF-47D9-BE29-883F8043D801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92CF6F9E-E944-4DE0-93AC-13AE874B1BF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61" name="AutoShape 2">
          <a:extLst>
            <a:ext uri="{FF2B5EF4-FFF2-40B4-BE49-F238E27FC236}">
              <a16:creationId xmlns:a16="http://schemas.microsoft.com/office/drawing/2014/main" id="{23829937-F8EA-42DB-A28A-317CD4A5E777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4AF0BEA8-10DF-418A-A858-0CA6317CB65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3" name="AutoShape 2">
          <a:extLst>
            <a:ext uri="{FF2B5EF4-FFF2-40B4-BE49-F238E27FC236}">
              <a16:creationId xmlns:a16="http://schemas.microsoft.com/office/drawing/2014/main" id="{C3CD03BD-E5ED-484F-8161-0C5B2CC1400A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6FD4C347-03BF-4D37-A79F-0D7B0FDB90E3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5" name="AutoShape 2">
          <a:extLst>
            <a:ext uri="{FF2B5EF4-FFF2-40B4-BE49-F238E27FC236}">
              <a16:creationId xmlns:a16="http://schemas.microsoft.com/office/drawing/2014/main" id="{01F73482-CE75-4E46-B2FB-26A0FE781BE9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676D2746-BD36-432C-B579-F36A8640149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7" name="AutoShape 2">
          <a:extLst>
            <a:ext uri="{FF2B5EF4-FFF2-40B4-BE49-F238E27FC236}">
              <a16:creationId xmlns:a16="http://schemas.microsoft.com/office/drawing/2014/main" id="{FC669E8D-BEBD-4226-9B3C-EA51FD8095D9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A0A26750-8A54-4BB7-A7AC-7B320EE84F33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9" name="AutoShape 2">
          <a:extLst>
            <a:ext uri="{FF2B5EF4-FFF2-40B4-BE49-F238E27FC236}">
              <a16:creationId xmlns:a16="http://schemas.microsoft.com/office/drawing/2014/main" id="{E353C559-3772-4703-A61F-F1AE40E45456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61C0D849-ECE0-414E-B88F-F31504BAA66B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1" name="AutoShape 2">
          <a:extLst>
            <a:ext uri="{FF2B5EF4-FFF2-40B4-BE49-F238E27FC236}">
              <a16:creationId xmlns:a16="http://schemas.microsoft.com/office/drawing/2014/main" id="{18A2C5B9-1546-4F86-B5E4-36E43A13194D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A777AE82-75DB-48A8-8073-097DC1C9CB52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3" name="AutoShape 2">
          <a:extLst>
            <a:ext uri="{FF2B5EF4-FFF2-40B4-BE49-F238E27FC236}">
              <a16:creationId xmlns:a16="http://schemas.microsoft.com/office/drawing/2014/main" id="{A66F2899-978D-4896-953E-B9E77F8701F1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C7283D13-34A8-4ADC-B07A-02F40451F4EA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5" name="AutoShape 2">
          <a:extLst>
            <a:ext uri="{FF2B5EF4-FFF2-40B4-BE49-F238E27FC236}">
              <a16:creationId xmlns:a16="http://schemas.microsoft.com/office/drawing/2014/main" id="{089EAFF8-DF46-4044-A47C-3E697EAAF0AB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FA0D3C61-D2AE-494D-B6C8-18AEFFEBA137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7" name="AutoShape 2">
          <a:extLst>
            <a:ext uri="{FF2B5EF4-FFF2-40B4-BE49-F238E27FC236}">
              <a16:creationId xmlns:a16="http://schemas.microsoft.com/office/drawing/2014/main" id="{8CD375B8-0FBD-4B28-A01D-EA284B5B6205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A3970848-15E6-4342-988A-3148AC56F767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9" name="AutoShape 2">
          <a:extLst>
            <a:ext uri="{FF2B5EF4-FFF2-40B4-BE49-F238E27FC236}">
              <a16:creationId xmlns:a16="http://schemas.microsoft.com/office/drawing/2014/main" id="{BC98E9EE-7BE5-4C06-A279-299A4F1211AE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A64FA5F7-34A9-41FB-B871-7993A8C2037E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1" name="AutoShape 2">
          <a:extLst>
            <a:ext uri="{FF2B5EF4-FFF2-40B4-BE49-F238E27FC236}">
              <a16:creationId xmlns:a16="http://schemas.microsoft.com/office/drawing/2014/main" id="{9F31A5EC-8087-44B9-BFAF-7D49BABC86FF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880D7DD7-FAD1-4DF3-AA92-044406D4080E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3" name="AutoShape 2">
          <a:extLst>
            <a:ext uri="{FF2B5EF4-FFF2-40B4-BE49-F238E27FC236}">
              <a16:creationId xmlns:a16="http://schemas.microsoft.com/office/drawing/2014/main" id="{F0BA909A-E1E5-4275-AC1E-4EB19037B7A0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9FD56D4E-9F30-4DF7-8B3B-F67B76DC4F21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5" name="AutoShape 2">
          <a:extLst>
            <a:ext uri="{FF2B5EF4-FFF2-40B4-BE49-F238E27FC236}">
              <a16:creationId xmlns:a16="http://schemas.microsoft.com/office/drawing/2014/main" id="{5D730460-6C7A-497F-A20C-45396D49CAC5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AE7B5118-A211-4869-9E78-2EA89605286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7" name="AutoShape 2">
          <a:extLst>
            <a:ext uri="{FF2B5EF4-FFF2-40B4-BE49-F238E27FC236}">
              <a16:creationId xmlns:a16="http://schemas.microsoft.com/office/drawing/2014/main" id="{BE613836-2C7F-48F0-AB6C-434312D61414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973EC58A-6EC5-44FA-AECF-811CE8F8969D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9" name="AutoShape 2">
          <a:extLst>
            <a:ext uri="{FF2B5EF4-FFF2-40B4-BE49-F238E27FC236}">
              <a16:creationId xmlns:a16="http://schemas.microsoft.com/office/drawing/2014/main" id="{A5A49E1F-9C41-4165-9492-4DD8BDCE9BA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708945FA-4A7A-4E52-BD63-AEC2B52FC8A7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91" name="AutoShape 2">
          <a:extLst>
            <a:ext uri="{FF2B5EF4-FFF2-40B4-BE49-F238E27FC236}">
              <a16:creationId xmlns:a16="http://schemas.microsoft.com/office/drawing/2014/main" id="{7224A5A6-61CD-48A1-83B0-20D5DDF1146B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E0C354D9-4222-4F1D-934E-4993B46660E9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3" name="AutoShape 2">
          <a:extLst>
            <a:ext uri="{FF2B5EF4-FFF2-40B4-BE49-F238E27FC236}">
              <a16:creationId xmlns:a16="http://schemas.microsoft.com/office/drawing/2014/main" id="{7F2ED755-B376-42DF-A8F6-6601270436B5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AD08FC7B-F575-4C1C-A507-3288AE171C06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5" name="AutoShape 2">
          <a:extLst>
            <a:ext uri="{FF2B5EF4-FFF2-40B4-BE49-F238E27FC236}">
              <a16:creationId xmlns:a16="http://schemas.microsoft.com/office/drawing/2014/main" id="{D38D38D9-B2AC-4AF4-85EA-7BC8303D6244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CCDEEA61-D71D-4A3F-934D-77F915C74666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7" name="AutoShape 2">
          <a:extLst>
            <a:ext uri="{FF2B5EF4-FFF2-40B4-BE49-F238E27FC236}">
              <a16:creationId xmlns:a16="http://schemas.microsoft.com/office/drawing/2014/main" id="{7311F310-E80B-487E-BC57-BCEC72104621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8FDF0A01-6E82-4245-B13B-2F35A042A71F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9" name="AutoShape 2">
          <a:extLst>
            <a:ext uri="{FF2B5EF4-FFF2-40B4-BE49-F238E27FC236}">
              <a16:creationId xmlns:a16="http://schemas.microsoft.com/office/drawing/2014/main" id="{64B49EB4-8B4B-4D7B-AE87-4FE03403620D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767DFF1-8757-40ED-B7DB-8CEE522B443E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1" name="AutoShape 2">
          <a:extLst>
            <a:ext uri="{FF2B5EF4-FFF2-40B4-BE49-F238E27FC236}">
              <a16:creationId xmlns:a16="http://schemas.microsoft.com/office/drawing/2014/main" id="{643D7EC8-6DDB-4C50-A532-5F3CF5826AD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B63C5051-A592-4595-B733-1EEF8D2326FC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3" name="AutoShape 2">
          <a:extLst>
            <a:ext uri="{FF2B5EF4-FFF2-40B4-BE49-F238E27FC236}">
              <a16:creationId xmlns:a16="http://schemas.microsoft.com/office/drawing/2014/main" id="{1B240567-3447-4560-BD93-0546237E0F52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25F73F71-196C-432A-BEF3-A3766F60D771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5" name="AutoShape 2">
          <a:extLst>
            <a:ext uri="{FF2B5EF4-FFF2-40B4-BE49-F238E27FC236}">
              <a16:creationId xmlns:a16="http://schemas.microsoft.com/office/drawing/2014/main" id="{3528830C-78B1-4881-9A6F-5E82CBEB5A89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151F2383-E9F6-45FE-A1C2-D72255E4AC71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7" name="AutoShape 2">
          <a:extLst>
            <a:ext uri="{FF2B5EF4-FFF2-40B4-BE49-F238E27FC236}">
              <a16:creationId xmlns:a16="http://schemas.microsoft.com/office/drawing/2014/main" id="{83986B3E-1F4D-42ED-B648-6C5D562E888E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AC551E75-A432-4ED6-9981-B0CF5BD60642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09" name="AutoShape 2">
          <a:extLst>
            <a:ext uri="{FF2B5EF4-FFF2-40B4-BE49-F238E27FC236}">
              <a16:creationId xmlns:a16="http://schemas.microsoft.com/office/drawing/2014/main" id="{9EC99D57-A3E7-4056-8E72-01ADD31D1F65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F04187FE-8762-429D-80FD-D30BD008CD79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11" name="AutoShape 2">
          <a:extLst>
            <a:ext uri="{FF2B5EF4-FFF2-40B4-BE49-F238E27FC236}">
              <a16:creationId xmlns:a16="http://schemas.microsoft.com/office/drawing/2014/main" id="{F3C4BF49-71B9-4130-B1E2-F2678606CCA9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7672B9A8-2AF2-4476-960D-226643369CAD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13" name="AutoShape 2">
          <a:extLst>
            <a:ext uri="{FF2B5EF4-FFF2-40B4-BE49-F238E27FC236}">
              <a16:creationId xmlns:a16="http://schemas.microsoft.com/office/drawing/2014/main" id="{E2293B6D-6EB4-4716-855F-72AE3E479286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AE320E27-BAAF-4B45-89A3-41AA376E1567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5" name="AutoShape 2">
          <a:extLst>
            <a:ext uri="{FF2B5EF4-FFF2-40B4-BE49-F238E27FC236}">
              <a16:creationId xmlns:a16="http://schemas.microsoft.com/office/drawing/2014/main" id="{8DD710E4-E725-424A-B844-C07F1AE630EA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F5E1487E-96AB-4514-8A1D-D4116D4E9CF8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7" name="AutoShape 2">
          <a:extLst>
            <a:ext uri="{FF2B5EF4-FFF2-40B4-BE49-F238E27FC236}">
              <a16:creationId xmlns:a16="http://schemas.microsoft.com/office/drawing/2014/main" id="{654D2A4E-437A-40B2-8048-8561720A285F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7E3FB5E3-FFA2-4C40-B7D8-57CC86762039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9" name="AutoShape 2">
          <a:extLst>
            <a:ext uri="{FF2B5EF4-FFF2-40B4-BE49-F238E27FC236}">
              <a16:creationId xmlns:a16="http://schemas.microsoft.com/office/drawing/2014/main" id="{06ED6DE5-63DF-46F0-9FA2-EC8CD28F74BC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467B9E54-8DB3-4FC7-ADAF-42048FBCACD5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21" name="AutoShape 2">
          <a:extLst>
            <a:ext uri="{FF2B5EF4-FFF2-40B4-BE49-F238E27FC236}">
              <a16:creationId xmlns:a16="http://schemas.microsoft.com/office/drawing/2014/main" id="{9C7D1D2E-8FBE-4811-A442-B6CBAFECED39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3A29FC4B-3C04-43CA-995F-85CFA753C027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3" name="AutoShape 2">
          <a:extLst>
            <a:ext uri="{FF2B5EF4-FFF2-40B4-BE49-F238E27FC236}">
              <a16:creationId xmlns:a16="http://schemas.microsoft.com/office/drawing/2014/main" id="{B2AA9280-6C4C-4356-B639-42DCF09937E5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8DE15D4B-545F-449B-9B6D-04CCF9080E9D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5" name="AutoShape 2">
          <a:extLst>
            <a:ext uri="{FF2B5EF4-FFF2-40B4-BE49-F238E27FC236}">
              <a16:creationId xmlns:a16="http://schemas.microsoft.com/office/drawing/2014/main" id="{7CF4008B-9C3A-4C88-9E93-5DE693D1C56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27597F6C-D817-4847-A24A-7396681AF502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49AEA53B-36ED-4414-9E41-D10FC9DD0F67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D9E25751-AD82-4174-8095-279B082A6E2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BFADF19E-A37D-40D2-A161-67D440B9164E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C1609FD9-67B0-48CC-A9A1-9C12E7D661FD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1FBEA7B0-4AEB-4E76-A889-E6590C34B720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54DA2A79-936D-43EE-BFCF-4E07A2022F99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8874DBC3-A9F7-440E-9BC2-04E50179AE72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2B975CA7-DA9B-41F4-8C95-EB8B11FD7EBB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5" name="AutoShape 2">
          <a:extLst>
            <a:ext uri="{FF2B5EF4-FFF2-40B4-BE49-F238E27FC236}">
              <a16:creationId xmlns:a16="http://schemas.microsoft.com/office/drawing/2014/main" id="{630E3A66-B69E-4D42-8287-33633942894E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CD3ADCBC-2913-4B1C-A026-CCADD2D04AE1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7" name="AutoShape 2">
          <a:extLst>
            <a:ext uri="{FF2B5EF4-FFF2-40B4-BE49-F238E27FC236}">
              <a16:creationId xmlns:a16="http://schemas.microsoft.com/office/drawing/2014/main" id="{DC013D5D-D127-4A7A-94A3-29AD48A40C7E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43737E50-1674-48E1-8965-0415B1B92DC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EA764E81-626A-4620-BC91-AECF8541592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DAED3905-4F1F-4F3C-AAA1-885AB02A9613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1" name="AutoShape 2">
          <a:extLst>
            <a:ext uri="{FF2B5EF4-FFF2-40B4-BE49-F238E27FC236}">
              <a16:creationId xmlns:a16="http://schemas.microsoft.com/office/drawing/2014/main" id="{06F6BBC0-9A55-4922-A010-44045E3406F8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1A2A8259-178C-47B0-90D1-B89E76F0A515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82CEBD75-10DA-4D2E-AA8D-869EC6CBFEDF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E1A464F1-A2D4-4953-8178-D0F827776FFE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5" name="AutoShape 2">
          <a:extLst>
            <a:ext uri="{FF2B5EF4-FFF2-40B4-BE49-F238E27FC236}">
              <a16:creationId xmlns:a16="http://schemas.microsoft.com/office/drawing/2014/main" id="{4599374E-0FA1-47D7-8C1C-31FA2333ECBB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55F41B93-6C60-4722-B94E-D15D21B49708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47" name="AutoShape 2">
          <a:extLst>
            <a:ext uri="{FF2B5EF4-FFF2-40B4-BE49-F238E27FC236}">
              <a16:creationId xmlns:a16="http://schemas.microsoft.com/office/drawing/2014/main" id="{724A73E5-4030-4FFC-B56F-64EFE91725FC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C6448848-482D-403B-B5A4-E5120CBFECA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49" name="AutoShape 2">
          <a:extLst>
            <a:ext uri="{FF2B5EF4-FFF2-40B4-BE49-F238E27FC236}">
              <a16:creationId xmlns:a16="http://schemas.microsoft.com/office/drawing/2014/main" id="{1E800C46-34BA-4872-96B9-E04985E5191F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31F04C38-6102-4F43-9435-48CE13227B28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51" name="AutoShape 2">
          <a:extLst>
            <a:ext uri="{FF2B5EF4-FFF2-40B4-BE49-F238E27FC236}">
              <a16:creationId xmlns:a16="http://schemas.microsoft.com/office/drawing/2014/main" id="{C25D10DC-A1D5-4842-AFD7-FF2687DD0FF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30AB2875-8638-4ED0-9228-AB22CCDC3FEC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id="{060ACBA8-1C8A-4D0D-9871-1005A4EA456E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69F76F0-C332-4F02-A9D1-E8B3BB2AD117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id="{8B53D276-712E-4FCB-9B69-2C54102809F5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37F171C1-9ADB-41E9-AC46-0E86B7B73D52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id="{8B18099C-08C5-4CB5-9846-B472548BF96D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7E74B43A-B82E-48FA-997A-DDBD6D766C3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9" name="AutoShape 2">
          <a:extLst>
            <a:ext uri="{FF2B5EF4-FFF2-40B4-BE49-F238E27FC236}">
              <a16:creationId xmlns:a16="http://schemas.microsoft.com/office/drawing/2014/main" id="{6F0228A1-D0DF-4F11-B210-8D752FBB79B4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F547D409-1824-43D3-BB46-C059698075D3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1" name="AutoShape 2">
          <a:extLst>
            <a:ext uri="{FF2B5EF4-FFF2-40B4-BE49-F238E27FC236}">
              <a16:creationId xmlns:a16="http://schemas.microsoft.com/office/drawing/2014/main" id="{6E369271-2B70-4331-8090-C6359E657C76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A57DD54B-ABD0-4C23-9952-35E44A02797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3" name="AutoShape 2">
          <a:extLst>
            <a:ext uri="{FF2B5EF4-FFF2-40B4-BE49-F238E27FC236}">
              <a16:creationId xmlns:a16="http://schemas.microsoft.com/office/drawing/2014/main" id="{8D09C997-85C1-4E4A-85FB-346E0DF5610F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50A5B47A-E5F3-4D4A-B42B-66E9C8018359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5" name="AutoShape 2">
          <a:extLst>
            <a:ext uri="{FF2B5EF4-FFF2-40B4-BE49-F238E27FC236}">
              <a16:creationId xmlns:a16="http://schemas.microsoft.com/office/drawing/2014/main" id="{C5E1E020-4617-44AC-9275-349890E18276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42850A5A-F24A-4A60-8B4F-7EF6DC42AC5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7" name="AutoShape 2">
          <a:extLst>
            <a:ext uri="{FF2B5EF4-FFF2-40B4-BE49-F238E27FC236}">
              <a16:creationId xmlns:a16="http://schemas.microsoft.com/office/drawing/2014/main" id="{9B773160-C840-47A3-96D2-8BA7F85918A2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994C547B-7882-43E9-B8BF-5005384BE615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69" name="AutoShape 2">
          <a:extLst>
            <a:ext uri="{FF2B5EF4-FFF2-40B4-BE49-F238E27FC236}">
              <a16:creationId xmlns:a16="http://schemas.microsoft.com/office/drawing/2014/main" id="{7E0D9464-AD99-4FC6-9C2E-2DAFD111498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8A3959E-57FF-45D2-953D-EA19DCEB4E77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1" name="AutoShape 2">
          <a:extLst>
            <a:ext uri="{FF2B5EF4-FFF2-40B4-BE49-F238E27FC236}">
              <a16:creationId xmlns:a16="http://schemas.microsoft.com/office/drawing/2014/main" id="{59CAE0E0-164A-46B2-967B-058D61804E4D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3CEFE43F-28BB-45BD-8863-D5F353E61731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3" name="AutoShape 2">
          <a:extLst>
            <a:ext uri="{FF2B5EF4-FFF2-40B4-BE49-F238E27FC236}">
              <a16:creationId xmlns:a16="http://schemas.microsoft.com/office/drawing/2014/main" id="{874767C0-F933-459C-B8EB-273CA88D532F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EE04C276-F706-45C6-8DEF-08CA9D4685C1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5" name="AutoShape 2">
          <a:extLst>
            <a:ext uri="{FF2B5EF4-FFF2-40B4-BE49-F238E27FC236}">
              <a16:creationId xmlns:a16="http://schemas.microsoft.com/office/drawing/2014/main" id="{4E3E621F-06A2-4368-BA29-42878BF36811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E1DC21B2-5248-43E0-A701-EEB288A03C6C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77" name="AutoShape 2">
          <a:extLst>
            <a:ext uri="{FF2B5EF4-FFF2-40B4-BE49-F238E27FC236}">
              <a16:creationId xmlns:a16="http://schemas.microsoft.com/office/drawing/2014/main" id="{458E403B-6922-495B-8C7C-D812FAFB3A72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2337380E-36D4-47A0-AEB8-B1D55565FDA1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79" name="AutoShape 2">
          <a:extLst>
            <a:ext uri="{FF2B5EF4-FFF2-40B4-BE49-F238E27FC236}">
              <a16:creationId xmlns:a16="http://schemas.microsoft.com/office/drawing/2014/main" id="{6A6CD9E3-5A0C-46FF-BE0E-6CF89A39BD2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95958BD3-BD02-43A6-8B84-C593D2AB901D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81" name="AutoShape 2">
          <a:extLst>
            <a:ext uri="{FF2B5EF4-FFF2-40B4-BE49-F238E27FC236}">
              <a16:creationId xmlns:a16="http://schemas.microsoft.com/office/drawing/2014/main" id="{A8CC83BF-7F0C-4D2B-A9FF-8B0D5296F919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32FE17F5-5664-4A31-9276-07048342F62F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83" name="AutoShape 2">
          <a:extLst>
            <a:ext uri="{FF2B5EF4-FFF2-40B4-BE49-F238E27FC236}">
              <a16:creationId xmlns:a16="http://schemas.microsoft.com/office/drawing/2014/main" id="{DE0897C3-3B90-4AFA-A16A-3147173FBFF2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E9F0387A-4EFB-4A0D-A47B-C62C3E4A8EBD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5" name="AutoShape 2">
          <a:extLst>
            <a:ext uri="{FF2B5EF4-FFF2-40B4-BE49-F238E27FC236}">
              <a16:creationId xmlns:a16="http://schemas.microsoft.com/office/drawing/2014/main" id="{B4E56C4D-DE66-41DC-8A53-3EADB8F6AC4D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36F0BAE1-7F8C-40AE-9219-3D349DF3F5FE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7" name="AutoShape 2">
          <a:extLst>
            <a:ext uri="{FF2B5EF4-FFF2-40B4-BE49-F238E27FC236}">
              <a16:creationId xmlns:a16="http://schemas.microsoft.com/office/drawing/2014/main" id="{DBD1312A-09ED-4766-8CB4-BD5BA08CEAC4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5C139BF7-8CD4-4926-832E-EAA7C7A1D8C0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9" name="AutoShape 2">
          <a:extLst>
            <a:ext uri="{FF2B5EF4-FFF2-40B4-BE49-F238E27FC236}">
              <a16:creationId xmlns:a16="http://schemas.microsoft.com/office/drawing/2014/main" id="{CB0F51CD-34B1-4609-989D-26CEC1CB0264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1B816E82-FC7F-484F-A850-1F3223F04322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1" name="AutoShape 2">
          <a:extLst>
            <a:ext uri="{FF2B5EF4-FFF2-40B4-BE49-F238E27FC236}">
              <a16:creationId xmlns:a16="http://schemas.microsoft.com/office/drawing/2014/main" id="{2C8B1ABD-D0FD-45A8-A254-863B86961BA6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EDBD59D-785F-4C4A-85A4-E009CBAB9B64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3" name="AutoShape 2">
          <a:extLst>
            <a:ext uri="{FF2B5EF4-FFF2-40B4-BE49-F238E27FC236}">
              <a16:creationId xmlns:a16="http://schemas.microsoft.com/office/drawing/2014/main" id="{D77EF8ED-4FB7-4D02-B1F3-8CD4B243E05A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6F32B7D4-E1E6-49F6-8D6C-341A79A4EC66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5" name="AutoShape 2">
          <a:extLst>
            <a:ext uri="{FF2B5EF4-FFF2-40B4-BE49-F238E27FC236}">
              <a16:creationId xmlns:a16="http://schemas.microsoft.com/office/drawing/2014/main" id="{E58E3F2E-6918-470E-B603-A005B7827A9B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E463C8F1-665D-47BC-8210-D85A2A64A99F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22860</xdr:colOff>
      <xdr:row>17</xdr:row>
      <xdr:rowOff>7620</xdr:rowOff>
    </xdr:from>
    <xdr:ext cx="304800" cy="312420"/>
    <xdr:sp macro="" textlink="">
      <xdr:nvSpPr>
        <xdr:cNvPr id="1097" name="AutoShape 2">
          <a:extLst>
            <a:ext uri="{FF2B5EF4-FFF2-40B4-BE49-F238E27FC236}">
              <a16:creationId xmlns:a16="http://schemas.microsoft.com/office/drawing/2014/main" id="{ADE40888-CEE6-4B3E-BD02-84791A13AFD3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225540" y="32308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B8B37619-3359-4517-8DC6-1ACF630A0AAC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99" name="AutoShape 2">
          <a:extLst>
            <a:ext uri="{FF2B5EF4-FFF2-40B4-BE49-F238E27FC236}">
              <a16:creationId xmlns:a16="http://schemas.microsoft.com/office/drawing/2014/main" id="{F5B53D98-DC5E-40CC-92A7-429D075C0154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6D477B00-21AD-4AEB-BB38-6D1D305DF40B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1" name="AutoShape 2">
          <a:extLst>
            <a:ext uri="{FF2B5EF4-FFF2-40B4-BE49-F238E27FC236}">
              <a16:creationId xmlns:a16="http://schemas.microsoft.com/office/drawing/2014/main" id="{7A8E8D01-1B35-4C20-9179-0F71FBD7179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89539910-369C-4845-953C-A57F941CEA9E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3" name="AutoShape 2">
          <a:extLst>
            <a:ext uri="{FF2B5EF4-FFF2-40B4-BE49-F238E27FC236}">
              <a16:creationId xmlns:a16="http://schemas.microsoft.com/office/drawing/2014/main" id="{494AE91B-51B7-49E6-9181-06553A267A91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9264189F-61C2-4A36-97BC-BEE7D4C9964E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5" name="AutoShape 2">
          <a:extLst>
            <a:ext uri="{FF2B5EF4-FFF2-40B4-BE49-F238E27FC236}">
              <a16:creationId xmlns:a16="http://schemas.microsoft.com/office/drawing/2014/main" id="{2A3C9781-14A3-4101-AEA7-C3A74131A00F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726A364A-708C-4683-BC0C-1F92E5E4EF01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7" name="AutoShape 2">
          <a:extLst>
            <a:ext uri="{FF2B5EF4-FFF2-40B4-BE49-F238E27FC236}">
              <a16:creationId xmlns:a16="http://schemas.microsoft.com/office/drawing/2014/main" id="{6CF0430B-346F-4E6B-B2DA-6CD3169FE0D5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C005BBE4-F9E8-4A77-8461-B9977C209149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9" name="AutoShape 2">
          <a:extLst>
            <a:ext uri="{FF2B5EF4-FFF2-40B4-BE49-F238E27FC236}">
              <a16:creationId xmlns:a16="http://schemas.microsoft.com/office/drawing/2014/main" id="{F34DD4A9-B323-4B2F-AC1E-B8B4FA72A6AD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E8E2E103-1944-4629-BC2B-8280D0170C64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1" name="AutoShape 2">
          <a:extLst>
            <a:ext uri="{FF2B5EF4-FFF2-40B4-BE49-F238E27FC236}">
              <a16:creationId xmlns:a16="http://schemas.microsoft.com/office/drawing/2014/main" id="{21A33D59-84E7-4AA3-865A-7B9D9F29D380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DBC1B7C2-4351-4060-9714-8C5F7F78B76B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113" name="AutoShape 2">
          <a:extLst>
            <a:ext uri="{FF2B5EF4-FFF2-40B4-BE49-F238E27FC236}">
              <a16:creationId xmlns:a16="http://schemas.microsoft.com/office/drawing/2014/main" id="{F7C3F3F9-4BB6-479F-8D3B-22E6A2859149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CF4E8849-EA5C-4372-9A08-6EF783C69EA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5" name="AutoShape 2">
          <a:extLst>
            <a:ext uri="{FF2B5EF4-FFF2-40B4-BE49-F238E27FC236}">
              <a16:creationId xmlns:a16="http://schemas.microsoft.com/office/drawing/2014/main" id="{EE5DA574-3C96-432F-A803-A075E107708B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502D5FCB-5B5B-45A2-B4CE-5D78CF3B37D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7" name="AutoShape 2">
          <a:extLst>
            <a:ext uri="{FF2B5EF4-FFF2-40B4-BE49-F238E27FC236}">
              <a16:creationId xmlns:a16="http://schemas.microsoft.com/office/drawing/2014/main" id="{E7E31206-5268-4C6B-A279-80082B184CF1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D3126256-0AE2-42FF-A81C-76AB06ABB7F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9" name="AutoShape 2">
          <a:extLst>
            <a:ext uri="{FF2B5EF4-FFF2-40B4-BE49-F238E27FC236}">
              <a16:creationId xmlns:a16="http://schemas.microsoft.com/office/drawing/2014/main" id="{56E91985-D224-4D32-BE5F-A4E39279B5FC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F020485C-DB60-43C6-B768-A6A8679DFB4E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21" name="AutoShape 2">
          <a:extLst>
            <a:ext uri="{FF2B5EF4-FFF2-40B4-BE49-F238E27FC236}">
              <a16:creationId xmlns:a16="http://schemas.microsoft.com/office/drawing/2014/main" id="{634ACF14-8884-49EB-8C1F-FB19EA918449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69A039BE-63CD-4DCE-B04C-E166AA99E17B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3" name="AutoShape 2">
          <a:extLst>
            <a:ext uri="{FF2B5EF4-FFF2-40B4-BE49-F238E27FC236}">
              <a16:creationId xmlns:a16="http://schemas.microsoft.com/office/drawing/2014/main" id="{54A81A18-E4DB-44A4-BBA7-E2F17E27683C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AE3ED892-1DCB-4AAC-B185-67E5156D805C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5" name="AutoShape 2">
          <a:extLst>
            <a:ext uri="{FF2B5EF4-FFF2-40B4-BE49-F238E27FC236}">
              <a16:creationId xmlns:a16="http://schemas.microsoft.com/office/drawing/2014/main" id="{F0208D86-59BF-4CD6-8A82-194E41B1C13D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03DFA9C5-059D-424C-923A-9DCE5014AC32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7" name="AutoShape 2">
          <a:extLst>
            <a:ext uri="{FF2B5EF4-FFF2-40B4-BE49-F238E27FC236}">
              <a16:creationId xmlns:a16="http://schemas.microsoft.com/office/drawing/2014/main" id="{B1275A59-8E78-4020-B11B-BA484E90780E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2116E07F-854F-4054-86BB-C7F73AC10BC0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29" name="AutoShape 2">
          <a:extLst>
            <a:ext uri="{FF2B5EF4-FFF2-40B4-BE49-F238E27FC236}">
              <a16:creationId xmlns:a16="http://schemas.microsoft.com/office/drawing/2014/main" id="{95926293-27BF-4FC8-86F4-82CD970AA6E8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8C59213D-B751-46E4-A42A-4801FA19BBE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1" name="AutoShape 2">
          <a:extLst>
            <a:ext uri="{FF2B5EF4-FFF2-40B4-BE49-F238E27FC236}">
              <a16:creationId xmlns:a16="http://schemas.microsoft.com/office/drawing/2014/main" id="{D1A4C744-69EA-4DEF-A312-8AB6AADE1DA3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73926A93-CF40-4A15-8443-8D59CD0EA372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3" name="AutoShape 2">
          <a:extLst>
            <a:ext uri="{FF2B5EF4-FFF2-40B4-BE49-F238E27FC236}">
              <a16:creationId xmlns:a16="http://schemas.microsoft.com/office/drawing/2014/main" id="{5185CC2F-540B-49C6-BBD6-C9C7F34F63FE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CAA4EB9B-9089-454F-98CD-D09A34363B93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5" name="AutoShape 2">
          <a:extLst>
            <a:ext uri="{FF2B5EF4-FFF2-40B4-BE49-F238E27FC236}">
              <a16:creationId xmlns:a16="http://schemas.microsoft.com/office/drawing/2014/main" id="{14C6A31D-0CCC-4E9B-ACCF-8857A6FC8F6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DD6082CC-6B0B-4D14-B1AB-7D8AC4051CDC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37" name="AutoShape 2">
          <a:extLst>
            <a:ext uri="{FF2B5EF4-FFF2-40B4-BE49-F238E27FC236}">
              <a16:creationId xmlns:a16="http://schemas.microsoft.com/office/drawing/2014/main" id="{8411A521-F320-4149-A3DA-41A6ECEEDC23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71BB4367-9471-40A8-AB67-2BE8BC958D90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39" name="AutoShape 2">
          <a:extLst>
            <a:ext uri="{FF2B5EF4-FFF2-40B4-BE49-F238E27FC236}">
              <a16:creationId xmlns:a16="http://schemas.microsoft.com/office/drawing/2014/main" id="{863F9B6B-A140-4059-90E8-CE347A2B4AD0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EDE89B8E-8B8B-4F87-B9C1-C92C658C0FCC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41" name="AutoShape 2">
          <a:extLst>
            <a:ext uri="{FF2B5EF4-FFF2-40B4-BE49-F238E27FC236}">
              <a16:creationId xmlns:a16="http://schemas.microsoft.com/office/drawing/2014/main" id="{927D5814-93F1-485D-8904-C82C628764FD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5970205F-77AF-4AB7-AC26-4382B7D48439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43" name="AutoShape 2">
          <a:extLst>
            <a:ext uri="{FF2B5EF4-FFF2-40B4-BE49-F238E27FC236}">
              <a16:creationId xmlns:a16="http://schemas.microsoft.com/office/drawing/2014/main" id="{2EFA3935-71B4-4692-B69E-192F722A22E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EF295667-7C61-494F-AD85-E7CFD0CE0709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5" name="AutoShape 2">
          <a:extLst>
            <a:ext uri="{FF2B5EF4-FFF2-40B4-BE49-F238E27FC236}">
              <a16:creationId xmlns:a16="http://schemas.microsoft.com/office/drawing/2014/main" id="{586CFC1A-0278-41F7-BB25-CCA2691F57CD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D09D8867-72D2-4088-B08E-7F9ED04FAE36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7" name="AutoShape 2">
          <a:extLst>
            <a:ext uri="{FF2B5EF4-FFF2-40B4-BE49-F238E27FC236}">
              <a16:creationId xmlns:a16="http://schemas.microsoft.com/office/drawing/2014/main" id="{0A947B3E-177E-41AD-AC24-03DDEDE8ED6E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35B92C59-55D4-4D7F-85CF-ED73E72DC449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9" name="AutoShape 2">
          <a:extLst>
            <a:ext uri="{FF2B5EF4-FFF2-40B4-BE49-F238E27FC236}">
              <a16:creationId xmlns:a16="http://schemas.microsoft.com/office/drawing/2014/main" id="{1F3FE71C-EDEF-4538-B38E-FB8903DE5D08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78A0861F-643A-4B11-824C-274F90B03203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1" name="AutoShape 2">
          <a:extLst>
            <a:ext uri="{FF2B5EF4-FFF2-40B4-BE49-F238E27FC236}">
              <a16:creationId xmlns:a16="http://schemas.microsoft.com/office/drawing/2014/main" id="{2E443AAF-6AE0-41CE-9D06-7C3341C30876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40647112-5BA4-4C90-8176-77A5AD68D39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3" name="AutoShape 2">
          <a:extLst>
            <a:ext uri="{FF2B5EF4-FFF2-40B4-BE49-F238E27FC236}">
              <a16:creationId xmlns:a16="http://schemas.microsoft.com/office/drawing/2014/main" id="{3EB99549-EE04-47FA-A351-9D0C6211132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62E84CD1-AEB2-446A-A30F-77F3455A81AB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5" name="AutoShape 2">
          <a:extLst>
            <a:ext uri="{FF2B5EF4-FFF2-40B4-BE49-F238E27FC236}">
              <a16:creationId xmlns:a16="http://schemas.microsoft.com/office/drawing/2014/main" id="{7007FBE7-3FF6-42FA-8B46-AA0B0E51B7BC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6E07E30B-5E9B-4279-AF22-4BFB65DF04B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7" name="AutoShape 2">
          <a:extLst>
            <a:ext uri="{FF2B5EF4-FFF2-40B4-BE49-F238E27FC236}">
              <a16:creationId xmlns:a16="http://schemas.microsoft.com/office/drawing/2014/main" id="{1E3DF72A-A76D-4181-AAF7-C3E81D5A8D0F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639A3778-0292-4521-8E8D-848E06D2ED2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59" name="AutoShape 2">
          <a:extLst>
            <a:ext uri="{FF2B5EF4-FFF2-40B4-BE49-F238E27FC236}">
              <a16:creationId xmlns:a16="http://schemas.microsoft.com/office/drawing/2014/main" id="{70AA94C6-94FF-4B56-8EEA-B26B242FD9B6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5C2C6FEC-78ED-4FC5-8FED-658AD9686343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1" name="AutoShape 2">
          <a:extLst>
            <a:ext uri="{FF2B5EF4-FFF2-40B4-BE49-F238E27FC236}">
              <a16:creationId xmlns:a16="http://schemas.microsoft.com/office/drawing/2014/main" id="{8CB973E5-1549-4CBB-979C-0A67715F80E0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E2D7E67C-DB71-420D-A97B-02D8BD4A0220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3" name="AutoShape 2">
          <a:extLst>
            <a:ext uri="{FF2B5EF4-FFF2-40B4-BE49-F238E27FC236}">
              <a16:creationId xmlns:a16="http://schemas.microsoft.com/office/drawing/2014/main" id="{98521711-B370-475F-A59C-71962233D41A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975560FC-F0A7-443F-AF56-B612BB4A2013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5" name="AutoShape 2">
          <a:extLst>
            <a:ext uri="{FF2B5EF4-FFF2-40B4-BE49-F238E27FC236}">
              <a16:creationId xmlns:a16="http://schemas.microsoft.com/office/drawing/2014/main" id="{DBFDDE2D-641A-4B16-AC5A-A4E9370B5716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C67C3CC4-A303-477F-BB7C-E12BA965C1F6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67" name="AutoShape 2">
          <a:extLst>
            <a:ext uri="{FF2B5EF4-FFF2-40B4-BE49-F238E27FC236}">
              <a16:creationId xmlns:a16="http://schemas.microsoft.com/office/drawing/2014/main" id="{5B02ADA1-1E50-4128-B3E9-DFD4C011A5EF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F886FB56-D450-48F2-AC3B-2BEA454196B3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69" name="AutoShape 2">
          <a:extLst>
            <a:ext uri="{FF2B5EF4-FFF2-40B4-BE49-F238E27FC236}">
              <a16:creationId xmlns:a16="http://schemas.microsoft.com/office/drawing/2014/main" id="{B10BFB20-7740-4721-8E29-7A5179413D3B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CEE55685-D10A-49D5-996E-453D24260D39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71" name="AutoShape 2">
          <a:extLst>
            <a:ext uri="{FF2B5EF4-FFF2-40B4-BE49-F238E27FC236}">
              <a16:creationId xmlns:a16="http://schemas.microsoft.com/office/drawing/2014/main" id="{DE2C81C6-38FC-41BD-AB05-0BED314E7BD1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FDBA464B-5C5F-415C-A11F-B4DE09B2A9C4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3" name="AutoShape 2">
          <a:extLst>
            <a:ext uri="{FF2B5EF4-FFF2-40B4-BE49-F238E27FC236}">
              <a16:creationId xmlns:a16="http://schemas.microsoft.com/office/drawing/2014/main" id="{4ED70F1D-2482-4B96-8F7E-D72347BBD41A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D5591EFC-D0FC-46CC-8153-42F2EDF799C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5" name="AutoShape 2">
          <a:extLst>
            <a:ext uri="{FF2B5EF4-FFF2-40B4-BE49-F238E27FC236}">
              <a16:creationId xmlns:a16="http://schemas.microsoft.com/office/drawing/2014/main" id="{85FC6C9B-72C1-488F-BF10-080B8C93D8C7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CB4A72EC-72B7-49F1-9AF2-72FDDEAF60B5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7" name="AutoShape 2">
          <a:extLst>
            <a:ext uri="{FF2B5EF4-FFF2-40B4-BE49-F238E27FC236}">
              <a16:creationId xmlns:a16="http://schemas.microsoft.com/office/drawing/2014/main" id="{0D29D45F-9A44-4E2A-AD7F-2112D2BACAD3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4FCBFB9B-5106-4947-A5DD-12EFB2128E7D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9" name="AutoShape 2">
          <a:extLst>
            <a:ext uri="{FF2B5EF4-FFF2-40B4-BE49-F238E27FC236}">
              <a16:creationId xmlns:a16="http://schemas.microsoft.com/office/drawing/2014/main" id="{CD513979-2D15-4DD5-B8B2-B338B3A5D292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C96499EE-6DAD-40CE-8EBA-D848AA7667B8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1" name="AutoShape 2">
          <a:extLst>
            <a:ext uri="{FF2B5EF4-FFF2-40B4-BE49-F238E27FC236}">
              <a16:creationId xmlns:a16="http://schemas.microsoft.com/office/drawing/2014/main" id="{78BF5350-EABD-4C05-9451-590045E36332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A2498EAA-FA0A-465D-91BB-173A122F3E6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3" name="AutoShape 2">
          <a:extLst>
            <a:ext uri="{FF2B5EF4-FFF2-40B4-BE49-F238E27FC236}">
              <a16:creationId xmlns:a16="http://schemas.microsoft.com/office/drawing/2014/main" id="{9B7312BC-3BB5-4DA6-9A40-236A9B382462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AD70BF82-D335-41E3-8036-4DEC18659945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5" name="AutoShape 2">
          <a:extLst>
            <a:ext uri="{FF2B5EF4-FFF2-40B4-BE49-F238E27FC236}">
              <a16:creationId xmlns:a16="http://schemas.microsoft.com/office/drawing/2014/main" id="{DF640D54-79C1-4154-B7CB-FCC10B00136F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DC24FF20-65D9-4ED4-9CC9-A08215FBC1C0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7" name="AutoShape 2">
          <a:extLst>
            <a:ext uri="{FF2B5EF4-FFF2-40B4-BE49-F238E27FC236}">
              <a16:creationId xmlns:a16="http://schemas.microsoft.com/office/drawing/2014/main" id="{F2676956-48CD-45D0-A439-4AE1262A5E16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6EDAFFB8-3532-4956-B6AB-8C9A08466C7A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89" name="AutoShape 2">
          <a:extLst>
            <a:ext uri="{FF2B5EF4-FFF2-40B4-BE49-F238E27FC236}">
              <a16:creationId xmlns:a16="http://schemas.microsoft.com/office/drawing/2014/main" id="{609349AD-20F1-4C50-8F76-84E93AC59981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B2B23055-ACB3-44BD-936C-128AF1CFD118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91" name="AutoShape 2">
          <a:extLst>
            <a:ext uri="{FF2B5EF4-FFF2-40B4-BE49-F238E27FC236}">
              <a16:creationId xmlns:a16="http://schemas.microsoft.com/office/drawing/2014/main" id="{2DBC65B3-7B2D-416B-B0E8-10423C530292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BE4D6278-CCE4-4628-B78A-5266D155597C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93" name="AutoShape 2">
          <a:extLst>
            <a:ext uri="{FF2B5EF4-FFF2-40B4-BE49-F238E27FC236}">
              <a16:creationId xmlns:a16="http://schemas.microsoft.com/office/drawing/2014/main" id="{FB4DC990-8D1F-4442-8EAD-5CA50B39170D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132174C5-7682-4314-AAF5-B857CE2D79F4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5" name="AutoShape 2">
          <a:extLst>
            <a:ext uri="{FF2B5EF4-FFF2-40B4-BE49-F238E27FC236}">
              <a16:creationId xmlns:a16="http://schemas.microsoft.com/office/drawing/2014/main" id="{6AD6F0A1-F80C-41AA-931F-94C71110C17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5230E6BF-0D44-4070-AF24-1A8D48555BD4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7" name="AutoShape 2">
          <a:extLst>
            <a:ext uri="{FF2B5EF4-FFF2-40B4-BE49-F238E27FC236}">
              <a16:creationId xmlns:a16="http://schemas.microsoft.com/office/drawing/2014/main" id="{F56BA548-5768-4B91-B67A-58E75975A959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F944DAA1-E18B-46EE-8C3C-D253718A2AB3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9" name="AutoShape 2">
          <a:extLst>
            <a:ext uri="{FF2B5EF4-FFF2-40B4-BE49-F238E27FC236}">
              <a16:creationId xmlns:a16="http://schemas.microsoft.com/office/drawing/2014/main" id="{B59B4E5D-C520-4FBA-A335-F6C67BEAF666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A493D7C1-2EFA-4E27-BC72-58236EF2796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1" name="AutoShape 2">
          <a:extLst>
            <a:ext uri="{FF2B5EF4-FFF2-40B4-BE49-F238E27FC236}">
              <a16:creationId xmlns:a16="http://schemas.microsoft.com/office/drawing/2014/main" id="{E956D8E3-6D3E-4400-8980-337ACFA2E88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ATRICIA\FINANCEIRO\2026\PG%20APOLICE%20SEGURO%202026\PLANILHA%20COMISSAO%20AP%20SEGURO%20GBA-%20FEVEREIRO%20ELIDA.xlsx" TargetMode="External"/><Relationship Id="rId1" Type="http://schemas.openxmlformats.org/officeDocument/2006/relationships/externalLinkPath" Target="PLANILHA%20COMISSAO%20AP%20SEGURO%20GBA-%20FEVEREIRO%20ELI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EIRO 2025"/>
      <sheetName val="FEVEREIRO 2025"/>
      <sheetName val="MARÇO 2025"/>
      <sheetName val="ABRIL 2025"/>
      <sheetName val="MAIO_25"/>
      <sheetName val="JUNHO 2025"/>
      <sheetName val="JULHO 2025"/>
      <sheetName val="AGOSTO 2025"/>
      <sheetName val="SETEMBRO 2025"/>
      <sheetName val="OUTUBRO 2025"/>
      <sheetName val="NOVEMBRO 2025"/>
      <sheetName val="DEZEMBRO 2025"/>
      <sheetName val="JANEIRO 2026"/>
      <sheetName val="FEVEREIRO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D3" t="str">
            <v>RENOV REFE</v>
          </cell>
        </row>
        <row r="4">
          <cell r="D4">
            <v>1003111624175</v>
          </cell>
        </row>
        <row r="5">
          <cell r="D5">
            <v>1003111625832</v>
          </cell>
        </row>
        <row r="6">
          <cell r="D6">
            <v>1003111625892</v>
          </cell>
        </row>
        <row r="7">
          <cell r="D7">
            <v>1003111631017</v>
          </cell>
        </row>
        <row r="8">
          <cell r="D8">
            <v>1003111637693</v>
          </cell>
        </row>
        <row r="9">
          <cell r="D9">
            <v>1003111635025</v>
          </cell>
        </row>
        <row r="10">
          <cell r="D10">
            <v>1003111639073</v>
          </cell>
        </row>
        <row r="11">
          <cell r="D11">
            <v>1003111639394</v>
          </cell>
        </row>
        <row r="12">
          <cell r="D12">
            <v>37715837</v>
          </cell>
        </row>
        <row r="13">
          <cell r="D13">
            <v>1003111642723</v>
          </cell>
        </row>
        <row r="14">
          <cell r="D14">
            <v>37722761</v>
          </cell>
        </row>
        <row r="15">
          <cell r="D15">
            <v>1003111642972</v>
          </cell>
        </row>
        <row r="16">
          <cell r="D16">
            <v>1003111645065</v>
          </cell>
        </row>
        <row r="17">
          <cell r="D17">
            <v>1003111644249</v>
          </cell>
        </row>
        <row r="18">
          <cell r="D18">
            <v>531712948472</v>
          </cell>
        </row>
        <row r="19">
          <cell r="D19">
            <v>37724745</v>
          </cell>
        </row>
        <row r="20">
          <cell r="D20">
            <v>1003111650083</v>
          </cell>
        </row>
        <row r="21">
          <cell r="D21">
            <v>1003111663946</v>
          </cell>
        </row>
        <row r="22">
          <cell r="D22">
            <v>37728174</v>
          </cell>
        </row>
        <row r="23">
          <cell r="D23">
            <v>1003111654441</v>
          </cell>
        </row>
        <row r="24">
          <cell r="D24">
            <v>1003111654296</v>
          </cell>
        </row>
        <row r="25">
          <cell r="D25">
            <v>100311111742619</v>
          </cell>
        </row>
        <row r="26">
          <cell r="D26">
            <v>1003111655552</v>
          </cell>
        </row>
        <row r="27">
          <cell r="D27">
            <v>1003111690749</v>
          </cell>
        </row>
        <row r="28">
          <cell r="D28">
            <v>1003111662099</v>
          </cell>
        </row>
        <row r="29">
          <cell r="D29">
            <v>1003111682974</v>
          </cell>
        </row>
        <row r="30">
          <cell r="D30">
            <v>10031111658520</v>
          </cell>
        </row>
        <row r="31">
          <cell r="D31">
            <v>100311111658374</v>
          </cell>
        </row>
        <row r="32">
          <cell r="D32">
            <v>1003111662413</v>
          </cell>
        </row>
        <row r="33">
          <cell r="D33">
            <v>37747867</v>
          </cell>
        </row>
        <row r="34">
          <cell r="D34">
            <v>1003111667513</v>
          </cell>
        </row>
        <row r="35">
          <cell r="D35">
            <v>1003111670090</v>
          </cell>
        </row>
        <row r="36">
          <cell r="D36">
            <v>1003111667651</v>
          </cell>
        </row>
        <row r="37">
          <cell r="D37">
            <v>1003111667787</v>
          </cell>
        </row>
        <row r="38">
          <cell r="D38">
            <v>1003111667871</v>
          </cell>
        </row>
        <row r="39">
          <cell r="D39">
            <v>1003111668106</v>
          </cell>
        </row>
        <row r="40">
          <cell r="D40">
            <v>1003111668021</v>
          </cell>
        </row>
        <row r="41">
          <cell r="D41">
            <v>1003111668245</v>
          </cell>
        </row>
        <row r="42">
          <cell r="D42">
            <v>1003111668372</v>
          </cell>
        </row>
        <row r="43">
          <cell r="D43">
            <v>1003111668428</v>
          </cell>
        </row>
        <row r="44">
          <cell r="D44">
            <v>1003111668562</v>
          </cell>
        </row>
        <row r="45">
          <cell r="D45">
            <v>1003111668682</v>
          </cell>
        </row>
        <row r="46">
          <cell r="D46">
            <v>1003111668773</v>
          </cell>
        </row>
        <row r="47">
          <cell r="D47">
            <v>1003111668868</v>
          </cell>
        </row>
        <row r="48">
          <cell r="D48">
            <v>1003111671164</v>
          </cell>
        </row>
        <row r="49">
          <cell r="D49">
            <v>1003111671455</v>
          </cell>
        </row>
        <row r="50">
          <cell r="D50">
            <v>3774070</v>
          </cell>
        </row>
        <row r="51">
          <cell r="D51" t="str">
            <v>CANCELOU</v>
          </cell>
        </row>
        <row r="52">
          <cell r="D52">
            <v>37761615</v>
          </cell>
        </row>
        <row r="53">
          <cell r="D53">
            <v>1003111679435</v>
          </cell>
        </row>
        <row r="54">
          <cell r="D54">
            <v>1003111683608</v>
          </cell>
        </row>
        <row r="55">
          <cell r="D55">
            <v>1003111689434</v>
          </cell>
        </row>
        <row r="56">
          <cell r="D56">
            <v>1003111683361</v>
          </cell>
        </row>
        <row r="57">
          <cell r="D57">
            <v>1003111679369</v>
          </cell>
        </row>
        <row r="58">
          <cell r="D58">
            <v>1003111692094</v>
          </cell>
        </row>
        <row r="59">
          <cell r="D59">
            <v>1003111692525</v>
          </cell>
        </row>
        <row r="60">
          <cell r="D60">
            <v>100311111715788</v>
          </cell>
        </row>
        <row r="61">
          <cell r="D61">
            <v>37771173</v>
          </cell>
        </row>
        <row r="62">
          <cell r="D62">
            <v>100311111692762</v>
          </cell>
        </row>
        <row r="63">
          <cell r="D63">
            <v>100311111693021</v>
          </cell>
        </row>
        <row r="64">
          <cell r="D64">
            <v>100311111692996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iança Motos" id="{1311B239-18F6-4A73-BD3E-7EBDEF03A56D}" userId="S::AliancaMotos@Alianca362.onmicrosoft.com::cce03250-cf14-4a34-b299-4050f346c4b6" providerId="AD"/>
  <person displayName="ALIANÇA MOTOS HONDA" id="{CA592B9A-B143-429B-A884-897BD447612B}" userId="S::alianca.gba@alianca365gba.onmicrosoft.com::49707132-de24-4d70-86f7-b994e327b7bb" providerId="AD"/>
  <person displayName="Aliança Motos Motos" id="{0FD2F155-1F2B-4A42-AC41-E09FC14CC103}" userId="S::AliancaBus@aliancamotosbus.onmicrosoft.com::392e7c02-e3c8-4d43-aa60-243294d00155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" dT="2026-01-03T13:08:51.28" personId="{0FD2F155-1F2B-4A42-AC41-E09FC14CC103}" id="{454A394C-3E47-43CF-8ED0-A1E3EAB340D3}">
    <text>A LOJA PAGAB 2 PARCELAS SEG CNH</text>
  </threadedComment>
  <threadedComment ref="E12" dT="2026-01-03T13:10:02.27" personId="{0FD2F155-1F2B-4A42-AC41-E09FC14CC103}" id="{2B32EE22-3B4A-4FB1-893E-D2CCDE8A3957}">
    <text>A LOJA PAGA TOTAL SEG CNH</text>
  </threadedComment>
  <threadedComment ref="E28" dT="2026-01-05T10:40:35.91" personId="{0FD2F155-1F2B-4A42-AC41-E09FC14CC103}" id="{40CC9E53-EC25-4670-B374-B9F51C27A0DD}">
    <text>A LOJA PAGAB TOTAL SEG CNH</text>
  </threadedComment>
  <threadedComment ref="E33" dT="2026-01-06T10:38:53.32" personId="{0FD2F155-1F2B-4A42-AC41-E09FC14CC103}" id="{090649DA-E667-41D4-ABEF-6A6ADA799FF8}">
    <text>A LOJA PAGA TOTAL SEG CNH</text>
  </threadedComment>
  <threadedComment ref="E34" dT="2026-01-06T10:40:18.54" personId="{0FD2F155-1F2B-4A42-AC41-E09FC14CC103}" id="{3F88C087-71F7-46F1-9848-BA56ED115835}">
    <text>A LOJA PAGA TOTAL SEG CNH</text>
  </threadedComment>
  <threadedComment ref="E47" dT="2026-01-08T10:36:09.36" personId="{0FD2F155-1F2B-4A42-AC41-E09FC14CC103}" id="{1755980E-E53A-4379-9468-0BAA2B6E52AA}">
    <text>A LOJA PAGA 3 PARCELAS SEG CNH</text>
  </threadedComment>
  <threadedComment ref="E48" dT="2026-01-08T10:37:24.73" personId="{0FD2F155-1F2B-4A42-AC41-E09FC14CC103}" id="{38F994E2-6B90-4945-B29E-E4EBAF948413}">
    <text>A LOJA PAGA 1 PARCELA SEG CNH</text>
  </threadedComment>
  <threadedComment ref="E49" dT="2026-01-08T10:38:52.21" personId="{0FD2F155-1F2B-4A42-AC41-E09FC14CC103}" id="{ECFF3F6B-0FA2-4903-ADA0-8F0F87E991DA}">
    <text>A LOJA PAGA 2 PARCELAS SEG CNH</text>
  </threadedComment>
  <threadedComment ref="E90" dT="2026-01-26T10:44:38.35" personId="{0FD2F155-1F2B-4A42-AC41-E09FC14CC103}" id="{8E795B4F-F065-4C7F-A6C5-1D55EE0D410D}">
    <text>A LOJA PAGA TOTAL SEG CNH</text>
  </threadedComment>
  <threadedComment ref="E91" dT="2026-01-26T10:45:53.53" personId="{0FD2F155-1F2B-4A42-AC41-E09FC14CC103}" id="{707604C6-6097-41FA-9E70-E4D9DFAE136E}">
    <text>A LOJA PAGA 1 PARCELA SEG CNH</text>
  </threadedComment>
  <threadedComment ref="E94" dT="2026-01-28T10:33:09.97" personId="{0FD2F155-1F2B-4A42-AC41-E09FC14CC103}" id="{B1C7BC8C-AA7E-4718-93A0-A27C7282089B}">
    <text>A LOJA PAGA 2 PARCELAS SEG CNH</text>
  </threadedComment>
  <threadedComment ref="E97" dT="2026-01-29T11:17:37.44" personId="{0FD2F155-1F2B-4A42-AC41-E09FC14CC103}" id="{8767AEB9-960F-4EF0-9386-E2E39C61D784}">
    <text>A LOJA PAGA TOTAL SEG CNH</text>
  </threadedComment>
  <threadedComment ref="E98" dT="2026-01-29T11:21:05.14" personId="{0FD2F155-1F2B-4A42-AC41-E09FC14CC103}" id="{17D64F54-E228-40A6-AF41-2113CC4121B8}">
    <text>A LOJA PAGA TOTAL SEG CNH</text>
  </threadedComment>
  <threadedComment ref="E99" dT="2026-01-29T11:22:20.88" personId="{0FD2F155-1F2B-4A42-AC41-E09FC14CC103}" id="{1F14135A-E9C7-4D72-AF3D-B9980DD78ABD}">
    <text>A LOJA PAGA TOTAL SEG CNH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" dT="2026-02-05T13:23:18.71" personId="{1311B239-18F6-4A73-BD3E-7EBDEF03A56D}" id="{D44C6218-2084-4EED-A5EE-BBE00C7CC1E6}">
    <text xml:space="preserve">A LOJA PAGA TOTAL SEG CNH
</text>
  </threadedComment>
  <threadedComment ref="F6" dT="2026-02-05T13:25:31.92" personId="{1311B239-18F6-4A73-BD3E-7EBDEF03A56D}" id="{FFD06FA7-35BD-4B72-A7D4-52186B440658}">
    <text xml:space="preserve">A LOJA PAGA TOTAL SEG CNH
</text>
  </threadedComment>
  <threadedComment ref="F8" dT="2026-02-07T10:50:15.79" personId="{1311B239-18F6-4A73-BD3E-7EBDEF03A56D}" id="{25E6DEDA-2C94-424B-AAAE-2AD1EE51C914}">
    <text xml:space="preserve">A LOJA PAGA TOTAL SEG CNH
</text>
  </threadedComment>
  <threadedComment ref="F20" dT="2026-02-11T20:21:39.48" personId="{1311B239-18F6-4A73-BD3E-7EBDEF03A56D}" id="{DD064DED-2629-4839-9CD3-94A0BD1B6296}">
    <text xml:space="preserve">A LOJA PAGA 2 PARCELAS SEG CNH
</text>
  </threadedComment>
  <threadedComment ref="F23" dT="2026-02-11T20:21:54.35" personId="{1311B239-18F6-4A73-BD3E-7EBDEF03A56D}" id="{9329A838-9579-42DE-89A4-6AE358C439A3}">
    <text xml:space="preserve">A LOJA PAGA 1 PARCELA SEG CNH
</text>
  </threadedComment>
  <threadedComment ref="F24" dT="2026-02-11T20:22:44.15" personId="{1311B239-18F6-4A73-BD3E-7EBDEF03A56D}" id="{68CD9350-8D0E-4F63-924C-C92E026ECBD8}">
    <text xml:space="preserve">A LOJA PAGA 1 PARCELA
 SEG CNH
</text>
  </threadedComment>
  <threadedComment ref="F36" dT="2026-02-14T12:16:37.51" personId="{1311B239-18F6-4A73-BD3E-7EBDEF03A56D}" id="{F14609CB-C668-4D9C-ABB5-95AAA0FDB844}">
    <text>A LOJA PAGA 2 PARCELAS
 SEG CNH</text>
  </threadedComment>
  <threadedComment ref="F37" dT="2026-02-14T12:17:23.63" personId="{1311B239-18F6-4A73-BD3E-7EBDEF03A56D}" id="{1A6688F8-FE07-4C11-8BDE-E48228A484FE}">
    <text>A LOJA PAGA 1 PARCELA
 SEG CNH</text>
  </threadedComment>
  <threadedComment ref="F38" dT="2026-02-14T12:18:00.20" personId="{1311B239-18F6-4A73-BD3E-7EBDEF03A56D}" id="{B68CFF99-C15C-421E-8581-68BF86C6ABC8}">
    <text>A LOJA PAGA 1 PARCELA
 SEG CNH</text>
  </threadedComment>
  <threadedComment ref="F39" dT="2026-02-14T12:18:32.25" personId="{1311B239-18F6-4A73-BD3E-7EBDEF03A56D}" id="{63F1B99D-3D34-474D-AD3A-9E0D98EE50EB}">
    <text>A LOJA PAGA 2 PARCELAS
 SEG CNH</text>
  </threadedComment>
  <threadedComment ref="F40" dT="2026-02-14T12:19:01.72" personId="{1311B239-18F6-4A73-BD3E-7EBDEF03A56D}" id="{B96A8FEF-5D03-4823-99F6-0B4D9D429E88}">
    <text>A LOJA PAGA 1 PARCELA
 SEG CNH</text>
  </threadedComment>
  <threadedComment ref="F41" dT="2026-02-14T12:19:59.91" personId="{1311B239-18F6-4A73-BD3E-7EBDEF03A56D}" id="{A56B9C1A-218C-4285-B8D4-80586530A835}">
    <text xml:space="preserve">A LOJA PAGA 1 PARCELA
 SEG CNH
</text>
  </threadedComment>
  <threadedComment ref="F42" dT="2026-02-14T12:20:28.30" personId="{1311B239-18F6-4A73-BD3E-7EBDEF03A56D}" id="{9A6DA1C9-1439-4279-8FD8-8A5A12B49E22}">
    <text xml:space="preserve">A LOJA PAGA 1 PARCELA
 SEG CNH
</text>
  </threadedComment>
  <threadedComment ref="F43" dT="2026-02-14T12:21:59.46" personId="{1311B239-18F6-4A73-BD3E-7EBDEF03A56D}" id="{DF0AAC6D-95F5-4190-988D-970F14C456F9}">
    <text xml:space="preserve">A LOJA PAGA 2 PARCELAS
 SEG CNH
</text>
  </threadedComment>
  <threadedComment ref="F44" dT="2026-02-14T12:22:54.01" personId="{1311B239-18F6-4A73-BD3E-7EBDEF03A56D}" id="{04FA16F2-E5B0-417E-960E-CFB44D1C3DB8}">
    <text xml:space="preserve">A LOJA PAGA TOTAL SEG CNH
</text>
  </threadedComment>
  <threadedComment ref="F45" dT="2026-02-14T12:23:33.44" personId="{1311B239-18F6-4A73-BD3E-7EBDEF03A56D}" id="{C0F3C0BA-57C9-45E8-99EB-C2F7E9960A26}">
    <text xml:space="preserve">A LOJA PAGA TOTAL SEG CNH
</text>
  </threadedComment>
  <threadedComment ref="F46" dT="2026-02-14T12:24:05.09" personId="{1311B239-18F6-4A73-BD3E-7EBDEF03A56D}" id="{B9D96FF3-176E-4F7B-9043-069E8D3E3963}">
    <text xml:space="preserve">A LOJA PAGA TOTAL SEG CNH
</text>
  </threadedComment>
  <threadedComment ref="F47" dT="2026-02-14T12:24:40.08" personId="{1311B239-18F6-4A73-BD3E-7EBDEF03A56D}" id="{D81EC208-3543-4F57-8775-FE03F45D37CE}">
    <text xml:space="preserve">A LOJA PAGA TOTAL SEG CNH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4" dT="2026-02-24T10:35:25.91" personId="{0FD2F155-1F2B-4A42-AC41-E09FC14CC103}" id="{2B92A7E7-A1CA-4A2E-B0E9-3F3B9D716065}">
    <text>A LOJA PAGA 1 PARCELA SEG CNH</text>
  </threadedComment>
  <threadedComment ref="F5" dT="2026-02-24T10:36:43.59" personId="{0FD2F155-1F2B-4A42-AC41-E09FC14CC103}" id="{3F21D04D-7640-471B-B153-D9D277D086AE}">
    <text>A LOJA PAGA 1 PARCELA SEG CNH</text>
  </threadedComment>
  <threadedComment ref="F6" dT="2026-02-24T10:37:36.92" personId="{0FD2F155-1F2B-4A42-AC41-E09FC14CC103}" id="{80D6871A-B11C-42CD-A868-BA47C912CA72}">
    <text>A LOJA PAGA TOTAL SEG CNH</text>
  </threadedComment>
  <threadedComment ref="F7" dT="2026-02-24T10:39:15.72" personId="{0FD2F155-1F2B-4A42-AC41-E09FC14CC103}" id="{29B473FF-2334-41B7-80CC-129E8AACD808}">
    <text>A LOJA PAGA 2 PARCELAS SEG CNH</text>
  </threadedComment>
  <threadedComment ref="F8" dT="2026-02-24T10:40:31.93" personId="{0FD2F155-1F2B-4A42-AC41-E09FC14CC103}" id="{2C070F24-0B10-4FE4-9E53-02200FF8D8E4}">
    <text>A LOJA PAGA TOTAL SEG CNH</text>
  </threadedComment>
  <threadedComment ref="F9" dT="2026-02-24T10:41:51.87" personId="{0FD2F155-1F2B-4A42-AC41-E09FC14CC103}" id="{3A0CB548-6F41-4461-B413-1325FAD89FFA}">
    <text>A LOJA PAGA 1 PARCELA SEG CNH</text>
  </threadedComment>
  <threadedComment ref="F10" dT="2026-02-24T10:43:10.76" personId="{0FD2F155-1F2B-4A42-AC41-E09FC14CC103}" id="{F74C495F-4CAB-4CDF-9A37-3F26E08DFAF2}">
    <text>A LOJA PAGAB 2 PARCELAS SEG CNH</text>
  </threadedComment>
  <threadedComment ref="F11" dT="2026-02-24T10:44:27.38" personId="{0FD2F155-1F2B-4A42-AC41-E09FC14CC103}" id="{377DBCFC-2476-488C-AE22-1B5BBE8275D7}">
    <text>A LOJA PAGA B1 PARCELA SEG CNH</text>
  </threadedComment>
  <threadedComment ref="F12" dT="2026-02-24T10:45:45.05" personId="{0FD2F155-1F2B-4A42-AC41-E09FC14CC103}" id="{B1984A67-E73E-4A55-90C9-B9251374FD52}">
    <text>A LOJA PAGA 1 PARCELA SEG CNH</text>
  </threadedComment>
  <threadedComment ref="F13" dT="2026-02-24T10:46:55.60" personId="{0FD2F155-1F2B-4A42-AC41-E09FC14CC103}" id="{0D06C016-3153-4A90-A320-504895DD0539}">
    <text>A LOJA PAGA 2 PARCELAS SEG CNH</text>
  </threadedComment>
  <threadedComment ref="F14" dT="2026-02-24T10:48:18.75" personId="{0FD2F155-1F2B-4A42-AC41-E09FC14CC103}" id="{5D6419D7-F2FB-4A40-91C3-E9E7DAB5B0C2}">
    <text>A LOJA PAGA 2 PARCELAS SEG CNH</text>
  </threadedComment>
  <threadedComment ref="E30" dT="2026-02-26T10:33:27.64" personId="{0FD2F155-1F2B-4A42-AC41-E09FC14CC103}" id="{71C2B92B-42DD-4056-961D-5C0CEB68CD10}">
    <text xml:space="preserve">A LOJA PAGA 1 PARCELA </text>
  </threadedComment>
  <threadedComment ref="E54" dT="2026-02-28T15:40:24.43" personId="{0FD2F155-1F2B-4A42-AC41-E09FC14CC103}" id="{DBA4361C-53A7-42A4-B136-DFAC644E5881}">
    <text>A LOJA PAGA 2 PARCELAS SEG CNH</text>
  </threadedComment>
  <threadedComment ref="E55" dT="2026-02-28T15:41:53.06" personId="{0FD2F155-1F2B-4A42-AC41-E09FC14CC103}" id="{BC2C9885-F6D7-47F2-8577-176B340809F5}">
    <text>A LOJA PAGA 1 PARCELA SEG CNH</text>
  </threadedComment>
  <threadedComment ref="E57" dT="2026-02-28T17:00:50.22" personId="{0FD2F155-1F2B-4A42-AC41-E09FC14CC103}" id="{5D394091-0988-46AC-BB0D-9C8C342BA56B}">
    <text>A LOJA PAGA 1 PARCELA SEG CNH</text>
  </threadedComment>
  <threadedComment ref="E58" dT="2026-02-28T17:01:08.73" personId="{0FD2F155-1F2B-4A42-AC41-E09FC14CC103}" id="{B0B963B0-6AD0-4717-B937-32672BB24EAA}">
    <text>A LOJA PAGA TOTAL SEG CNH</text>
  </threadedComment>
  <threadedComment ref="E59" dT="2026-02-28T17:02:44.84" personId="{0FD2F155-1F2B-4A42-AC41-E09FC14CC103}" id="{02DC4CE5-276D-4469-B7DA-98A7355BC2DC}">
    <text>A LOJA PAGA 2 PARCELAS SEG CNH</text>
  </threadedComment>
  <threadedComment ref="E60" dT="2026-02-28T17:04:05.71" personId="{0FD2F155-1F2B-4A42-AC41-E09FC14CC103}" id="{DBB77760-1741-4545-9612-59E243740C0A}">
    <text>A LOJA PAGA 2 PARCELAS SEG CNH</text>
  </threadedComment>
  <threadedComment ref="E61" dT="2026-02-28T17:05:32.37" personId="{0FD2F155-1F2B-4A42-AC41-E09FC14CC103}" id="{FB2EB3AB-C960-494A-81C5-C1A8161561DF}">
    <text>A LOJA PAGA 1 PARCELA SEG CNH</text>
  </threadedComment>
  <threadedComment ref="E62" dT="2026-02-28T17:06:48.97" personId="{0FD2F155-1F2B-4A42-AC41-E09FC14CC103}" id="{8CDCA8B7-DAF1-4B0D-92C8-F2385D9BB7FB}">
    <text>A LOJA PAGA 1 PARCELA SEG CNH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52" dT="2026-03-11T20:23:48.48" personId="{CA592B9A-B143-429B-A884-897BD447612B}" id="{664B8E41-15BD-4362-A063-22FE89ACD590}">
    <text>A LOJA PAGA TOTAL SEG CNH</text>
  </threadedComment>
  <threadedComment ref="E53" dT="2026-03-11T20:24:58.77" personId="{CA592B9A-B143-429B-A884-897BD447612B}" id="{4EF87989-146B-4ACE-B7DE-A86E98AF194C}">
    <text>A LOJA PAGA TOTAL SEG CNH</text>
  </threadedComment>
  <threadedComment ref="E54" dT="2026-03-11T20:26:15.73" personId="{CA592B9A-B143-429B-A884-897BD447612B}" id="{64F37020-B66D-4550-BDD1-CC9E278DDBBE}">
    <text>A LOJA PAGA TOTAL SEG CNH</text>
  </threadedComment>
  <threadedComment ref="E55" dT="2026-03-11T20:27:17.03" personId="{CA592B9A-B143-429B-A884-897BD447612B}" id="{FC10266C-81AD-468B-BC0F-19402A999326}">
    <text>A LOJA PAGA TOTAL SEG CNH</text>
  </threadedComment>
  <threadedComment ref="E56" dT="2026-03-11T20:29:50.67" personId="{CA592B9A-B143-429B-A884-897BD447612B}" id="{9473852E-3685-4515-9976-592A3CDC6057}">
    <text xml:space="preserve">A LOJA PAGA TOTAL SEG CNHA </text>
  </threadedComment>
  <threadedComment ref="E57" dT="2026-03-11T20:30:06.74" personId="{CA592B9A-B143-429B-A884-897BD447612B}" id="{C7083615-B5BB-4ABA-8EBD-9C752E861470}">
    <text>A LOJA PAGA TOTAL SEG CNH</text>
  </threadedComment>
  <threadedComment ref="E65" dT="2026-03-13T10:35:13.13" personId="{CA592B9A-B143-429B-A884-897BD447612B}" id="{8B9044E7-E43E-4A25-B2FA-52A2E85E52DA}">
    <text>A LOJA PAGA 3 PARCELAS SEG CNH</text>
  </threadedComment>
  <threadedComment ref="E67" dT="2026-03-13T10:37:46.33" personId="{CA592B9A-B143-429B-A884-897BD447612B}" id="{98B49756-A742-4F34-8174-3BB618CC854B}">
    <text>A LOJA PAGA 2 PARCELAS SEG CNH</text>
  </threadedComment>
  <threadedComment ref="E68" dT="2026-03-13T10:39:19.04" personId="{CA592B9A-B143-429B-A884-897BD447612B}" id="{FB106876-6389-404A-AEFA-C0E7B0FB9215}">
    <text>A LOJA PAGA PARCELA TOTAL SEG CNH</text>
  </threadedComment>
  <threadedComment ref="E69" dT="2026-03-13T10:40:34.72" personId="{CA592B9A-B143-429B-A884-897BD447612B}" id="{9A26650A-0F57-4B2A-A35F-8AA4C11E5160}">
    <text>A LOJA PAGATOTAL SEG CNH</text>
  </threadedComment>
  <threadedComment ref="E93" dT="2026-03-18T10:41:26.33" personId="{CA592B9A-B143-429B-A884-897BD447612B}" id="{08AD2F52-33D8-442F-96B1-2EBAAE5646A7}">
    <text>A LOJA PAGA 2 PARCELAS SEG CNH</text>
  </threadedComment>
  <threadedComment ref="E94" dT="2026-03-18T10:42:43.86" personId="{CA592B9A-B143-429B-A884-897BD447612B}" id="{C032A7C7-0AAE-4BFA-B40F-2E522E2EAFF5}">
    <text>A LOJA PAGA TOTAL SEG CNH</text>
  </threadedComment>
  <threadedComment ref="E101" dT="2026-03-19T10:41:04.72" personId="{CA592B9A-B143-429B-A884-897BD447612B}" id="{C579FC0D-D027-423D-A36D-EE1905AE667C}">
    <text>A LOJA PAGA TOTAL SEG CNH</text>
  </threadedComment>
  <threadedComment ref="E104" dT="2026-03-20T10:42:02.23" personId="{CA592B9A-B143-429B-A884-897BD447612B}" id="{346AAC95-4DDA-42F3-A0C0-7E4EFAE1B458}">
    <text>A LOJA PAGA 2 PARCELAS DO SEG CNH</text>
  </threadedComment>
  <threadedComment ref="E105" dT="2026-03-20T10:43:06.77" personId="{CA592B9A-B143-429B-A884-897BD447612B}" id="{F2A2EFCC-524A-46F6-9B01-8F8C1F3BA0BC}">
    <text>A LOJA PAGA TOTAL DO SEG CNH</text>
  </threadedComment>
  <threadedComment ref="E132" dT="2026-03-26T10:34:17.67" personId="{CA592B9A-B143-429B-A884-897BD447612B}" id="{E3A60D1A-FF2B-49FD-84A6-460DF16493C6}">
    <text>A LOJA PAGA 1 PARCELA SEG CNH</text>
  </threadedComment>
  <threadedComment ref="E133" dT="2026-03-26T10:35:46.17" personId="{CA592B9A-B143-429B-A884-897BD447612B}" id="{688442F0-FDD8-41FF-AA34-044544232298}">
    <text>A LOJA PAGA TOTAL SEG CNH</text>
  </threadedComment>
  <threadedComment ref="E142" dT="2026-03-27T10:36:29.70" personId="{CA592B9A-B143-429B-A884-897BD447612B}" id="{3CE82C99-E153-46D6-86DC-CF1C10D97B99}">
    <text>A LOJA PAGA 2 PARCELAS SEG CNH</text>
  </threadedComment>
  <threadedComment ref="E143" dT="2026-03-27T10:38:01.31" personId="{CA592B9A-B143-429B-A884-897BD447612B}" id="{38734356-0384-49C2-93F9-17ED0094D9A4}">
    <text>A LOJA PAGA 2 PARCELAS SEG CNH</text>
  </threadedComment>
  <threadedComment ref="E144" dT="2026-03-27T10:39:54.05" personId="{CA592B9A-B143-429B-A884-897BD447612B}" id="{F271BF75-8B4A-4605-8BF2-91A6B4A77C71}">
    <text>A LOJA PAGA TOTAL SEG CNH</text>
  </threadedComment>
  <threadedComment ref="E147" dT="2026-03-27T10:44:33.50" personId="{CA592B9A-B143-429B-A884-897BD447612B}" id="{41FEE693-5027-44AD-82BA-2C99F178C357}">
    <text>A LOJA PAGA 2 PARCELAS SEG CNH</text>
  </threadedComment>
  <threadedComment ref="E148" dT="2026-03-27T10:45:59.13" personId="{CA592B9A-B143-429B-A884-897BD447612B}" id="{0117D618-65FC-4C7F-BAE2-1BEB96961BC9}">
    <text>A LOJA PAGA 2 PARCELAS SEG CNH</text>
  </threadedComment>
  <threadedComment ref="E170" dT="2026-03-31T18:42:01.32" personId="{CA592B9A-B143-429B-A884-897BD447612B}" id="{7B37FCD1-6935-4092-88EC-935CDF8F6517}">
    <text>A LOJA PAGA 2 PARCELAS SEG CNH</text>
  </threadedComment>
  <threadedComment ref="E171" dT="2026-03-31T18:43:13.17" personId="{CA592B9A-B143-429B-A884-897BD447612B}" id="{2444F0C8-5CA6-46AB-AD9A-C46501563705}">
    <text>A LOJA PAGA 2 PARCELAS SEG CNH</text>
  </threadedComment>
  <threadedComment ref="E174" dT="2026-03-31T20:54:47.73" personId="{CA592B9A-B143-429B-A884-897BD447612B}" id="{283D8485-C3FC-4304-9786-EB10C06C5C24}">
    <text>A LOJA PAGA 1 PARCELA SEG CNH</text>
  </threadedComment>
  <threadedComment ref="E175" dT="2026-03-31T20:28:16.49" personId="{CA592B9A-B143-429B-A884-897BD447612B}" id="{346E2E6E-398B-4000-97E6-6E706267D855}">
    <text>A LOJA PAGA 2 PARCELAS SEG CNH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3F85-73FB-4CDB-80B8-32924908A847}">
  <dimension ref="A1:Q107"/>
  <sheetViews>
    <sheetView topLeftCell="B1" zoomScaleNormal="100" workbookViewId="0">
      <selection activeCell="B1" sqref="A1:XFD1048576"/>
    </sheetView>
  </sheetViews>
  <sheetFormatPr defaultColWidth="9.109375" defaultRowHeight="14.4"/>
  <cols>
    <col min="2" max="2" width="37" customWidth="1"/>
    <col min="3" max="3" width="13.5546875" customWidth="1"/>
    <col min="4" max="4" width="16.33203125" customWidth="1"/>
    <col min="5" max="5" width="12" customWidth="1"/>
    <col min="6" max="6" width="14.21875" customWidth="1"/>
    <col min="7" max="7" width="11.33203125" customWidth="1"/>
    <col min="8" max="8" width="11.5546875" customWidth="1"/>
    <col min="9" max="9" width="14.6640625" customWidth="1"/>
    <col min="11" max="11" width="14" customWidth="1"/>
    <col min="12" max="12" width="12.33203125" customWidth="1"/>
    <col min="13" max="13" width="12" customWidth="1"/>
    <col min="14" max="14" width="10.109375" customWidth="1"/>
    <col min="15" max="15" width="11.21875" customWidth="1"/>
    <col min="16" max="16" width="12.21875" customWidth="1"/>
  </cols>
  <sheetData>
    <row r="1" spans="1:17" ht="23.4">
      <c r="B1" s="225" t="s">
        <v>0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7"/>
    </row>
    <row r="2" spans="1:17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1" t="s">
        <v>6</v>
      </c>
      <c r="G2" s="6" t="s">
        <v>7</v>
      </c>
      <c r="H2" s="1" t="s">
        <v>8</v>
      </c>
      <c r="I2" s="6" t="s">
        <v>9</v>
      </c>
      <c r="J2" s="1" t="s">
        <v>10</v>
      </c>
      <c r="K2" s="1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7">
      <c r="A3" s="51">
        <v>1</v>
      </c>
      <c r="B3" s="52" t="s">
        <v>17</v>
      </c>
      <c r="C3" s="53" t="s">
        <v>18</v>
      </c>
      <c r="D3" s="7">
        <v>37530921</v>
      </c>
      <c r="E3" s="8">
        <v>6171956</v>
      </c>
      <c r="F3" s="54">
        <v>573.57000000000005</v>
      </c>
      <c r="G3" s="55">
        <f>F3*7.38%</f>
        <v>42.329466000000004</v>
      </c>
      <c r="H3" s="56">
        <v>47.75</v>
      </c>
      <c r="I3" s="55">
        <f>F3-G3-H3</f>
        <v>483.49053400000003</v>
      </c>
      <c r="J3" s="51" t="s">
        <v>19</v>
      </c>
      <c r="K3" s="56" t="s">
        <v>20</v>
      </c>
      <c r="L3" s="57">
        <f>I3*15%</f>
        <v>72.523580100000004</v>
      </c>
      <c r="M3" s="57">
        <f t="shared" ref="M3:M66" si="0">I3*4%</f>
        <v>19.339621360000002</v>
      </c>
      <c r="N3" s="58">
        <f t="shared" ref="N3:N66" si="1">I3*2%</f>
        <v>9.6698106800000012</v>
      </c>
      <c r="O3" s="58">
        <f t="shared" ref="O3:O66" si="2">I3*2%</f>
        <v>9.6698106800000012</v>
      </c>
      <c r="P3" s="55">
        <f t="shared" ref="P3:P66" si="3">L3-M3-N3-O3</f>
        <v>33.844337379999999</v>
      </c>
    </row>
    <row r="4" spans="1:17">
      <c r="A4" s="51">
        <v>2</v>
      </c>
      <c r="B4" s="52" t="s">
        <v>21</v>
      </c>
      <c r="C4" s="59" t="s">
        <v>22</v>
      </c>
      <c r="D4" s="9">
        <v>100311111502772</v>
      </c>
      <c r="E4" s="8">
        <v>6185047</v>
      </c>
      <c r="F4" s="54">
        <v>610.39</v>
      </c>
      <c r="G4" s="55">
        <f>F4*7.38%</f>
        <v>45.046782</v>
      </c>
      <c r="H4" s="60">
        <v>75.28</v>
      </c>
      <c r="I4" s="55">
        <f>F4-G4-H4</f>
        <v>490.06321800000001</v>
      </c>
      <c r="J4" s="61" t="s">
        <v>23</v>
      </c>
      <c r="K4" s="60" t="s">
        <v>24</v>
      </c>
      <c r="L4" s="57">
        <f t="shared" ref="L4:L67" si="4">I4*15%</f>
        <v>73.509482699999992</v>
      </c>
      <c r="M4" s="57">
        <f t="shared" si="0"/>
        <v>19.602528720000002</v>
      </c>
      <c r="N4" s="58">
        <f t="shared" si="1"/>
        <v>9.8012643600000011</v>
      </c>
      <c r="O4" s="58">
        <f t="shared" si="2"/>
        <v>9.8012643600000011</v>
      </c>
      <c r="P4" s="55">
        <f t="shared" si="3"/>
        <v>34.304425259999988</v>
      </c>
    </row>
    <row r="5" spans="1:17">
      <c r="A5" s="51">
        <v>3</v>
      </c>
      <c r="B5" s="62" t="s">
        <v>25</v>
      </c>
      <c r="C5" s="51" t="s">
        <v>26</v>
      </c>
      <c r="D5" s="10">
        <v>100311111482006</v>
      </c>
      <c r="E5" s="11">
        <v>6170779</v>
      </c>
      <c r="F5" s="63">
        <v>543.45000000000005</v>
      </c>
      <c r="G5" s="55">
        <f t="shared" ref="G5:G68" si="5">F5*7.38%</f>
        <v>40.106610000000003</v>
      </c>
      <c r="H5" s="64">
        <v>143.55000000000001</v>
      </c>
      <c r="I5" s="55">
        <f t="shared" ref="I5:I68" si="6">F5-G5-H5</f>
        <v>359.79339000000004</v>
      </c>
      <c r="J5" s="51" t="s">
        <v>23</v>
      </c>
      <c r="K5" s="56" t="s">
        <v>27</v>
      </c>
      <c r="L5" s="57">
        <f t="shared" si="4"/>
        <v>53.969008500000008</v>
      </c>
      <c r="M5" s="57">
        <f t="shared" si="0"/>
        <v>14.391735600000002</v>
      </c>
      <c r="N5" s="58">
        <f t="shared" si="1"/>
        <v>7.1958678000000011</v>
      </c>
      <c r="O5" s="58">
        <f t="shared" si="2"/>
        <v>7.1958678000000011</v>
      </c>
      <c r="P5" s="55">
        <f t="shared" si="3"/>
        <v>25.1855373</v>
      </c>
    </row>
    <row r="6" spans="1:17">
      <c r="A6" s="51">
        <v>4</v>
      </c>
      <c r="B6" s="52" t="s">
        <v>28</v>
      </c>
      <c r="C6" s="61" t="s">
        <v>29</v>
      </c>
      <c r="D6" s="12">
        <v>37534895</v>
      </c>
      <c r="E6" s="13">
        <v>6186243</v>
      </c>
      <c r="F6" s="65">
        <v>589.23</v>
      </c>
      <c r="G6" s="66">
        <f t="shared" si="5"/>
        <v>43.485174000000001</v>
      </c>
      <c r="H6" s="60">
        <v>0</v>
      </c>
      <c r="I6" s="66">
        <f t="shared" si="6"/>
        <v>545.74482599999999</v>
      </c>
      <c r="J6" s="61" t="s">
        <v>23</v>
      </c>
      <c r="K6" s="60" t="s">
        <v>27</v>
      </c>
      <c r="L6" s="57">
        <f t="shared" si="4"/>
        <v>81.861723900000001</v>
      </c>
      <c r="M6" s="57">
        <f t="shared" si="0"/>
        <v>21.829793039999998</v>
      </c>
      <c r="N6" s="58">
        <f t="shared" si="1"/>
        <v>10.914896519999999</v>
      </c>
      <c r="O6" s="58">
        <f t="shared" si="2"/>
        <v>10.914896519999999</v>
      </c>
      <c r="P6" s="55">
        <f t="shared" si="3"/>
        <v>38.202137820000004</v>
      </c>
    </row>
    <row r="7" spans="1:17">
      <c r="A7" s="51">
        <v>5</v>
      </c>
      <c r="B7" s="62" t="s">
        <v>30</v>
      </c>
      <c r="C7" s="51" t="s">
        <v>29</v>
      </c>
      <c r="D7" s="12">
        <v>288775</v>
      </c>
      <c r="E7" s="13">
        <v>6141414</v>
      </c>
      <c r="F7" s="56">
        <v>613.52</v>
      </c>
      <c r="G7" s="66">
        <f t="shared" si="5"/>
        <v>45.277776000000003</v>
      </c>
      <c r="H7" s="56">
        <v>77.989999999999995</v>
      </c>
      <c r="I7" s="66">
        <f t="shared" si="6"/>
        <v>490.25222399999996</v>
      </c>
      <c r="J7" s="51" t="s">
        <v>19</v>
      </c>
      <c r="K7" s="56" t="s">
        <v>31</v>
      </c>
      <c r="L7" s="57">
        <f t="shared" si="4"/>
        <v>73.537833599999985</v>
      </c>
      <c r="M7" s="57">
        <f t="shared" si="0"/>
        <v>19.610088959999999</v>
      </c>
      <c r="N7" s="58">
        <f t="shared" si="1"/>
        <v>9.8050444799999994</v>
      </c>
      <c r="O7" s="58">
        <f t="shared" si="2"/>
        <v>9.8050444799999994</v>
      </c>
      <c r="P7" s="55">
        <f t="shared" si="3"/>
        <v>34.317655679999987</v>
      </c>
    </row>
    <row r="8" spans="1:17">
      <c r="A8" s="51">
        <v>6</v>
      </c>
      <c r="B8" s="52" t="s">
        <v>32</v>
      </c>
      <c r="C8" s="61" t="s">
        <v>33</v>
      </c>
      <c r="D8" s="14">
        <v>100311111479845</v>
      </c>
      <c r="E8" s="15">
        <v>6184634</v>
      </c>
      <c r="F8" s="60">
        <v>617.71</v>
      </c>
      <c r="G8" s="66">
        <f t="shared" si="5"/>
        <v>45.586998000000008</v>
      </c>
      <c r="H8" s="60">
        <v>205.91</v>
      </c>
      <c r="I8" s="66">
        <f>F8-G8-H8</f>
        <v>366.21300200000007</v>
      </c>
      <c r="J8" s="61" t="s">
        <v>23</v>
      </c>
      <c r="K8" s="60" t="s">
        <v>34</v>
      </c>
      <c r="L8" s="57">
        <f t="shared" si="4"/>
        <v>54.931950300000011</v>
      </c>
      <c r="M8" s="57">
        <f t="shared" si="0"/>
        <v>14.648520080000003</v>
      </c>
      <c r="N8" s="58">
        <f t="shared" si="1"/>
        <v>7.3242600400000013</v>
      </c>
      <c r="O8" s="58">
        <f t="shared" si="2"/>
        <v>7.3242600400000013</v>
      </c>
      <c r="P8" s="55">
        <f t="shared" si="3"/>
        <v>25.634910140000006</v>
      </c>
    </row>
    <row r="9" spans="1:17">
      <c r="A9" s="51">
        <v>7</v>
      </c>
      <c r="B9" s="62" t="s">
        <v>35</v>
      </c>
      <c r="C9" s="51" t="s">
        <v>36</v>
      </c>
      <c r="D9" s="16">
        <v>100311111480842</v>
      </c>
      <c r="E9" s="13">
        <v>6172574</v>
      </c>
      <c r="F9" s="67">
        <v>568.33000000000004</v>
      </c>
      <c r="G9" s="66">
        <f t="shared" si="5"/>
        <v>41.942754000000008</v>
      </c>
      <c r="H9" s="56">
        <v>70.099999999999994</v>
      </c>
      <c r="I9" s="66">
        <f>F9-G9-H9</f>
        <v>456.28724599999998</v>
      </c>
      <c r="J9" s="51" t="s">
        <v>19</v>
      </c>
      <c r="K9" s="56" t="s">
        <v>37</v>
      </c>
      <c r="L9" s="57">
        <f t="shared" si="4"/>
        <v>68.443086899999997</v>
      </c>
      <c r="M9" s="57">
        <f t="shared" si="0"/>
        <v>18.251489840000001</v>
      </c>
      <c r="N9" s="58">
        <f>I9*2%</f>
        <v>9.1257449200000007</v>
      </c>
      <c r="O9" s="58">
        <f t="shared" si="2"/>
        <v>9.1257449200000007</v>
      </c>
      <c r="P9" s="55">
        <f t="shared" si="3"/>
        <v>31.940107219999987</v>
      </c>
    </row>
    <row r="10" spans="1:17">
      <c r="A10" s="51">
        <v>8</v>
      </c>
      <c r="B10" s="68" t="s">
        <v>38</v>
      </c>
      <c r="C10" s="61" t="s">
        <v>26</v>
      </c>
      <c r="D10" s="17">
        <v>37542014</v>
      </c>
      <c r="E10" s="18" t="s">
        <v>39</v>
      </c>
      <c r="F10" s="69">
        <v>357.64</v>
      </c>
      <c r="G10" s="66">
        <f t="shared" si="5"/>
        <v>26.393832</v>
      </c>
      <c r="H10" s="60">
        <v>89.41</v>
      </c>
      <c r="I10" s="66">
        <f t="shared" si="6"/>
        <v>241.83616800000001</v>
      </c>
      <c r="J10" s="70" t="s">
        <v>23</v>
      </c>
      <c r="K10" s="60" t="s">
        <v>40</v>
      </c>
      <c r="L10" s="57">
        <f t="shared" si="4"/>
        <v>36.275425200000001</v>
      </c>
      <c r="M10" s="57">
        <f t="shared" si="0"/>
        <v>9.6734467200000012</v>
      </c>
      <c r="N10" s="58">
        <f t="shared" si="1"/>
        <v>4.8367233600000006</v>
      </c>
      <c r="O10" s="58">
        <f t="shared" si="2"/>
        <v>4.8367233600000006</v>
      </c>
      <c r="P10" s="55">
        <f t="shared" si="3"/>
        <v>16.928531759999998</v>
      </c>
    </row>
    <row r="11" spans="1:17">
      <c r="A11" s="51">
        <v>9</v>
      </c>
      <c r="B11" s="68" t="s">
        <v>41</v>
      </c>
      <c r="C11" s="51" t="s">
        <v>26</v>
      </c>
      <c r="D11" s="16">
        <v>100311111485044</v>
      </c>
      <c r="E11" s="13">
        <v>6151428</v>
      </c>
      <c r="F11" s="71">
        <v>582.03</v>
      </c>
      <c r="G11" s="66">
        <f t="shared" si="5"/>
        <v>42.953814000000001</v>
      </c>
      <c r="H11" s="56">
        <v>61.72</v>
      </c>
      <c r="I11" s="72">
        <f t="shared" si="6"/>
        <v>477.35618599999998</v>
      </c>
      <c r="J11" s="73" t="s">
        <v>23</v>
      </c>
      <c r="K11" s="56" t="s">
        <v>42</v>
      </c>
      <c r="L11" s="57">
        <f t="shared" si="4"/>
        <v>71.6034279</v>
      </c>
      <c r="M11" s="57">
        <f t="shared" si="0"/>
        <v>19.09424744</v>
      </c>
      <c r="N11" s="58">
        <f t="shared" si="1"/>
        <v>9.5471237200000001</v>
      </c>
      <c r="O11" s="74">
        <f t="shared" si="2"/>
        <v>9.5471237200000001</v>
      </c>
      <c r="P11" s="57">
        <f t="shared" si="3"/>
        <v>33.414933019999992</v>
      </c>
    </row>
    <row r="12" spans="1:17">
      <c r="A12" s="51">
        <v>10</v>
      </c>
      <c r="B12" s="19" t="s">
        <v>43</v>
      </c>
      <c r="C12" s="20" t="s">
        <v>36</v>
      </c>
      <c r="D12" s="17">
        <v>100311111485096</v>
      </c>
      <c r="E12" s="21">
        <v>6186810</v>
      </c>
      <c r="F12" s="75">
        <v>589.69000000000005</v>
      </c>
      <c r="G12" s="66">
        <f t="shared" si="5"/>
        <v>43.51912200000001</v>
      </c>
      <c r="H12" s="60">
        <v>0</v>
      </c>
      <c r="I12" s="66">
        <f t="shared" si="6"/>
        <v>546.17087800000002</v>
      </c>
      <c r="J12" s="73" t="s">
        <v>23</v>
      </c>
      <c r="K12" s="60" t="s">
        <v>42</v>
      </c>
      <c r="L12" s="57">
        <f t="shared" si="4"/>
        <v>81.925631699999997</v>
      </c>
      <c r="M12" s="57">
        <f t="shared" si="0"/>
        <v>21.846835120000001</v>
      </c>
      <c r="N12" s="58">
        <f t="shared" si="1"/>
        <v>10.923417560000001</v>
      </c>
      <c r="O12" s="58">
        <f t="shared" si="2"/>
        <v>10.923417560000001</v>
      </c>
      <c r="P12" s="55">
        <f t="shared" si="3"/>
        <v>38.231961459999994</v>
      </c>
    </row>
    <row r="13" spans="1:17">
      <c r="A13" s="51">
        <v>11</v>
      </c>
      <c r="B13" s="68" t="s">
        <v>44</v>
      </c>
      <c r="C13" s="51" t="s">
        <v>26</v>
      </c>
      <c r="D13" s="16">
        <v>2906974</v>
      </c>
      <c r="E13" s="13">
        <v>6190105</v>
      </c>
      <c r="F13" s="75">
        <v>413.72</v>
      </c>
      <c r="G13" s="72">
        <f t="shared" si="5"/>
        <v>30.532536000000004</v>
      </c>
      <c r="H13" s="56">
        <v>41.79</v>
      </c>
      <c r="I13" s="72">
        <f t="shared" si="6"/>
        <v>341.39746400000001</v>
      </c>
      <c r="J13" s="73" t="s">
        <v>19</v>
      </c>
      <c r="K13" s="56" t="s">
        <v>42</v>
      </c>
      <c r="L13" s="57">
        <f t="shared" si="4"/>
        <v>51.209619600000003</v>
      </c>
      <c r="M13" s="57">
        <f t="shared" si="0"/>
        <v>13.655898560000001</v>
      </c>
      <c r="N13" s="58">
        <f t="shared" si="1"/>
        <v>6.8279492800000003</v>
      </c>
      <c r="O13" s="74">
        <f t="shared" si="2"/>
        <v>6.8279492800000003</v>
      </c>
      <c r="P13" s="57">
        <f t="shared" si="3"/>
        <v>23.897822480000002</v>
      </c>
    </row>
    <row r="14" spans="1:17">
      <c r="A14" s="51">
        <v>12</v>
      </c>
      <c r="B14" s="22" t="s">
        <v>45</v>
      </c>
      <c r="C14" s="61" t="s">
        <v>29</v>
      </c>
      <c r="D14" s="23">
        <v>100311111487576</v>
      </c>
      <c r="E14" s="21">
        <v>6190521</v>
      </c>
      <c r="F14" s="75">
        <v>803.76</v>
      </c>
      <c r="G14" s="66">
        <f t="shared" si="5"/>
        <v>59.317488000000004</v>
      </c>
      <c r="H14" s="60">
        <v>86.37</v>
      </c>
      <c r="I14" s="66">
        <f t="shared" si="6"/>
        <v>658.07251199999996</v>
      </c>
      <c r="J14" s="70" t="s">
        <v>23</v>
      </c>
      <c r="K14" s="60" t="s">
        <v>27</v>
      </c>
      <c r="L14" s="57">
        <f t="shared" si="4"/>
        <v>98.710876799999994</v>
      </c>
      <c r="M14" s="57">
        <f t="shared" si="0"/>
        <v>26.322900479999998</v>
      </c>
      <c r="N14" s="58">
        <f t="shared" si="1"/>
        <v>13.161450239999999</v>
      </c>
      <c r="O14" s="58">
        <f t="shared" si="2"/>
        <v>13.161450239999999</v>
      </c>
      <c r="P14" s="55">
        <f t="shared" si="3"/>
        <v>46.065075839999992</v>
      </c>
    </row>
    <row r="15" spans="1:17">
      <c r="A15" s="51">
        <v>13</v>
      </c>
      <c r="B15" s="76" t="s">
        <v>46</v>
      </c>
      <c r="C15" s="51" t="s">
        <v>26</v>
      </c>
      <c r="D15" s="24">
        <v>100311111487868</v>
      </c>
      <c r="E15" s="21">
        <v>6190066</v>
      </c>
      <c r="F15" s="77">
        <v>558.73</v>
      </c>
      <c r="G15" s="72">
        <f t="shared" si="5"/>
        <v>41.234274000000006</v>
      </c>
      <c r="H15" s="60">
        <v>60.04</v>
      </c>
      <c r="I15" s="72">
        <f t="shared" si="6"/>
        <v>457.45572599999997</v>
      </c>
      <c r="J15" s="73" t="s">
        <v>23</v>
      </c>
      <c r="K15" s="56" t="s">
        <v>42</v>
      </c>
      <c r="L15" s="57">
        <f t="shared" si="4"/>
        <v>68.61835889999999</v>
      </c>
      <c r="M15" s="57">
        <f t="shared" si="0"/>
        <v>18.298229039999999</v>
      </c>
      <c r="N15" s="58">
        <f t="shared" si="1"/>
        <v>9.1491145199999995</v>
      </c>
      <c r="O15" s="74">
        <f t="shared" si="2"/>
        <v>9.1491145199999995</v>
      </c>
      <c r="P15" s="57">
        <f t="shared" si="3"/>
        <v>32.021900819999999</v>
      </c>
    </row>
    <row r="16" spans="1:17">
      <c r="A16" s="51">
        <v>14</v>
      </c>
      <c r="B16" s="78" t="s">
        <v>47</v>
      </c>
      <c r="C16" s="59" t="s">
        <v>26</v>
      </c>
      <c r="D16" s="16">
        <v>100311111488816</v>
      </c>
      <c r="E16" s="25">
        <v>6189651</v>
      </c>
      <c r="F16" s="75">
        <v>588.38</v>
      </c>
      <c r="G16" s="66">
        <f t="shared" si="5"/>
        <v>43.422444000000006</v>
      </c>
      <c r="H16" s="60">
        <v>52.65</v>
      </c>
      <c r="I16" s="66">
        <f t="shared" si="6"/>
        <v>492.30755599999998</v>
      </c>
      <c r="J16" s="70" t="s">
        <v>23</v>
      </c>
      <c r="K16" s="60" t="s">
        <v>48</v>
      </c>
      <c r="L16" s="57">
        <f t="shared" si="4"/>
        <v>73.846133399999999</v>
      </c>
      <c r="M16" s="57">
        <f t="shared" si="0"/>
        <v>19.69230224</v>
      </c>
      <c r="N16" s="58">
        <f t="shared" si="1"/>
        <v>9.84615112</v>
      </c>
      <c r="O16" s="58">
        <f t="shared" si="2"/>
        <v>9.84615112</v>
      </c>
      <c r="P16" s="55">
        <f t="shared" si="3"/>
        <v>34.461528919999992</v>
      </c>
    </row>
    <row r="17" spans="1:16">
      <c r="A17" s="51">
        <v>15</v>
      </c>
      <c r="B17" s="76" t="s">
        <v>49</v>
      </c>
      <c r="C17" s="79" t="s">
        <v>50</v>
      </c>
      <c r="D17" s="12">
        <v>100311111486453</v>
      </c>
      <c r="E17" s="26">
        <v>6189799</v>
      </c>
      <c r="F17" s="56">
        <v>586.09</v>
      </c>
      <c r="G17" s="72">
        <f t="shared" si="5"/>
        <v>43.253442000000007</v>
      </c>
      <c r="H17" s="60">
        <v>195.37</v>
      </c>
      <c r="I17" s="72">
        <f t="shared" si="6"/>
        <v>347.46655799999996</v>
      </c>
      <c r="J17" s="73" t="s">
        <v>23</v>
      </c>
      <c r="K17" s="56" t="s">
        <v>51</v>
      </c>
      <c r="L17" s="57">
        <f t="shared" si="4"/>
        <v>52.119983699999992</v>
      </c>
      <c r="M17" s="57">
        <f t="shared" si="0"/>
        <v>13.89866232</v>
      </c>
      <c r="N17" s="58">
        <f t="shared" si="1"/>
        <v>6.9493311599999998</v>
      </c>
      <c r="O17" s="74">
        <f t="shared" si="2"/>
        <v>6.9493311599999998</v>
      </c>
      <c r="P17" s="57">
        <f t="shared" si="3"/>
        <v>24.322659059999992</v>
      </c>
    </row>
    <row r="18" spans="1:16">
      <c r="A18" s="51">
        <v>16</v>
      </c>
      <c r="B18" s="78" t="s">
        <v>52</v>
      </c>
      <c r="C18" s="59" t="s">
        <v>22</v>
      </c>
      <c r="D18" s="16">
        <v>37533934</v>
      </c>
      <c r="E18" s="27">
        <v>6189309</v>
      </c>
      <c r="F18" s="60">
        <v>1166.26</v>
      </c>
      <c r="G18" s="66">
        <f t="shared" si="5"/>
        <v>86.069988000000009</v>
      </c>
      <c r="H18" s="60">
        <v>97.15</v>
      </c>
      <c r="I18" s="66">
        <f t="shared" si="6"/>
        <v>983.04001200000005</v>
      </c>
      <c r="J18" s="70" t="s">
        <v>19</v>
      </c>
      <c r="K18" s="60" t="s">
        <v>37</v>
      </c>
      <c r="L18" s="57">
        <f t="shared" si="4"/>
        <v>147.4560018</v>
      </c>
      <c r="M18" s="57">
        <f t="shared" si="0"/>
        <v>39.321600480000001</v>
      </c>
      <c r="N18" s="58">
        <f t="shared" si="1"/>
        <v>19.66080024</v>
      </c>
      <c r="O18" s="58">
        <f t="shared" si="2"/>
        <v>19.66080024</v>
      </c>
      <c r="P18" s="55">
        <f t="shared" si="3"/>
        <v>68.812800839999994</v>
      </c>
    </row>
    <row r="19" spans="1:16">
      <c r="A19" s="51">
        <v>17</v>
      </c>
      <c r="B19" s="76" t="s">
        <v>53</v>
      </c>
      <c r="C19" s="79" t="s">
        <v>26</v>
      </c>
      <c r="D19" s="16">
        <v>2894330</v>
      </c>
      <c r="E19" s="28" t="s">
        <v>54</v>
      </c>
      <c r="F19" s="56">
        <v>456.29</v>
      </c>
      <c r="G19" s="72">
        <f t="shared" si="5"/>
        <v>33.674202000000001</v>
      </c>
      <c r="H19" s="56">
        <v>0</v>
      </c>
      <c r="I19" s="72">
        <f t="shared" si="6"/>
        <v>422.61579800000004</v>
      </c>
      <c r="J19" s="73" t="s">
        <v>23</v>
      </c>
      <c r="K19" s="56" t="s">
        <v>42</v>
      </c>
      <c r="L19" s="57">
        <f t="shared" si="4"/>
        <v>63.392369700000003</v>
      </c>
      <c r="M19" s="57">
        <f t="shared" si="0"/>
        <v>16.904631920000003</v>
      </c>
      <c r="N19" s="74">
        <f t="shared" si="1"/>
        <v>8.4523159600000017</v>
      </c>
      <c r="O19" s="74">
        <f t="shared" si="2"/>
        <v>8.4523159600000017</v>
      </c>
      <c r="P19" s="57">
        <f t="shared" si="3"/>
        <v>29.583105860000003</v>
      </c>
    </row>
    <row r="20" spans="1:16">
      <c r="A20" s="51">
        <v>18</v>
      </c>
      <c r="B20" s="78" t="s">
        <v>55</v>
      </c>
      <c r="C20" s="79" t="s">
        <v>26</v>
      </c>
      <c r="D20" s="17">
        <v>100311111488129</v>
      </c>
      <c r="E20" s="25" t="s">
        <v>56</v>
      </c>
      <c r="F20" s="60">
        <v>454.81</v>
      </c>
      <c r="G20" s="66">
        <f t="shared" si="5"/>
        <v>33.564978000000004</v>
      </c>
      <c r="H20" s="60">
        <v>56.1</v>
      </c>
      <c r="I20" s="55">
        <f t="shared" si="6"/>
        <v>365.14502199999998</v>
      </c>
      <c r="J20" s="70" t="s">
        <v>23</v>
      </c>
      <c r="K20" s="60" t="s">
        <v>57</v>
      </c>
      <c r="L20" s="57">
        <f t="shared" si="4"/>
        <v>54.771753299999993</v>
      </c>
      <c r="M20" s="57">
        <f t="shared" si="0"/>
        <v>14.60580088</v>
      </c>
      <c r="N20" s="58">
        <f t="shared" si="1"/>
        <v>7.3029004400000002</v>
      </c>
      <c r="O20" s="58">
        <f t="shared" si="2"/>
        <v>7.3029004400000002</v>
      </c>
      <c r="P20" s="55">
        <f t="shared" si="3"/>
        <v>25.560151539999993</v>
      </c>
    </row>
    <row r="21" spans="1:16">
      <c r="A21" s="51">
        <v>19</v>
      </c>
      <c r="B21" s="29" t="s">
        <v>58</v>
      </c>
      <c r="C21" s="51" t="s">
        <v>59</v>
      </c>
      <c r="D21" s="16">
        <v>100311111488363</v>
      </c>
      <c r="E21" s="30" t="s">
        <v>60</v>
      </c>
      <c r="F21" s="56">
        <v>458.86</v>
      </c>
      <c r="G21" s="57">
        <f>F21*7.38%</f>
        <v>33.863868000000004</v>
      </c>
      <c r="H21" s="56">
        <v>49.31</v>
      </c>
      <c r="I21" s="57">
        <f>F3-G3-H3</f>
        <v>483.49053400000003</v>
      </c>
      <c r="J21" s="73" t="s">
        <v>23</v>
      </c>
      <c r="K21" s="56" t="s">
        <v>20</v>
      </c>
      <c r="L21" s="57">
        <f t="shared" si="4"/>
        <v>72.523580100000004</v>
      </c>
      <c r="M21" s="57">
        <f t="shared" si="0"/>
        <v>19.339621360000002</v>
      </c>
      <c r="N21" s="74">
        <f t="shared" si="1"/>
        <v>9.6698106800000012</v>
      </c>
      <c r="O21" s="74">
        <f t="shared" si="2"/>
        <v>9.6698106800000012</v>
      </c>
      <c r="P21" s="57">
        <f t="shared" si="3"/>
        <v>33.844337379999999</v>
      </c>
    </row>
    <row r="22" spans="1:16">
      <c r="A22" s="51">
        <v>20</v>
      </c>
      <c r="B22" s="78" t="s">
        <v>61</v>
      </c>
      <c r="C22" s="61" t="s">
        <v>26</v>
      </c>
      <c r="D22" s="17">
        <v>100311111499317</v>
      </c>
      <c r="E22" s="25" t="s">
        <v>62</v>
      </c>
      <c r="F22" s="60">
        <v>520.63</v>
      </c>
      <c r="G22" s="55">
        <f t="shared" si="5"/>
        <v>38.422494</v>
      </c>
      <c r="H22" s="60">
        <v>55.94</v>
      </c>
      <c r="I22" s="55">
        <f t="shared" si="6"/>
        <v>426.26750599999997</v>
      </c>
      <c r="J22" s="70" t="s">
        <v>23</v>
      </c>
      <c r="K22" s="60" t="s">
        <v>20</v>
      </c>
      <c r="L22" s="57">
        <f t="shared" si="4"/>
        <v>63.940125899999991</v>
      </c>
      <c r="M22" s="57">
        <f t="shared" si="0"/>
        <v>17.050700239999998</v>
      </c>
      <c r="N22" s="58">
        <f t="shared" si="1"/>
        <v>8.5253501199999988</v>
      </c>
      <c r="O22" s="58">
        <f t="shared" si="2"/>
        <v>8.5253501199999988</v>
      </c>
      <c r="P22" s="55">
        <f t="shared" si="3"/>
        <v>29.838725419999996</v>
      </c>
    </row>
    <row r="23" spans="1:16">
      <c r="A23" s="51">
        <v>21</v>
      </c>
      <c r="B23" s="76" t="s">
        <v>63</v>
      </c>
      <c r="C23" s="51" t="s">
        <v>22</v>
      </c>
      <c r="D23" s="16">
        <v>37588696</v>
      </c>
      <c r="E23" s="31" t="s">
        <v>64</v>
      </c>
      <c r="F23" s="56">
        <v>710.03</v>
      </c>
      <c r="G23" s="57">
        <f t="shared" si="5"/>
        <v>52.400213999999998</v>
      </c>
      <c r="H23" s="56">
        <v>62.25</v>
      </c>
      <c r="I23" s="57">
        <f t="shared" si="6"/>
        <v>595.37978599999997</v>
      </c>
      <c r="J23" s="73" t="s">
        <v>19</v>
      </c>
      <c r="K23" s="56" t="s">
        <v>27</v>
      </c>
      <c r="L23" s="57">
        <f t="shared" si="4"/>
        <v>89.306967899999989</v>
      </c>
      <c r="M23" s="57">
        <f t="shared" si="0"/>
        <v>23.81519144</v>
      </c>
      <c r="N23" s="74">
        <f t="shared" si="1"/>
        <v>11.90759572</v>
      </c>
      <c r="O23" s="74">
        <f t="shared" si="2"/>
        <v>11.90759572</v>
      </c>
      <c r="P23" s="57">
        <f t="shared" si="3"/>
        <v>41.676585019999976</v>
      </c>
    </row>
    <row r="24" spans="1:16">
      <c r="A24" s="51">
        <v>22</v>
      </c>
      <c r="B24" s="76" t="s">
        <v>65</v>
      </c>
      <c r="C24" s="51" t="s">
        <v>26</v>
      </c>
      <c r="D24" s="16">
        <v>100311111489055</v>
      </c>
      <c r="E24" s="31">
        <v>6192513</v>
      </c>
      <c r="F24" s="56">
        <v>517.46</v>
      </c>
      <c r="G24" s="57">
        <f t="shared" si="5"/>
        <v>38.188548000000004</v>
      </c>
      <c r="H24" s="56">
        <v>55.6</v>
      </c>
      <c r="I24" s="57">
        <f t="shared" si="6"/>
        <v>423.67145199999999</v>
      </c>
      <c r="J24" s="73" t="s">
        <v>23</v>
      </c>
      <c r="K24" s="56" t="s">
        <v>20</v>
      </c>
      <c r="L24" s="57">
        <f t="shared" si="4"/>
        <v>63.550717799999994</v>
      </c>
      <c r="M24" s="57">
        <f t="shared" si="0"/>
        <v>16.946858079999998</v>
      </c>
      <c r="N24" s="74">
        <f t="shared" si="1"/>
        <v>8.4734290399999992</v>
      </c>
      <c r="O24" s="74">
        <f t="shared" si="2"/>
        <v>8.4734290399999992</v>
      </c>
      <c r="P24" s="57">
        <f t="shared" si="3"/>
        <v>29.657001639999997</v>
      </c>
    </row>
    <row r="25" spans="1:16">
      <c r="A25" s="51">
        <v>23</v>
      </c>
      <c r="B25" s="78" t="s">
        <v>66</v>
      </c>
      <c r="C25" s="61" t="s">
        <v>22</v>
      </c>
      <c r="D25" s="17">
        <v>37537862</v>
      </c>
      <c r="E25" s="25">
        <v>6192166</v>
      </c>
      <c r="F25" s="60">
        <v>679.59</v>
      </c>
      <c r="G25" s="55">
        <f t="shared" si="5"/>
        <v>50.153742000000008</v>
      </c>
      <c r="H25" s="60">
        <v>56.59</v>
      </c>
      <c r="I25" s="57">
        <f t="shared" si="6"/>
        <v>572.84625800000003</v>
      </c>
      <c r="J25" s="70" t="s">
        <v>19</v>
      </c>
      <c r="K25" s="60" t="s">
        <v>31</v>
      </c>
      <c r="L25" s="57">
        <f t="shared" si="4"/>
        <v>85.926938700000008</v>
      </c>
      <c r="M25" s="57">
        <f t="shared" si="0"/>
        <v>22.913850320000002</v>
      </c>
      <c r="N25" s="58">
        <f t="shared" si="1"/>
        <v>11.456925160000001</v>
      </c>
      <c r="O25" s="58">
        <f t="shared" si="2"/>
        <v>11.456925160000001</v>
      </c>
      <c r="P25" s="55">
        <f t="shared" si="3"/>
        <v>40.099238060000005</v>
      </c>
    </row>
    <row r="26" spans="1:16">
      <c r="A26" s="51">
        <v>24</v>
      </c>
      <c r="B26" s="80" t="s">
        <v>67</v>
      </c>
      <c r="C26" s="81" t="s">
        <v>36</v>
      </c>
      <c r="D26" s="32">
        <v>2898181</v>
      </c>
      <c r="E26" s="33">
        <v>6191017</v>
      </c>
      <c r="F26" s="60">
        <v>467.11</v>
      </c>
      <c r="G26" s="55">
        <f t="shared" si="5"/>
        <v>34.472718</v>
      </c>
      <c r="H26" s="60">
        <v>0</v>
      </c>
      <c r="I26" s="57">
        <f t="shared" si="6"/>
        <v>432.63728200000003</v>
      </c>
      <c r="J26" s="81" t="s">
        <v>23</v>
      </c>
      <c r="K26" s="81" t="s">
        <v>68</v>
      </c>
      <c r="L26" s="57">
        <f t="shared" si="4"/>
        <v>64.895592300000004</v>
      </c>
      <c r="M26" s="57">
        <f t="shared" si="0"/>
        <v>17.305491280000002</v>
      </c>
      <c r="N26" s="58">
        <f t="shared" si="1"/>
        <v>8.6527456400000009</v>
      </c>
      <c r="O26" s="58">
        <f t="shared" si="2"/>
        <v>8.6527456400000009</v>
      </c>
      <c r="P26" s="55">
        <f t="shared" si="3"/>
        <v>30.284609740000008</v>
      </c>
    </row>
    <row r="27" spans="1:16">
      <c r="A27" s="51">
        <v>25</v>
      </c>
      <c r="B27" s="52" t="s">
        <v>69</v>
      </c>
      <c r="C27" s="61" t="s">
        <v>18</v>
      </c>
      <c r="D27" s="34">
        <v>37537787</v>
      </c>
      <c r="E27" s="25" t="s">
        <v>70</v>
      </c>
      <c r="F27" s="60">
        <v>479.66</v>
      </c>
      <c r="G27" s="55">
        <f t="shared" si="5"/>
        <v>35.398908000000006</v>
      </c>
      <c r="H27" s="60">
        <v>42.03</v>
      </c>
      <c r="I27" s="57">
        <f t="shared" si="6"/>
        <v>402.23109199999999</v>
      </c>
      <c r="J27" s="70" t="s">
        <v>19</v>
      </c>
      <c r="K27" s="60" t="s">
        <v>27</v>
      </c>
      <c r="L27" s="57">
        <f t="shared" si="4"/>
        <v>60.334663799999994</v>
      </c>
      <c r="M27" s="57">
        <f t="shared" si="0"/>
        <v>16.089243679999999</v>
      </c>
      <c r="N27" s="58">
        <f t="shared" si="1"/>
        <v>8.0446218399999996</v>
      </c>
      <c r="O27" s="58">
        <f t="shared" si="2"/>
        <v>8.0446218399999996</v>
      </c>
      <c r="P27" s="55">
        <f t="shared" si="3"/>
        <v>28.156176439999996</v>
      </c>
    </row>
    <row r="28" spans="1:16">
      <c r="A28" s="51">
        <v>26</v>
      </c>
      <c r="B28" s="52" t="s">
        <v>71</v>
      </c>
      <c r="C28" s="61" t="s">
        <v>36</v>
      </c>
      <c r="D28" s="17">
        <v>100311111488845</v>
      </c>
      <c r="E28" s="25">
        <v>6187569</v>
      </c>
      <c r="F28" s="60">
        <v>546.67999999999995</v>
      </c>
      <c r="G28" s="55">
        <f t="shared" si="5"/>
        <v>40.344983999999997</v>
      </c>
      <c r="H28" s="60">
        <v>0</v>
      </c>
      <c r="I28" s="57">
        <f t="shared" si="6"/>
        <v>506.33501599999994</v>
      </c>
      <c r="J28" s="70" t="s">
        <v>23</v>
      </c>
      <c r="K28" s="60" t="s">
        <v>31</v>
      </c>
      <c r="L28" s="57">
        <f t="shared" si="4"/>
        <v>75.950252399999982</v>
      </c>
      <c r="M28" s="57">
        <f t="shared" si="0"/>
        <v>20.253400639999999</v>
      </c>
      <c r="N28" s="58">
        <f t="shared" si="1"/>
        <v>10.126700319999999</v>
      </c>
      <c r="O28" s="58">
        <f t="shared" si="2"/>
        <v>10.126700319999999</v>
      </c>
      <c r="P28" s="55">
        <f t="shared" si="3"/>
        <v>35.443451119999992</v>
      </c>
    </row>
    <row r="29" spans="1:16">
      <c r="A29" s="51">
        <v>27</v>
      </c>
      <c r="B29" s="52" t="s">
        <v>72</v>
      </c>
      <c r="C29" s="61" t="s">
        <v>73</v>
      </c>
      <c r="D29" s="17">
        <v>100311111492665</v>
      </c>
      <c r="E29" s="25" t="s">
        <v>74</v>
      </c>
      <c r="F29" s="60">
        <v>659.74</v>
      </c>
      <c r="G29" s="55">
        <f t="shared" si="5"/>
        <v>48.688812000000006</v>
      </c>
      <c r="H29" s="60">
        <v>219.92</v>
      </c>
      <c r="I29" s="57">
        <f t="shared" si="6"/>
        <v>391.13118800000007</v>
      </c>
      <c r="J29" s="70" t="s">
        <v>23</v>
      </c>
      <c r="K29" s="60" t="s">
        <v>27</v>
      </c>
      <c r="L29" s="57">
        <f t="shared" si="4"/>
        <v>58.669678200000007</v>
      </c>
      <c r="M29" s="57">
        <f t="shared" si="0"/>
        <v>15.645247520000003</v>
      </c>
      <c r="N29" s="58">
        <f t="shared" si="1"/>
        <v>7.8226237600000017</v>
      </c>
      <c r="O29" s="58">
        <f t="shared" si="2"/>
        <v>7.8226237600000017</v>
      </c>
      <c r="P29" s="55">
        <f t="shared" si="3"/>
        <v>27.37918316</v>
      </c>
    </row>
    <row r="30" spans="1:16">
      <c r="A30" s="51">
        <v>28</v>
      </c>
      <c r="B30" s="52" t="s">
        <v>75</v>
      </c>
      <c r="C30" s="61" t="s">
        <v>26</v>
      </c>
      <c r="D30" s="17">
        <v>288190</v>
      </c>
      <c r="E30" s="25">
        <v>6196631</v>
      </c>
      <c r="F30" s="60">
        <v>604.25</v>
      </c>
      <c r="G30" s="55">
        <f t="shared" si="5"/>
        <v>44.593650000000004</v>
      </c>
      <c r="H30" s="60">
        <v>74.75</v>
      </c>
      <c r="I30" s="57">
        <f t="shared" si="6"/>
        <v>484.90634999999997</v>
      </c>
      <c r="J30" s="70" t="s">
        <v>23</v>
      </c>
      <c r="K30" s="60" t="s">
        <v>20</v>
      </c>
      <c r="L30" s="57">
        <f t="shared" si="4"/>
        <v>72.735952499999996</v>
      </c>
      <c r="M30" s="57">
        <f t="shared" si="0"/>
        <v>19.396253999999999</v>
      </c>
      <c r="N30" s="58">
        <f t="shared" si="1"/>
        <v>9.6981269999999995</v>
      </c>
      <c r="O30" s="58">
        <f t="shared" si="2"/>
        <v>9.6981269999999995</v>
      </c>
      <c r="P30" s="55">
        <f t="shared" si="3"/>
        <v>33.943444499999998</v>
      </c>
    </row>
    <row r="31" spans="1:16">
      <c r="A31" s="51">
        <v>29</v>
      </c>
      <c r="B31" s="52" t="s">
        <v>76</v>
      </c>
      <c r="C31" s="61" t="s">
        <v>26</v>
      </c>
      <c r="D31" s="17">
        <v>37544090</v>
      </c>
      <c r="E31" s="25">
        <v>6195802</v>
      </c>
      <c r="F31" s="60">
        <v>362.18</v>
      </c>
      <c r="G31" s="55">
        <f t="shared" si="5"/>
        <v>26.728884000000001</v>
      </c>
      <c r="H31" s="60">
        <v>90.5</v>
      </c>
      <c r="I31" s="57">
        <f t="shared" si="6"/>
        <v>244.95111600000001</v>
      </c>
      <c r="J31" s="70" t="s">
        <v>23</v>
      </c>
      <c r="K31" s="60" t="s">
        <v>42</v>
      </c>
      <c r="L31" s="57">
        <f t="shared" si="4"/>
        <v>36.742667400000002</v>
      </c>
      <c r="M31" s="57">
        <f t="shared" si="0"/>
        <v>9.7980446400000005</v>
      </c>
      <c r="N31" s="58">
        <f t="shared" si="1"/>
        <v>4.8990223200000003</v>
      </c>
      <c r="O31" s="58">
        <f t="shared" si="2"/>
        <v>4.8990223200000003</v>
      </c>
      <c r="P31" s="55">
        <f t="shared" si="3"/>
        <v>17.146578120000001</v>
      </c>
    </row>
    <row r="32" spans="1:16">
      <c r="A32" s="51">
        <v>30</v>
      </c>
      <c r="B32" s="52" t="s">
        <v>77</v>
      </c>
      <c r="C32" s="61" t="s">
        <v>29</v>
      </c>
      <c r="D32" s="17">
        <v>2896120</v>
      </c>
      <c r="E32" s="35">
        <v>6194768</v>
      </c>
      <c r="F32" s="60">
        <v>723.54</v>
      </c>
      <c r="G32" s="55">
        <f t="shared" si="5"/>
        <v>53.397252000000002</v>
      </c>
      <c r="H32" s="60">
        <v>77.34</v>
      </c>
      <c r="I32" s="57">
        <f t="shared" si="6"/>
        <v>592.80274799999995</v>
      </c>
      <c r="J32" s="70" t="s">
        <v>19</v>
      </c>
      <c r="K32" s="60" t="s">
        <v>78</v>
      </c>
      <c r="L32" s="57">
        <f t="shared" si="4"/>
        <v>88.920412199999987</v>
      </c>
      <c r="M32" s="57">
        <f t="shared" si="0"/>
        <v>23.71210992</v>
      </c>
      <c r="N32" s="58">
        <f t="shared" si="1"/>
        <v>11.85605496</v>
      </c>
      <c r="O32" s="58">
        <f t="shared" si="2"/>
        <v>11.85605496</v>
      </c>
      <c r="P32" s="55">
        <f t="shared" si="3"/>
        <v>41.496192359999981</v>
      </c>
    </row>
    <row r="33" spans="1:16">
      <c r="A33" s="51">
        <v>31</v>
      </c>
      <c r="B33" s="52" t="s">
        <v>79</v>
      </c>
      <c r="C33" s="61" t="s">
        <v>80</v>
      </c>
      <c r="D33" s="17">
        <v>100311111490915</v>
      </c>
      <c r="E33" s="35">
        <v>6165168</v>
      </c>
      <c r="F33" s="60">
        <v>507.93</v>
      </c>
      <c r="G33" s="55">
        <f t="shared" si="5"/>
        <v>37.485234000000005</v>
      </c>
      <c r="H33" s="60">
        <v>0</v>
      </c>
      <c r="I33" s="57">
        <f t="shared" si="6"/>
        <v>470.44476600000002</v>
      </c>
      <c r="J33" s="70" t="s">
        <v>23</v>
      </c>
      <c r="K33" s="60" t="s">
        <v>37</v>
      </c>
      <c r="L33" s="57">
        <f t="shared" si="4"/>
        <v>70.566714899999994</v>
      </c>
      <c r="M33" s="57">
        <f t="shared" si="0"/>
        <v>18.817790640000002</v>
      </c>
      <c r="N33" s="58">
        <f t="shared" si="1"/>
        <v>9.408895320000001</v>
      </c>
      <c r="O33" s="58">
        <f t="shared" si="2"/>
        <v>9.408895320000001</v>
      </c>
      <c r="P33" s="55">
        <f t="shared" si="3"/>
        <v>32.931133619999997</v>
      </c>
    </row>
    <row r="34" spans="1:16">
      <c r="A34" s="51">
        <v>32</v>
      </c>
      <c r="B34" s="52" t="s">
        <v>81</v>
      </c>
      <c r="C34" s="61" t="s">
        <v>29</v>
      </c>
      <c r="D34" s="17">
        <v>10031111490447</v>
      </c>
      <c r="E34" s="35">
        <v>6175052</v>
      </c>
      <c r="F34" s="60">
        <v>920.75</v>
      </c>
      <c r="G34" s="55">
        <f t="shared" si="5"/>
        <v>67.951350000000005</v>
      </c>
      <c r="H34" s="60">
        <v>0</v>
      </c>
      <c r="I34" s="57">
        <f t="shared" si="6"/>
        <v>852.79864999999995</v>
      </c>
      <c r="J34" s="70" t="s">
        <v>23</v>
      </c>
      <c r="K34" s="60" t="s">
        <v>40</v>
      </c>
      <c r="L34" s="57">
        <f t="shared" si="4"/>
        <v>127.91979749999999</v>
      </c>
      <c r="M34" s="57">
        <f t="shared" si="0"/>
        <v>34.111945999999996</v>
      </c>
      <c r="N34" s="58">
        <f t="shared" si="1"/>
        <v>17.055972999999998</v>
      </c>
      <c r="O34" s="58">
        <f t="shared" si="2"/>
        <v>17.055972999999998</v>
      </c>
      <c r="P34" s="55">
        <f t="shared" si="3"/>
        <v>59.695905500000009</v>
      </c>
    </row>
    <row r="35" spans="1:16">
      <c r="A35" s="51">
        <v>33</v>
      </c>
      <c r="B35" s="52" t="s">
        <v>82</v>
      </c>
      <c r="C35" s="61" t="s">
        <v>83</v>
      </c>
      <c r="D35" s="36">
        <v>37551058</v>
      </c>
      <c r="E35" s="35">
        <v>6199115</v>
      </c>
      <c r="F35" s="60">
        <v>784.44</v>
      </c>
      <c r="G35" s="55">
        <f t="shared" si="5"/>
        <v>57.891672000000007</v>
      </c>
      <c r="H35" s="60">
        <v>65.37</v>
      </c>
      <c r="I35" s="57">
        <f t="shared" si="6"/>
        <v>661.17832800000008</v>
      </c>
      <c r="J35" s="70" t="s">
        <v>19</v>
      </c>
      <c r="K35" s="60" t="s">
        <v>31</v>
      </c>
      <c r="L35" s="57">
        <f t="shared" si="4"/>
        <v>99.176749200000003</v>
      </c>
      <c r="M35" s="57">
        <f t="shared" si="0"/>
        <v>26.447133120000004</v>
      </c>
      <c r="N35" s="58">
        <f t="shared" si="1"/>
        <v>13.223566560000002</v>
      </c>
      <c r="O35" s="58">
        <f t="shared" si="2"/>
        <v>13.223566560000002</v>
      </c>
      <c r="P35" s="55">
        <f t="shared" si="3"/>
        <v>46.282482959999996</v>
      </c>
    </row>
    <row r="36" spans="1:16">
      <c r="A36" s="51">
        <v>34</v>
      </c>
      <c r="B36" s="52" t="s">
        <v>84</v>
      </c>
      <c r="C36" s="61" t="s">
        <v>26</v>
      </c>
      <c r="D36" s="17">
        <v>100311111499694</v>
      </c>
      <c r="E36" s="35">
        <v>6198820</v>
      </c>
      <c r="F36" s="60">
        <v>525.66</v>
      </c>
      <c r="G36" s="55">
        <f t="shared" si="5"/>
        <v>38.793708000000002</v>
      </c>
      <c r="H36" s="60">
        <v>138.85</v>
      </c>
      <c r="I36" s="57">
        <f t="shared" si="6"/>
        <v>348.01629200000002</v>
      </c>
      <c r="J36" s="70" t="s">
        <v>19</v>
      </c>
      <c r="K36" s="60" t="s">
        <v>20</v>
      </c>
      <c r="L36" s="57">
        <f t="shared" si="4"/>
        <v>52.202443800000005</v>
      </c>
      <c r="M36" s="57">
        <f t="shared" si="0"/>
        <v>13.920651680000001</v>
      </c>
      <c r="N36" s="58">
        <f t="shared" si="1"/>
        <v>6.9603258400000003</v>
      </c>
      <c r="O36" s="58">
        <f t="shared" si="2"/>
        <v>6.9603258400000003</v>
      </c>
      <c r="P36" s="55">
        <f t="shared" si="3"/>
        <v>24.361140440000007</v>
      </c>
    </row>
    <row r="37" spans="1:16">
      <c r="A37" s="51">
        <v>35</v>
      </c>
      <c r="B37" s="52" t="s">
        <v>85</v>
      </c>
      <c r="C37" s="61" t="s">
        <v>22</v>
      </c>
      <c r="D37" s="36">
        <v>100311111498951</v>
      </c>
      <c r="E37" s="35">
        <v>6199197</v>
      </c>
      <c r="F37" s="60">
        <v>785.12</v>
      </c>
      <c r="G37" s="55">
        <f t="shared" si="5"/>
        <v>57.941856000000001</v>
      </c>
      <c r="H37" s="60">
        <v>84.36</v>
      </c>
      <c r="I37" s="57">
        <f t="shared" si="6"/>
        <v>642.81814399999996</v>
      </c>
      <c r="J37" s="70" t="s">
        <v>23</v>
      </c>
      <c r="K37" s="60" t="s">
        <v>42</v>
      </c>
      <c r="L37" s="57">
        <f t="shared" si="4"/>
        <v>96.422721599999988</v>
      </c>
      <c r="M37" s="57">
        <f t="shared" si="0"/>
        <v>25.712725759999998</v>
      </c>
      <c r="N37" s="58">
        <f t="shared" si="1"/>
        <v>12.856362879999999</v>
      </c>
      <c r="O37" s="58">
        <f t="shared" si="2"/>
        <v>12.856362879999999</v>
      </c>
      <c r="P37" s="55">
        <f t="shared" si="3"/>
        <v>44.997270079999993</v>
      </c>
    </row>
    <row r="38" spans="1:16">
      <c r="A38" s="51">
        <v>36</v>
      </c>
      <c r="B38" s="52" t="s">
        <v>86</v>
      </c>
      <c r="C38" s="61" t="s">
        <v>26</v>
      </c>
      <c r="D38" s="17">
        <v>100311111496938</v>
      </c>
      <c r="E38" s="35">
        <v>6198538</v>
      </c>
      <c r="F38" s="60">
        <v>493.83</v>
      </c>
      <c r="G38" s="55">
        <f t="shared" si="5"/>
        <v>36.444654</v>
      </c>
      <c r="H38" s="60">
        <v>53.06</v>
      </c>
      <c r="I38" s="57">
        <f t="shared" si="6"/>
        <v>404.32534599999997</v>
      </c>
      <c r="J38" s="70" t="s">
        <v>23</v>
      </c>
      <c r="K38" s="60" t="s">
        <v>20</v>
      </c>
      <c r="L38" s="57">
        <f t="shared" si="4"/>
        <v>60.648801899999995</v>
      </c>
      <c r="M38" s="57">
        <f t="shared" si="0"/>
        <v>16.173013839999999</v>
      </c>
      <c r="N38" s="58">
        <f t="shared" si="1"/>
        <v>8.0865069199999997</v>
      </c>
      <c r="O38" s="58">
        <f t="shared" si="2"/>
        <v>8.0865069199999997</v>
      </c>
      <c r="P38" s="55">
        <f t="shared" si="3"/>
        <v>28.302774220000003</v>
      </c>
    </row>
    <row r="39" spans="1:16">
      <c r="A39" s="51">
        <v>37</v>
      </c>
      <c r="B39" s="52" t="s">
        <v>87</v>
      </c>
      <c r="C39" s="61" t="s">
        <v>29</v>
      </c>
      <c r="D39" s="17">
        <v>1003111111496700</v>
      </c>
      <c r="E39" s="35">
        <v>6198099</v>
      </c>
      <c r="F39" s="60">
        <v>830.51</v>
      </c>
      <c r="G39" s="55">
        <f t="shared" si="5"/>
        <v>61.291638000000006</v>
      </c>
      <c r="H39" s="60">
        <v>89.24</v>
      </c>
      <c r="I39" s="57">
        <f t="shared" si="6"/>
        <v>679.97836199999995</v>
      </c>
      <c r="J39" s="70" t="s">
        <v>23</v>
      </c>
      <c r="K39" s="60" t="s">
        <v>20</v>
      </c>
      <c r="L39" s="57">
        <f t="shared" si="4"/>
        <v>101.99675429999999</v>
      </c>
      <c r="M39" s="57">
        <f t="shared" si="0"/>
        <v>27.199134479999998</v>
      </c>
      <c r="N39" s="58">
        <f t="shared" si="1"/>
        <v>13.599567239999999</v>
      </c>
      <c r="O39" s="58">
        <f t="shared" si="2"/>
        <v>13.599567239999999</v>
      </c>
      <c r="P39" s="55">
        <f t="shared" si="3"/>
        <v>47.598485339999996</v>
      </c>
    </row>
    <row r="40" spans="1:16">
      <c r="A40" s="51">
        <v>38</v>
      </c>
      <c r="B40" s="52" t="s">
        <v>88</v>
      </c>
      <c r="C40" s="61" t="s">
        <v>26</v>
      </c>
      <c r="D40" s="17">
        <v>1003111111496100</v>
      </c>
      <c r="E40" s="35">
        <v>6197435</v>
      </c>
      <c r="F40" s="60">
        <v>511.82</v>
      </c>
      <c r="G40" s="55">
        <f t="shared" si="5"/>
        <v>37.772316000000004</v>
      </c>
      <c r="H40" s="60">
        <v>55</v>
      </c>
      <c r="I40" s="57">
        <f t="shared" si="6"/>
        <v>419.047684</v>
      </c>
      <c r="J40" s="70" t="s">
        <v>23</v>
      </c>
      <c r="K40" s="60" t="s">
        <v>20</v>
      </c>
      <c r="L40" s="57">
        <f t="shared" si="4"/>
        <v>62.857152599999999</v>
      </c>
      <c r="M40" s="57">
        <f t="shared" si="0"/>
        <v>16.761907360000002</v>
      </c>
      <c r="N40" s="58">
        <f t="shared" si="1"/>
        <v>8.3809536800000011</v>
      </c>
      <c r="O40" s="58">
        <f t="shared" si="2"/>
        <v>8.3809536800000011</v>
      </c>
      <c r="P40" s="55">
        <f t="shared" si="3"/>
        <v>29.333337879999991</v>
      </c>
    </row>
    <row r="41" spans="1:16">
      <c r="A41" s="51">
        <v>39</v>
      </c>
      <c r="B41" s="52" t="s">
        <v>89</v>
      </c>
      <c r="C41" s="61" t="s">
        <v>26</v>
      </c>
      <c r="D41" s="17">
        <v>2894569</v>
      </c>
      <c r="E41" s="35">
        <v>6197504</v>
      </c>
      <c r="F41" s="60">
        <v>413.7</v>
      </c>
      <c r="G41" s="55">
        <f t="shared" si="5"/>
        <v>30.53106</v>
      </c>
      <c r="H41" s="60">
        <v>45.97</v>
      </c>
      <c r="I41" s="57">
        <f t="shared" si="6"/>
        <v>337.19893999999999</v>
      </c>
      <c r="J41" s="70" t="s">
        <v>19</v>
      </c>
      <c r="K41" s="60" t="s">
        <v>20</v>
      </c>
      <c r="L41" s="57">
        <f t="shared" si="4"/>
        <v>50.579840999999995</v>
      </c>
      <c r="M41" s="57">
        <f t="shared" si="0"/>
        <v>13.4879576</v>
      </c>
      <c r="N41" s="58">
        <f t="shared" si="1"/>
        <v>6.7439787999999998</v>
      </c>
      <c r="O41" s="58">
        <f t="shared" si="2"/>
        <v>6.7439787999999998</v>
      </c>
      <c r="P41" s="55">
        <f t="shared" si="3"/>
        <v>23.603925799999992</v>
      </c>
    </row>
    <row r="42" spans="1:16">
      <c r="A42" s="51">
        <v>40</v>
      </c>
      <c r="B42" s="52" t="s">
        <v>90</v>
      </c>
      <c r="C42" s="61" t="s">
        <v>22</v>
      </c>
      <c r="D42" s="17">
        <v>37555129</v>
      </c>
      <c r="E42" s="35">
        <v>6197637</v>
      </c>
      <c r="F42" s="60">
        <v>678.33</v>
      </c>
      <c r="G42" s="55">
        <f t="shared" si="5"/>
        <v>50.060754000000003</v>
      </c>
      <c r="H42" s="60">
        <v>169.54</v>
      </c>
      <c r="I42" s="57">
        <f t="shared" si="6"/>
        <v>458.7292460000001</v>
      </c>
      <c r="J42" s="70" t="s">
        <v>23</v>
      </c>
      <c r="K42" s="60" t="s">
        <v>27</v>
      </c>
      <c r="L42" s="57">
        <f t="shared" si="4"/>
        <v>68.809386900000007</v>
      </c>
      <c r="M42" s="57">
        <f t="shared" si="0"/>
        <v>18.349169840000005</v>
      </c>
      <c r="N42" s="58">
        <f t="shared" si="1"/>
        <v>9.1745849200000027</v>
      </c>
      <c r="O42" s="58">
        <f t="shared" si="2"/>
        <v>9.1745849200000027</v>
      </c>
      <c r="P42" s="55">
        <f t="shared" si="3"/>
        <v>32.111047220000003</v>
      </c>
    </row>
    <row r="43" spans="1:16">
      <c r="A43" s="51">
        <v>41</v>
      </c>
      <c r="B43" s="52" t="s">
        <v>91</v>
      </c>
      <c r="C43" s="61" t="s">
        <v>26</v>
      </c>
      <c r="D43" s="17">
        <v>100311111495952</v>
      </c>
      <c r="E43" s="35">
        <v>6196142</v>
      </c>
      <c r="F43" s="60">
        <v>508.5</v>
      </c>
      <c r="G43" s="55">
        <f t="shared" si="5"/>
        <v>37.527300000000004</v>
      </c>
      <c r="H43" s="60">
        <v>54.64</v>
      </c>
      <c r="I43" s="57">
        <f t="shared" si="6"/>
        <v>416.33269999999999</v>
      </c>
      <c r="J43" s="70" t="s">
        <v>23</v>
      </c>
      <c r="K43" s="60" t="s">
        <v>27</v>
      </c>
      <c r="L43" s="57">
        <f t="shared" si="4"/>
        <v>62.449904999999994</v>
      </c>
      <c r="M43" s="57">
        <f t="shared" si="0"/>
        <v>16.653307999999999</v>
      </c>
      <c r="N43" s="58">
        <f t="shared" si="1"/>
        <v>8.3266539999999996</v>
      </c>
      <c r="O43" s="58">
        <f t="shared" si="2"/>
        <v>8.3266539999999996</v>
      </c>
      <c r="P43" s="55">
        <f t="shared" si="3"/>
        <v>29.143288999999996</v>
      </c>
    </row>
    <row r="44" spans="1:16">
      <c r="A44" s="51">
        <v>42</v>
      </c>
      <c r="B44" s="52" t="s">
        <v>92</v>
      </c>
      <c r="C44" s="61" t="s">
        <v>93</v>
      </c>
      <c r="D44" s="17">
        <v>100311111496752</v>
      </c>
      <c r="E44" s="35" t="s">
        <v>94</v>
      </c>
      <c r="F44" s="60">
        <v>450.19</v>
      </c>
      <c r="G44" s="55">
        <f t="shared" si="5"/>
        <v>33.224022000000005</v>
      </c>
      <c r="H44" s="60">
        <v>150.19</v>
      </c>
      <c r="I44" s="57">
        <f t="shared" si="6"/>
        <v>266.77597800000001</v>
      </c>
      <c r="J44" s="70" t="s">
        <v>23</v>
      </c>
      <c r="K44" s="60" t="s">
        <v>20</v>
      </c>
      <c r="L44" s="57">
        <f t="shared" si="4"/>
        <v>40.016396700000001</v>
      </c>
      <c r="M44" s="57">
        <f t="shared" si="0"/>
        <v>10.671039120000001</v>
      </c>
      <c r="N44" s="58">
        <f t="shared" si="1"/>
        <v>5.3355195600000007</v>
      </c>
      <c r="O44" s="58">
        <f t="shared" si="2"/>
        <v>5.3355195600000007</v>
      </c>
      <c r="P44" s="55">
        <f t="shared" si="3"/>
        <v>18.674318459999995</v>
      </c>
    </row>
    <row r="45" spans="1:16">
      <c r="A45" s="51">
        <v>43</v>
      </c>
      <c r="B45" s="52" t="s">
        <v>95</v>
      </c>
      <c r="C45" s="61" t="s">
        <v>29</v>
      </c>
      <c r="D45" s="17">
        <v>100311111514554</v>
      </c>
      <c r="E45" s="35" t="s">
        <v>96</v>
      </c>
      <c r="F45" s="60">
        <v>649.91999999999996</v>
      </c>
      <c r="G45" s="55">
        <f t="shared" si="5"/>
        <v>47.964095999999998</v>
      </c>
      <c r="H45" s="60">
        <v>64.34</v>
      </c>
      <c r="I45" s="57">
        <f t="shared" si="6"/>
        <v>537.61590399999989</v>
      </c>
      <c r="J45" s="70" t="s">
        <v>23</v>
      </c>
      <c r="K45" s="60" t="s">
        <v>27</v>
      </c>
      <c r="L45" s="57">
        <f t="shared" si="4"/>
        <v>80.642385599999983</v>
      </c>
      <c r="M45" s="57">
        <f t="shared" si="0"/>
        <v>21.504636159999997</v>
      </c>
      <c r="N45" s="58">
        <f t="shared" si="1"/>
        <v>10.752318079999998</v>
      </c>
      <c r="O45" s="58">
        <f t="shared" si="2"/>
        <v>10.752318079999998</v>
      </c>
      <c r="P45" s="55">
        <f t="shared" si="3"/>
        <v>37.633113279999989</v>
      </c>
    </row>
    <row r="46" spans="1:16">
      <c r="A46" s="51">
        <v>44</v>
      </c>
      <c r="B46" s="52" t="s">
        <v>97</v>
      </c>
      <c r="C46" s="61" t="s">
        <v>26</v>
      </c>
      <c r="D46" s="37">
        <v>100311111505806</v>
      </c>
      <c r="E46" s="35">
        <v>6203442</v>
      </c>
      <c r="F46" s="60">
        <v>577.26</v>
      </c>
      <c r="G46" s="55">
        <f t="shared" si="5"/>
        <v>42.601787999999999</v>
      </c>
      <c r="H46" s="60">
        <v>62.03</v>
      </c>
      <c r="I46" s="57">
        <f t="shared" si="6"/>
        <v>472.62821200000008</v>
      </c>
      <c r="J46" s="70" t="s">
        <v>23</v>
      </c>
      <c r="K46" s="60" t="s">
        <v>42</v>
      </c>
      <c r="L46" s="57">
        <f t="shared" si="4"/>
        <v>70.894231800000014</v>
      </c>
      <c r="M46" s="57">
        <f t="shared" si="0"/>
        <v>18.905128480000002</v>
      </c>
      <c r="N46" s="58">
        <f t="shared" si="1"/>
        <v>9.452564240000001</v>
      </c>
      <c r="O46" s="58">
        <f t="shared" si="2"/>
        <v>9.452564240000001</v>
      </c>
      <c r="P46" s="55">
        <f t="shared" si="3"/>
        <v>33.08397484000001</v>
      </c>
    </row>
    <row r="47" spans="1:16">
      <c r="A47" s="51">
        <v>45</v>
      </c>
      <c r="B47" s="52" t="s">
        <v>98</v>
      </c>
      <c r="C47" s="61" t="s">
        <v>22</v>
      </c>
      <c r="D47" s="17">
        <v>10031111505091</v>
      </c>
      <c r="E47" s="35">
        <v>6172848</v>
      </c>
      <c r="F47" s="60">
        <v>784.82</v>
      </c>
      <c r="G47" s="55">
        <f t="shared" si="5"/>
        <v>57.919716000000008</v>
      </c>
      <c r="H47" s="60">
        <v>207.31</v>
      </c>
      <c r="I47" s="57">
        <f t="shared" si="6"/>
        <v>519.59028400000011</v>
      </c>
      <c r="J47" s="70" t="s">
        <v>23</v>
      </c>
      <c r="K47" s="60" t="s">
        <v>99</v>
      </c>
      <c r="L47" s="57">
        <f t="shared" si="4"/>
        <v>77.938542600000019</v>
      </c>
      <c r="M47" s="57">
        <f t="shared" si="0"/>
        <v>20.783611360000005</v>
      </c>
      <c r="N47" s="58">
        <f t="shared" si="1"/>
        <v>10.391805680000003</v>
      </c>
      <c r="O47" s="58">
        <f t="shared" si="2"/>
        <v>10.391805680000003</v>
      </c>
      <c r="P47" s="55">
        <f t="shared" si="3"/>
        <v>36.371319880000001</v>
      </c>
    </row>
    <row r="48" spans="1:16">
      <c r="A48" s="51">
        <v>46</v>
      </c>
      <c r="B48" s="52" t="s">
        <v>100</v>
      </c>
      <c r="C48" s="61" t="s">
        <v>26</v>
      </c>
      <c r="D48" s="17">
        <v>100311111502868</v>
      </c>
      <c r="E48" s="35">
        <v>6171862</v>
      </c>
      <c r="F48" s="60">
        <v>477.15</v>
      </c>
      <c r="G48" s="55">
        <f t="shared" si="5"/>
        <v>35.21367</v>
      </c>
      <c r="H48" s="60">
        <v>126.04</v>
      </c>
      <c r="I48" s="57">
        <f t="shared" si="6"/>
        <v>315.89632999999998</v>
      </c>
      <c r="J48" s="70" t="s">
        <v>23</v>
      </c>
      <c r="K48" s="60" t="s">
        <v>24</v>
      </c>
      <c r="L48" s="57">
        <f t="shared" si="4"/>
        <v>47.384449499999995</v>
      </c>
      <c r="M48" s="57">
        <f t="shared" si="0"/>
        <v>12.6358532</v>
      </c>
      <c r="N48" s="58">
        <f t="shared" si="1"/>
        <v>6.3179265999999998</v>
      </c>
      <c r="O48" s="58">
        <f t="shared" si="2"/>
        <v>6.3179265999999998</v>
      </c>
      <c r="P48" s="55">
        <f t="shared" si="3"/>
        <v>22.112743099999996</v>
      </c>
    </row>
    <row r="49" spans="1:16">
      <c r="A49" s="51">
        <v>47</v>
      </c>
      <c r="B49" s="52" t="s">
        <v>101</v>
      </c>
      <c r="C49" s="61" t="s">
        <v>59</v>
      </c>
      <c r="D49" s="17">
        <v>100311111502711</v>
      </c>
      <c r="E49" s="35">
        <v>6172001</v>
      </c>
      <c r="F49" s="60">
        <v>501.44</v>
      </c>
      <c r="G49" s="55">
        <f t="shared" si="5"/>
        <v>37.006272000000003</v>
      </c>
      <c r="H49" s="60">
        <v>132.46</v>
      </c>
      <c r="I49" s="57">
        <f t="shared" si="6"/>
        <v>331.97372799999994</v>
      </c>
      <c r="J49" s="70" t="s">
        <v>23</v>
      </c>
      <c r="K49" s="60" t="s">
        <v>20</v>
      </c>
      <c r="L49" s="57">
        <f t="shared" si="4"/>
        <v>49.796059199999988</v>
      </c>
      <c r="M49" s="57">
        <f t="shared" si="0"/>
        <v>13.278949119999998</v>
      </c>
      <c r="N49" s="58">
        <f t="shared" si="1"/>
        <v>6.6394745599999991</v>
      </c>
      <c r="O49" s="58">
        <f t="shared" si="2"/>
        <v>6.6394745599999991</v>
      </c>
      <c r="P49" s="55">
        <f t="shared" si="3"/>
        <v>23.238160959999988</v>
      </c>
    </row>
    <row r="50" spans="1:16">
      <c r="A50" s="51">
        <v>48</v>
      </c>
      <c r="B50" s="52" t="s">
        <v>102</v>
      </c>
      <c r="C50" s="61" t="s">
        <v>26</v>
      </c>
      <c r="D50" s="17">
        <v>100311111503193</v>
      </c>
      <c r="E50" s="35" t="s">
        <v>103</v>
      </c>
      <c r="F50" s="60">
        <v>452.03</v>
      </c>
      <c r="G50" s="55">
        <f t="shared" si="5"/>
        <v>33.359814</v>
      </c>
      <c r="H50" s="60">
        <v>48.57</v>
      </c>
      <c r="I50" s="57">
        <f t="shared" si="6"/>
        <v>370.10018599999995</v>
      </c>
      <c r="J50" s="70" t="s">
        <v>23</v>
      </c>
      <c r="K50" s="60" t="s">
        <v>20</v>
      </c>
      <c r="L50" s="57">
        <f t="shared" si="4"/>
        <v>55.515027899999993</v>
      </c>
      <c r="M50" s="57">
        <f t="shared" si="0"/>
        <v>14.804007439999998</v>
      </c>
      <c r="N50" s="58">
        <f t="shared" si="1"/>
        <v>7.4020037199999988</v>
      </c>
      <c r="O50" s="58">
        <f t="shared" si="2"/>
        <v>7.4020037199999988</v>
      </c>
      <c r="P50" s="55">
        <f t="shared" si="3"/>
        <v>25.907013019999997</v>
      </c>
    </row>
    <row r="51" spans="1:16">
      <c r="A51" s="51">
        <v>49</v>
      </c>
      <c r="B51" s="52" t="s">
        <v>104</v>
      </c>
      <c r="C51" s="61" t="s">
        <v>93</v>
      </c>
      <c r="D51" s="17" t="s">
        <v>105</v>
      </c>
      <c r="E51" s="35">
        <v>6209862</v>
      </c>
      <c r="F51" s="60">
        <v>1070.93</v>
      </c>
      <c r="G51" s="55">
        <f t="shared" si="5"/>
        <v>79.034634000000011</v>
      </c>
      <c r="H51" s="60">
        <v>89.2</v>
      </c>
      <c r="I51" s="57">
        <f t="shared" si="6"/>
        <v>902.69536600000004</v>
      </c>
      <c r="J51" s="70" t="s">
        <v>19</v>
      </c>
      <c r="K51" s="60" t="s">
        <v>27</v>
      </c>
      <c r="L51" s="57">
        <f t="shared" si="4"/>
        <v>135.4043049</v>
      </c>
      <c r="M51" s="57">
        <f t="shared" si="0"/>
        <v>36.107814640000001</v>
      </c>
      <c r="N51" s="58">
        <f t="shared" si="1"/>
        <v>18.05390732</v>
      </c>
      <c r="O51" s="58">
        <f t="shared" si="2"/>
        <v>18.05390732</v>
      </c>
      <c r="P51" s="55">
        <f t="shared" si="3"/>
        <v>63.188675620000005</v>
      </c>
    </row>
    <row r="52" spans="1:16">
      <c r="A52" s="51">
        <v>50</v>
      </c>
      <c r="B52" s="52" t="s">
        <v>106</v>
      </c>
      <c r="C52" s="61" t="s">
        <v>93</v>
      </c>
      <c r="D52" s="37"/>
      <c r="E52" s="35">
        <v>6207104</v>
      </c>
      <c r="F52" s="60">
        <v>498.92</v>
      </c>
      <c r="G52" s="55">
        <f t="shared" si="5"/>
        <v>36.820296000000006</v>
      </c>
      <c r="H52" s="60">
        <v>61.54</v>
      </c>
      <c r="I52" s="57">
        <f t="shared" si="6"/>
        <v>400.55970400000001</v>
      </c>
      <c r="J52" s="70" t="s">
        <v>23</v>
      </c>
      <c r="K52" s="60" t="s">
        <v>24</v>
      </c>
      <c r="L52" s="57">
        <f t="shared" si="4"/>
        <v>60.083955599999996</v>
      </c>
      <c r="M52" s="57">
        <f t="shared" si="0"/>
        <v>16.022388160000002</v>
      </c>
      <c r="N52" s="58">
        <f t="shared" si="1"/>
        <v>8.011194080000001</v>
      </c>
      <c r="O52" s="58">
        <f t="shared" si="2"/>
        <v>8.011194080000001</v>
      </c>
      <c r="P52" s="55">
        <f t="shared" si="3"/>
        <v>28.039179279999985</v>
      </c>
    </row>
    <row r="53" spans="1:16">
      <c r="A53" s="51">
        <v>51</v>
      </c>
      <c r="B53" s="52" t="s">
        <v>107</v>
      </c>
      <c r="C53" s="61" t="s">
        <v>108</v>
      </c>
      <c r="D53" s="17">
        <v>100311111515882</v>
      </c>
      <c r="E53" s="35">
        <v>6206998</v>
      </c>
      <c r="F53" s="60">
        <v>684.88</v>
      </c>
      <c r="G53" s="55">
        <f t="shared" si="5"/>
        <v>50.544144000000003</v>
      </c>
      <c r="H53" s="60">
        <v>180.91</v>
      </c>
      <c r="I53" s="57">
        <f t="shared" si="6"/>
        <v>453.42585600000007</v>
      </c>
      <c r="J53" s="70" t="s">
        <v>23</v>
      </c>
      <c r="K53" s="60" t="s">
        <v>42</v>
      </c>
      <c r="L53" s="57">
        <f t="shared" si="4"/>
        <v>68.01387840000001</v>
      </c>
      <c r="M53" s="57">
        <f t="shared" si="0"/>
        <v>18.137034240000002</v>
      </c>
      <c r="N53" s="58">
        <f t="shared" si="1"/>
        <v>9.068517120000001</v>
      </c>
      <c r="O53" s="58">
        <f t="shared" si="2"/>
        <v>9.068517120000001</v>
      </c>
      <c r="P53" s="55">
        <f t="shared" si="3"/>
        <v>31.739809919999999</v>
      </c>
    </row>
    <row r="54" spans="1:16">
      <c r="A54" s="51">
        <v>52</v>
      </c>
      <c r="B54" s="52" t="s">
        <v>109</v>
      </c>
      <c r="C54" s="61" t="s">
        <v>29</v>
      </c>
      <c r="D54" s="17">
        <v>100311111515600</v>
      </c>
      <c r="E54" s="35">
        <v>6209282</v>
      </c>
      <c r="F54" s="60">
        <v>894.16</v>
      </c>
      <c r="G54" s="55">
        <f t="shared" si="5"/>
        <v>65.989007999999998</v>
      </c>
      <c r="H54" s="60">
        <v>96.08</v>
      </c>
      <c r="I54" s="57">
        <f t="shared" si="6"/>
        <v>732.09099199999991</v>
      </c>
      <c r="J54" s="70" t="s">
        <v>23</v>
      </c>
      <c r="K54" s="60" t="s">
        <v>78</v>
      </c>
      <c r="L54" s="57">
        <f t="shared" si="4"/>
        <v>109.81364879999998</v>
      </c>
      <c r="M54" s="57">
        <f t="shared" si="0"/>
        <v>29.283639679999997</v>
      </c>
      <c r="N54" s="58">
        <f t="shared" si="1"/>
        <v>14.641819839999998</v>
      </c>
      <c r="O54" s="58">
        <f t="shared" si="2"/>
        <v>14.641819839999998</v>
      </c>
      <c r="P54" s="55">
        <f t="shared" si="3"/>
        <v>51.246369439999995</v>
      </c>
    </row>
    <row r="55" spans="1:16">
      <c r="A55" s="51">
        <v>53</v>
      </c>
      <c r="B55" s="52" t="s">
        <v>110</v>
      </c>
      <c r="C55" s="61" t="s">
        <v>59</v>
      </c>
      <c r="D55" s="38">
        <v>100311111513768</v>
      </c>
      <c r="E55" s="35">
        <v>6208124</v>
      </c>
      <c r="F55" s="60">
        <v>575.72</v>
      </c>
      <c r="G55" s="55">
        <f t="shared" si="5"/>
        <v>42.488136000000004</v>
      </c>
      <c r="H55" s="60">
        <v>152.08000000000001</v>
      </c>
      <c r="I55" s="57">
        <f t="shared" si="6"/>
        <v>381.15186399999993</v>
      </c>
      <c r="J55" s="70" t="s">
        <v>23</v>
      </c>
      <c r="K55" s="60" t="s">
        <v>37</v>
      </c>
      <c r="L55" s="57">
        <f t="shared" si="4"/>
        <v>57.172779599999991</v>
      </c>
      <c r="M55" s="57">
        <f t="shared" si="0"/>
        <v>15.246074559999997</v>
      </c>
      <c r="N55" s="58">
        <f t="shared" si="1"/>
        <v>7.6230372799999984</v>
      </c>
      <c r="O55" s="58">
        <f t="shared" si="2"/>
        <v>7.6230372799999984</v>
      </c>
      <c r="P55" s="55">
        <f t="shared" si="3"/>
        <v>26.680630479999998</v>
      </c>
    </row>
    <row r="56" spans="1:16">
      <c r="A56" s="51">
        <v>54</v>
      </c>
      <c r="B56" s="52" t="s">
        <v>111</v>
      </c>
      <c r="C56" s="61" t="s">
        <v>29</v>
      </c>
      <c r="D56" s="17">
        <v>2916120</v>
      </c>
      <c r="E56" s="35">
        <v>6210695</v>
      </c>
      <c r="F56" s="60">
        <v>576.80999999999995</v>
      </c>
      <c r="G56" s="55">
        <f t="shared" si="5"/>
        <v>42.568577999999995</v>
      </c>
      <c r="H56" s="60">
        <v>0</v>
      </c>
      <c r="I56" s="57">
        <f t="shared" si="6"/>
        <v>534.24142199999994</v>
      </c>
      <c r="J56" s="70" t="s">
        <v>23</v>
      </c>
      <c r="K56" s="60" t="s">
        <v>27</v>
      </c>
      <c r="L56" s="57">
        <f t="shared" si="4"/>
        <v>80.136213299999994</v>
      </c>
      <c r="M56" s="57">
        <f t="shared" si="0"/>
        <v>21.369656879999997</v>
      </c>
      <c r="N56" s="58">
        <f t="shared" si="1"/>
        <v>10.684828439999999</v>
      </c>
      <c r="O56" s="58">
        <f t="shared" si="2"/>
        <v>10.684828439999999</v>
      </c>
      <c r="P56" s="55">
        <f t="shared" si="3"/>
        <v>37.396899540000007</v>
      </c>
    </row>
    <row r="57" spans="1:16">
      <c r="A57" s="51">
        <v>55</v>
      </c>
      <c r="B57" s="52" t="s">
        <v>112</v>
      </c>
      <c r="C57" s="61" t="s">
        <v>93</v>
      </c>
      <c r="D57" s="17">
        <v>100311111518674</v>
      </c>
      <c r="E57" s="35">
        <v>6211230</v>
      </c>
      <c r="F57" s="60">
        <v>619.01</v>
      </c>
      <c r="G57" s="55">
        <f t="shared" si="5"/>
        <v>45.682938</v>
      </c>
      <c r="H57" s="60">
        <v>66.510000000000005</v>
      </c>
      <c r="I57" s="57">
        <f t="shared" si="6"/>
        <v>506.81706199999996</v>
      </c>
      <c r="J57" s="70" t="s">
        <v>23</v>
      </c>
      <c r="K57" s="60" t="s">
        <v>27</v>
      </c>
      <c r="L57" s="57">
        <f t="shared" si="4"/>
        <v>76.022559299999998</v>
      </c>
      <c r="M57" s="57">
        <f t="shared" si="0"/>
        <v>20.27268248</v>
      </c>
      <c r="N57" s="58">
        <f t="shared" si="1"/>
        <v>10.13634124</v>
      </c>
      <c r="O57" s="58">
        <f t="shared" si="2"/>
        <v>10.13634124</v>
      </c>
      <c r="P57" s="55">
        <f t="shared" si="3"/>
        <v>35.477194339999997</v>
      </c>
    </row>
    <row r="58" spans="1:16">
      <c r="A58" s="51">
        <v>56</v>
      </c>
      <c r="B58" s="52" t="s">
        <v>113</v>
      </c>
      <c r="C58" s="61" t="s">
        <v>93</v>
      </c>
      <c r="D58" s="17">
        <v>100311111518664</v>
      </c>
      <c r="E58" s="35">
        <v>6211142</v>
      </c>
      <c r="F58" s="60">
        <v>685.8</v>
      </c>
      <c r="G58" s="55">
        <f t="shared" si="5"/>
        <v>50.61204</v>
      </c>
      <c r="H58" s="60">
        <v>181.16</v>
      </c>
      <c r="I58" s="57">
        <f t="shared" si="6"/>
        <v>454.02796000000001</v>
      </c>
      <c r="J58" s="70" t="s">
        <v>23</v>
      </c>
      <c r="K58" s="60" t="s">
        <v>27</v>
      </c>
      <c r="L58" s="57">
        <f t="shared" si="4"/>
        <v>68.104193999999993</v>
      </c>
      <c r="M58" s="57">
        <f t="shared" si="0"/>
        <v>18.161118399999999</v>
      </c>
      <c r="N58" s="58">
        <f t="shared" si="1"/>
        <v>9.0805591999999997</v>
      </c>
      <c r="O58" s="58">
        <f t="shared" si="2"/>
        <v>9.0805591999999997</v>
      </c>
      <c r="P58" s="55">
        <f t="shared" si="3"/>
        <v>31.78195719999999</v>
      </c>
    </row>
    <row r="59" spans="1:16">
      <c r="A59" s="51">
        <v>57</v>
      </c>
      <c r="B59" s="52" t="s">
        <v>114</v>
      </c>
      <c r="C59" s="61" t="s">
        <v>108</v>
      </c>
      <c r="D59" s="39">
        <v>100311111523010</v>
      </c>
      <c r="E59" s="35">
        <v>6215162</v>
      </c>
      <c r="F59" s="60">
        <v>681.1</v>
      </c>
      <c r="G59" s="55">
        <f t="shared" si="5"/>
        <v>50.265180000000008</v>
      </c>
      <c r="H59" s="60">
        <v>73.19</v>
      </c>
      <c r="I59" s="57">
        <f t="shared" si="6"/>
        <v>557.64481999999998</v>
      </c>
      <c r="J59" s="70" t="s">
        <v>23</v>
      </c>
      <c r="K59" s="60" t="s">
        <v>27</v>
      </c>
      <c r="L59" s="57">
        <f t="shared" si="4"/>
        <v>83.646722999999994</v>
      </c>
      <c r="M59" s="57">
        <f t="shared" si="0"/>
        <v>22.305792799999999</v>
      </c>
      <c r="N59" s="58">
        <f t="shared" si="1"/>
        <v>11.152896399999999</v>
      </c>
      <c r="O59" s="58">
        <f t="shared" si="2"/>
        <v>11.152896399999999</v>
      </c>
      <c r="P59" s="55">
        <f t="shared" si="3"/>
        <v>39.035137399999996</v>
      </c>
    </row>
    <row r="60" spans="1:16">
      <c r="A60" s="51">
        <v>58</v>
      </c>
      <c r="B60" s="52" t="s">
        <v>115</v>
      </c>
      <c r="C60" s="61" t="s">
        <v>18</v>
      </c>
      <c r="D60" s="40">
        <v>100311111520172</v>
      </c>
      <c r="E60" s="35">
        <v>6210698</v>
      </c>
      <c r="F60" s="60">
        <v>697.65</v>
      </c>
      <c r="G60" s="55">
        <f t="shared" si="5"/>
        <v>51.48657</v>
      </c>
      <c r="H60" s="60">
        <v>74.959999999999994</v>
      </c>
      <c r="I60" s="57">
        <f t="shared" si="6"/>
        <v>571.20342999999991</v>
      </c>
      <c r="J60" s="70" t="s">
        <v>23</v>
      </c>
      <c r="K60" s="60" t="s">
        <v>40</v>
      </c>
      <c r="L60" s="57">
        <f t="shared" si="4"/>
        <v>85.680514499999987</v>
      </c>
      <c r="M60" s="57">
        <f t="shared" si="0"/>
        <v>22.848137199999996</v>
      </c>
      <c r="N60" s="58">
        <f t="shared" si="1"/>
        <v>11.424068599999998</v>
      </c>
      <c r="O60" s="58">
        <f t="shared" si="2"/>
        <v>11.424068599999998</v>
      </c>
      <c r="P60" s="55">
        <f t="shared" si="3"/>
        <v>39.984240099999994</v>
      </c>
    </row>
    <row r="61" spans="1:16">
      <c r="A61" s="51">
        <v>59</v>
      </c>
      <c r="B61" s="52" t="s">
        <v>116</v>
      </c>
      <c r="C61" s="61" t="s">
        <v>93</v>
      </c>
      <c r="D61" s="17">
        <v>100311111520642</v>
      </c>
      <c r="E61" s="35">
        <v>6213860</v>
      </c>
      <c r="F61" s="60">
        <v>542.22</v>
      </c>
      <c r="G61" s="55">
        <f t="shared" si="5"/>
        <v>40.015836000000007</v>
      </c>
      <c r="H61" s="60">
        <v>58.26</v>
      </c>
      <c r="I61" s="57">
        <f t="shared" si="6"/>
        <v>443.944164</v>
      </c>
      <c r="J61" s="70" t="s">
        <v>23</v>
      </c>
      <c r="K61" s="60" t="s">
        <v>117</v>
      </c>
      <c r="L61" s="57">
        <f t="shared" si="4"/>
        <v>66.591624600000003</v>
      </c>
      <c r="M61" s="57">
        <f t="shared" si="0"/>
        <v>17.75776656</v>
      </c>
      <c r="N61" s="58">
        <f t="shared" si="1"/>
        <v>8.8788832800000002</v>
      </c>
      <c r="O61" s="58">
        <f t="shared" si="2"/>
        <v>8.8788832800000002</v>
      </c>
      <c r="P61" s="55">
        <f t="shared" si="3"/>
        <v>31.076091479999999</v>
      </c>
    </row>
    <row r="62" spans="1:16">
      <c r="A62" s="51">
        <v>60</v>
      </c>
      <c r="B62" s="52" t="s">
        <v>118</v>
      </c>
      <c r="C62" s="61" t="s">
        <v>29</v>
      </c>
      <c r="D62" s="17">
        <v>3758987</v>
      </c>
      <c r="E62" s="35">
        <v>6197310</v>
      </c>
      <c r="F62" s="60">
        <v>984.04</v>
      </c>
      <c r="G62" s="55">
        <f t="shared" si="5"/>
        <v>72.622152</v>
      </c>
      <c r="H62" s="60">
        <v>81.391999999999996</v>
      </c>
      <c r="I62" s="57">
        <f t="shared" si="6"/>
        <v>830.025848</v>
      </c>
      <c r="J62" s="70" t="s">
        <v>19</v>
      </c>
      <c r="K62" s="60" t="s">
        <v>20</v>
      </c>
      <c r="L62" s="57">
        <f t="shared" si="4"/>
        <v>124.50387719999999</v>
      </c>
      <c r="M62" s="57">
        <f t="shared" si="0"/>
        <v>33.20103392</v>
      </c>
      <c r="N62" s="58">
        <f t="shared" si="1"/>
        <v>16.60051696</v>
      </c>
      <c r="O62" s="58">
        <f t="shared" si="2"/>
        <v>16.60051696</v>
      </c>
      <c r="P62" s="55">
        <f t="shared" si="3"/>
        <v>58.101809359999997</v>
      </c>
    </row>
    <row r="63" spans="1:16">
      <c r="A63" s="51">
        <v>61</v>
      </c>
      <c r="B63" s="52" t="s">
        <v>119</v>
      </c>
      <c r="C63" s="61" t="s">
        <v>29</v>
      </c>
      <c r="D63" s="17">
        <v>37592849</v>
      </c>
      <c r="E63" s="35">
        <v>6217691</v>
      </c>
      <c r="F63" s="60">
        <v>571.47</v>
      </c>
      <c r="G63" s="55">
        <f t="shared" si="5"/>
        <v>42.174486000000002</v>
      </c>
      <c r="H63" s="60">
        <v>74.59</v>
      </c>
      <c r="I63" s="57">
        <f t="shared" si="6"/>
        <v>454.70551399999999</v>
      </c>
      <c r="J63" s="70" t="s">
        <v>23</v>
      </c>
      <c r="K63" s="60" t="s">
        <v>120</v>
      </c>
      <c r="L63" s="57">
        <f t="shared" si="4"/>
        <v>68.205827099999993</v>
      </c>
      <c r="M63" s="57">
        <f t="shared" si="0"/>
        <v>18.188220560000001</v>
      </c>
      <c r="N63" s="58">
        <f t="shared" si="1"/>
        <v>9.0941102800000007</v>
      </c>
      <c r="O63" s="58">
        <f t="shared" si="2"/>
        <v>9.0941102800000007</v>
      </c>
      <c r="P63" s="55">
        <f t="shared" si="3"/>
        <v>31.829385979999984</v>
      </c>
    </row>
    <row r="64" spans="1:16">
      <c r="A64" s="51">
        <v>62</v>
      </c>
      <c r="B64" s="52" t="s">
        <v>121</v>
      </c>
      <c r="C64" s="61" t="s">
        <v>80</v>
      </c>
      <c r="D64" s="17">
        <v>100311111529185</v>
      </c>
      <c r="E64" s="35">
        <v>6217734</v>
      </c>
      <c r="F64" s="60">
        <v>481.35</v>
      </c>
      <c r="G64" s="55">
        <f t="shared" si="5"/>
        <v>35.523630000000004</v>
      </c>
      <c r="H64" s="60">
        <v>59.37</v>
      </c>
      <c r="I64" s="57">
        <f t="shared" si="6"/>
        <v>386.45636999999999</v>
      </c>
      <c r="J64" s="70" t="s">
        <v>23</v>
      </c>
      <c r="K64" s="60" t="s">
        <v>122</v>
      </c>
      <c r="L64" s="57">
        <f t="shared" si="4"/>
        <v>57.968455499999997</v>
      </c>
      <c r="M64" s="57">
        <f t="shared" si="0"/>
        <v>15.458254800000001</v>
      </c>
      <c r="N64" s="58">
        <f t="shared" si="1"/>
        <v>7.7291274000000003</v>
      </c>
      <c r="O64" s="58">
        <f t="shared" si="2"/>
        <v>7.7291274000000003</v>
      </c>
      <c r="P64" s="55">
        <f t="shared" si="3"/>
        <v>27.051945899999996</v>
      </c>
    </row>
    <row r="65" spans="1:16">
      <c r="A65" s="51">
        <v>63</v>
      </c>
      <c r="B65" s="52" t="s">
        <v>123</v>
      </c>
      <c r="C65" s="61" t="s">
        <v>18</v>
      </c>
      <c r="D65" s="41">
        <v>37585169</v>
      </c>
      <c r="E65" s="35">
        <v>6216275</v>
      </c>
      <c r="F65" s="60">
        <v>662.4</v>
      </c>
      <c r="G65" s="55">
        <f t="shared" si="5"/>
        <v>48.885120000000001</v>
      </c>
      <c r="H65" s="60">
        <v>165.6</v>
      </c>
      <c r="I65" s="57">
        <f t="shared" si="6"/>
        <v>447.91487999999993</v>
      </c>
      <c r="J65" s="70" t="s">
        <v>19</v>
      </c>
      <c r="K65" s="60" t="s">
        <v>42</v>
      </c>
      <c r="L65" s="57">
        <f t="shared" si="4"/>
        <v>67.18723199999998</v>
      </c>
      <c r="M65" s="57">
        <f t="shared" si="0"/>
        <v>17.916595199999996</v>
      </c>
      <c r="N65" s="58">
        <f t="shared" si="1"/>
        <v>8.9582975999999981</v>
      </c>
      <c r="O65" s="58">
        <f t="shared" si="2"/>
        <v>8.9582975999999981</v>
      </c>
      <c r="P65" s="55">
        <f t="shared" si="3"/>
        <v>31.354041599999984</v>
      </c>
    </row>
    <row r="66" spans="1:16">
      <c r="A66" s="51">
        <v>64</v>
      </c>
      <c r="B66" s="52" t="s">
        <v>124</v>
      </c>
      <c r="C66" s="61" t="s">
        <v>22</v>
      </c>
      <c r="D66" s="36">
        <v>100311111535667</v>
      </c>
      <c r="E66" s="35">
        <v>6221740</v>
      </c>
      <c r="F66" s="60">
        <v>671.43</v>
      </c>
      <c r="G66" s="55">
        <f t="shared" si="5"/>
        <v>49.551533999999997</v>
      </c>
      <c r="H66" s="60">
        <v>223.81</v>
      </c>
      <c r="I66" s="57">
        <f t="shared" si="6"/>
        <v>398.068466</v>
      </c>
      <c r="J66" s="70" t="s">
        <v>23</v>
      </c>
      <c r="K66" s="60" t="s">
        <v>125</v>
      </c>
      <c r="L66" s="57">
        <f t="shared" si="4"/>
        <v>59.7102699</v>
      </c>
      <c r="M66" s="57">
        <f t="shared" si="0"/>
        <v>15.92273864</v>
      </c>
      <c r="N66" s="58">
        <f t="shared" si="1"/>
        <v>7.9613693200000002</v>
      </c>
      <c r="O66" s="58">
        <f t="shared" si="2"/>
        <v>7.9613693200000002</v>
      </c>
      <c r="P66" s="55">
        <f t="shared" si="3"/>
        <v>27.864792619999999</v>
      </c>
    </row>
    <row r="67" spans="1:16">
      <c r="A67" s="51">
        <v>65</v>
      </c>
      <c r="B67" s="52" t="s">
        <v>126</v>
      </c>
      <c r="C67" s="61" t="s">
        <v>26</v>
      </c>
      <c r="D67" s="17">
        <v>37594937</v>
      </c>
      <c r="E67" s="35">
        <v>6205286</v>
      </c>
      <c r="F67" s="60">
        <v>451.26</v>
      </c>
      <c r="G67" s="55">
        <f t="shared" si="5"/>
        <v>33.302987999999999</v>
      </c>
      <c r="H67" s="60">
        <v>58.89</v>
      </c>
      <c r="I67" s="57">
        <f t="shared" si="6"/>
        <v>359.06701199999998</v>
      </c>
      <c r="J67" s="70" t="s">
        <v>23</v>
      </c>
      <c r="K67" s="60" t="s">
        <v>20</v>
      </c>
      <c r="L67" s="57">
        <f t="shared" si="4"/>
        <v>53.860051799999994</v>
      </c>
      <c r="M67" s="57">
        <f t="shared" ref="M67:M105" si="7">I67*4%</f>
        <v>14.36268048</v>
      </c>
      <c r="N67" s="58">
        <f t="shared" ref="N67:N105" si="8">I67*2%</f>
        <v>7.1813402399999999</v>
      </c>
      <c r="O67" s="58">
        <f t="shared" ref="O67:O105" si="9">I67*2%</f>
        <v>7.1813402399999999</v>
      </c>
      <c r="P67" s="55">
        <f t="shared" ref="P67:P105" si="10">L67-M67-N67-O67</f>
        <v>25.134690839999994</v>
      </c>
    </row>
    <row r="68" spans="1:16">
      <c r="A68" s="51">
        <v>66</v>
      </c>
      <c r="B68" s="52" t="s">
        <v>127</v>
      </c>
      <c r="C68" s="61" t="s">
        <v>93</v>
      </c>
      <c r="D68" s="17">
        <v>100311111532865</v>
      </c>
      <c r="E68" s="35">
        <v>6217391</v>
      </c>
      <c r="F68" s="60">
        <v>566.86</v>
      </c>
      <c r="G68" s="55">
        <f t="shared" si="5"/>
        <v>41.834268000000002</v>
      </c>
      <c r="H68" s="60">
        <v>60.91</v>
      </c>
      <c r="I68" s="57">
        <f t="shared" si="6"/>
        <v>464.11573200000009</v>
      </c>
      <c r="J68" s="70" t="s">
        <v>23</v>
      </c>
      <c r="K68" s="60" t="s">
        <v>128</v>
      </c>
      <c r="L68" s="57">
        <f t="shared" ref="L68:L105" si="11">I68*15%</f>
        <v>69.617359800000017</v>
      </c>
      <c r="M68" s="57">
        <f t="shared" si="7"/>
        <v>18.564629280000005</v>
      </c>
      <c r="N68" s="82">
        <f t="shared" si="8"/>
        <v>9.2823146400000027</v>
      </c>
      <c r="O68" s="82">
        <f t="shared" si="9"/>
        <v>9.2823146400000027</v>
      </c>
      <c r="P68" s="83">
        <f t="shared" si="10"/>
        <v>32.488101240000006</v>
      </c>
    </row>
    <row r="69" spans="1:16">
      <c r="A69" s="51">
        <v>67</v>
      </c>
      <c r="B69" s="52" t="s">
        <v>129</v>
      </c>
      <c r="C69" s="61" t="s">
        <v>26</v>
      </c>
      <c r="D69" s="17">
        <v>100311111535522</v>
      </c>
      <c r="E69" s="35">
        <v>6220964</v>
      </c>
      <c r="F69" s="60">
        <v>536.01</v>
      </c>
      <c r="G69" s="83">
        <f t="shared" ref="G69:G105" si="12">F69*7.38%</f>
        <v>39.557538000000001</v>
      </c>
      <c r="H69" s="60">
        <v>57.6</v>
      </c>
      <c r="I69" s="84">
        <f t="shared" ref="I69:I105" si="13">F69-G69-H69</f>
        <v>438.85246199999995</v>
      </c>
      <c r="J69" s="70" t="s">
        <v>23</v>
      </c>
      <c r="K69" s="60" t="s">
        <v>20</v>
      </c>
      <c r="L69" s="57">
        <f t="shared" si="11"/>
        <v>65.827869299999989</v>
      </c>
      <c r="M69" s="57">
        <f t="shared" si="7"/>
        <v>17.554098479999997</v>
      </c>
      <c r="N69" s="82">
        <f t="shared" si="8"/>
        <v>8.7770492399999984</v>
      </c>
      <c r="O69" s="82">
        <f t="shared" si="9"/>
        <v>8.7770492399999984</v>
      </c>
      <c r="P69" s="83">
        <f t="shared" si="10"/>
        <v>30.719672340000002</v>
      </c>
    </row>
    <row r="70" spans="1:16">
      <c r="A70" s="51">
        <v>68</v>
      </c>
      <c r="B70" s="52" t="s">
        <v>130</v>
      </c>
      <c r="C70" s="61" t="s">
        <v>18</v>
      </c>
      <c r="D70" s="17">
        <v>2029863993</v>
      </c>
      <c r="E70" s="35">
        <v>6223244</v>
      </c>
      <c r="F70" s="60">
        <v>1021.9</v>
      </c>
      <c r="G70" s="55">
        <f t="shared" si="12"/>
        <v>75.41622000000001</v>
      </c>
      <c r="H70" s="60">
        <v>51.95</v>
      </c>
      <c r="I70" s="57">
        <f t="shared" si="13"/>
        <v>894.53377999999998</v>
      </c>
      <c r="J70" s="70" t="s">
        <v>23</v>
      </c>
      <c r="K70" s="60" t="s">
        <v>68</v>
      </c>
      <c r="L70" s="57">
        <f t="shared" si="11"/>
        <v>134.18006699999998</v>
      </c>
      <c r="M70" s="57">
        <f t="shared" si="7"/>
        <v>35.781351200000003</v>
      </c>
      <c r="N70" s="58">
        <f t="shared" si="8"/>
        <v>17.890675600000002</v>
      </c>
      <c r="O70" s="58">
        <f t="shared" si="9"/>
        <v>17.890675600000002</v>
      </c>
      <c r="P70" s="55">
        <f t="shared" si="10"/>
        <v>62.617364599999981</v>
      </c>
    </row>
    <row r="71" spans="1:16">
      <c r="A71" s="51">
        <v>69</v>
      </c>
      <c r="B71" s="52" t="s">
        <v>131</v>
      </c>
      <c r="C71" s="61" t="s">
        <v>29</v>
      </c>
      <c r="D71" s="17">
        <v>100311111546363</v>
      </c>
      <c r="E71" s="35">
        <v>6227300</v>
      </c>
      <c r="F71" s="60">
        <v>771.02</v>
      </c>
      <c r="G71" s="55">
        <f t="shared" si="12"/>
        <v>56.901276000000003</v>
      </c>
      <c r="H71" s="60">
        <v>82.85</v>
      </c>
      <c r="I71" s="57">
        <f t="shared" si="13"/>
        <v>631.26872399999991</v>
      </c>
      <c r="J71" s="70" t="s">
        <v>23</v>
      </c>
      <c r="K71" s="60" t="s">
        <v>37</v>
      </c>
      <c r="L71" s="57">
        <f t="shared" si="11"/>
        <v>94.69030859999998</v>
      </c>
      <c r="M71" s="57">
        <f t="shared" si="7"/>
        <v>25.250748959999996</v>
      </c>
      <c r="N71" s="58">
        <f t="shared" si="8"/>
        <v>12.625374479999998</v>
      </c>
      <c r="O71" s="58">
        <f t="shared" si="9"/>
        <v>12.625374479999998</v>
      </c>
      <c r="P71" s="55">
        <f t="shared" si="10"/>
        <v>44.188810679999989</v>
      </c>
    </row>
    <row r="72" spans="1:16">
      <c r="A72" s="51">
        <v>70</v>
      </c>
      <c r="B72" s="52" t="s">
        <v>132</v>
      </c>
      <c r="C72" s="61" t="s">
        <v>22</v>
      </c>
      <c r="D72" s="17">
        <v>100311111569626</v>
      </c>
      <c r="E72" s="35">
        <v>6214853</v>
      </c>
      <c r="F72" s="60">
        <v>652.83000000000004</v>
      </c>
      <c r="G72" s="55">
        <f t="shared" si="12"/>
        <v>48.178854000000008</v>
      </c>
      <c r="H72" s="60">
        <v>70.150000000000006</v>
      </c>
      <c r="I72" s="57">
        <f t="shared" si="13"/>
        <v>534.50114600000006</v>
      </c>
      <c r="J72" s="70" t="s">
        <v>23</v>
      </c>
      <c r="K72" s="60" t="s">
        <v>125</v>
      </c>
      <c r="L72" s="57">
        <f t="shared" si="11"/>
        <v>80.175171900000009</v>
      </c>
      <c r="M72" s="57">
        <f t="shared" si="7"/>
        <v>21.380045840000005</v>
      </c>
      <c r="N72" s="58">
        <f t="shared" si="8"/>
        <v>10.690022920000002</v>
      </c>
      <c r="O72" s="58">
        <f t="shared" si="9"/>
        <v>10.690022920000002</v>
      </c>
      <c r="P72" s="55">
        <f t="shared" si="10"/>
        <v>37.415080219999993</v>
      </c>
    </row>
    <row r="73" spans="1:16">
      <c r="A73" s="51">
        <v>71</v>
      </c>
      <c r="B73" s="52" t="s">
        <v>133</v>
      </c>
      <c r="C73" s="61" t="s">
        <v>26</v>
      </c>
      <c r="D73" s="17">
        <v>10031111544167</v>
      </c>
      <c r="E73" s="35">
        <v>6219305</v>
      </c>
      <c r="F73" s="60">
        <v>472.35</v>
      </c>
      <c r="G73" s="55">
        <f t="shared" si="12"/>
        <v>34.859430000000003</v>
      </c>
      <c r="H73" s="60">
        <v>50.76</v>
      </c>
      <c r="I73" s="57">
        <f t="shared" si="13"/>
        <v>386.73057000000006</v>
      </c>
      <c r="J73" s="70" t="s">
        <v>23</v>
      </c>
      <c r="K73" s="60" t="s">
        <v>48</v>
      </c>
      <c r="L73" s="57">
        <f t="shared" si="11"/>
        <v>58.009585500000007</v>
      </c>
      <c r="M73" s="57">
        <f t="shared" si="7"/>
        <v>15.469222800000002</v>
      </c>
      <c r="N73" s="58">
        <f t="shared" si="8"/>
        <v>7.7346114000000012</v>
      </c>
      <c r="O73" s="58">
        <f t="shared" si="9"/>
        <v>7.7346114000000012</v>
      </c>
      <c r="P73" s="55">
        <f t="shared" si="10"/>
        <v>27.071139900000002</v>
      </c>
    </row>
    <row r="74" spans="1:16">
      <c r="A74" s="51">
        <v>72</v>
      </c>
      <c r="B74" s="52" t="s">
        <v>134</v>
      </c>
      <c r="C74" s="61" t="s">
        <v>26</v>
      </c>
      <c r="D74" s="35">
        <v>37612852</v>
      </c>
      <c r="E74" s="35" t="s">
        <v>135</v>
      </c>
      <c r="F74" s="60">
        <v>331.5</v>
      </c>
      <c r="G74" s="55">
        <f t="shared" si="12"/>
        <v>24.464700000000001</v>
      </c>
      <c r="H74" s="60">
        <v>33.15</v>
      </c>
      <c r="I74" s="57">
        <f t="shared" si="13"/>
        <v>273.88530000000003</v>
      </c>
      <c r="J74" s="70" t="s">
        <v>19</v>
      </c>
      <c r="K74" s="60" t="s">
        <v>42</v>
      </c>
      <c r="L74" s="57">
        <f t="shared" si="11"/>
        <v>41.082795000000004</v>
      </c>
      <c r="M74" s="57">
        <f t="shared" si="7"/>
        <v>10.955412000000001</v>
      </c>
      <c r="N74" s="58">
        <f t="shared" si="8"/>
        <v>5.4777060000000004</v>
      </c>
      <c r="O74" s="58">
        <f t="shared" si="9"/>
        <v>5.4777060000000004</v>
      </c>
      <c r="P74" s="55">
        <f t="shared" si="10"/>
        <v>19.171970999999999</v>
      </c>
    </row>
    <row r="75" spans="1:16">
      <c r="A75" s="51">
        <v>73</v>
      </c>
      <c r="B75" s="52" t="s">
        <v>134</v>
      </c>
      <c r="C75" s="61" t="s">
        <v>26</v>
      </c>
      <c r="D75" s="17">
        <v>37618364</v>
      </c>
      <c r="E75" s="35" t="s">
        <v>136</v>
      </c>
      <c r="F75" s="60">
        <v>366.6</v>
      </c>
      <c r="G75" s="55">
        <f t="shared" si="12"/>
        <v>27.055080000000004</v>
      </c>
      <c r="H75" s="60">
        <v>36.659999999999997</v>
      </c>
      <c r="I75" s="57">
        <f t="shared" si="13"/>
        <v>302.88492000000008</v>
      </c>
      <c r="J75" s="70" t="s">
        <v>19</v>
      </c>
      <c r="K75" s="60" t="s">
        <v>42</v>
      </c>
      <c r="L75" s="57">
        <f t="shared" si="11"/>
        <v>45.432738000000008</v>
      </c>
      <c r="M75" s="57">
        <f t="shared" si="7"/>
        <v>12.115396800000003</v>
      </c>
      <c r="N75" s="58">
        <f t="shared" si="8"/>
        <v>6.0576984000000014</v>
      </c>
      <c r="O75" s="58">
        <f t="shared" si="9"/>
        <v>6.0576984000000014</v>
      </c>
      <c r="P75" s="55">
        <f t="shared" si="10"/>
        <v>21.201944400000002</v>
      </c>
    </row>
    <row r="76" spans="1:16">
      <c r="A76" s="51">
        <v>74</v>
      </c>
      <c r="B76" s="52" t="s">
        <v>137</v>
      </c>
      <c r="C76" s="61" t="s">
        <v>93</v>
      </c>
      <c r="D76" s="42">
        <v>1003121111549150</v>
      </c>
      <c r="E76" s="35" t="s">
        <v>138</v>
      </c>
      <c r="F76" s="60">
        <v>477.42</v>
      </c>
      <c r="G76" s="55">
        <f t="shared" si="12"/>
        <v>35.233596000000006</v>
      </c>
      <c r="H76" s="60">
        <v>58.88</v>
      </c>
      <c r="I76" s="57">
        <f t="shared" si="13"/>
        <v>383.30640400000004</v>
      </c>
      <c r="J76" s="70" t="s">
        <v>19</v>
      </c>
      <c r="K76" s="60" t="s">
        <v>139</v>
      </c>
      <c r="L76" s="57">
        <f t="shared" si="11"/>
        <v>57.495960600000004</v>
      </c>
      <c r="M76" s="57">
        <f t="shared" si="7"/>
        <v>15.332256160000002</v>
      </c>
      <c r="N76" s="58">
        <f t="shared" si="8"/>
        <v>7.6661280800000009</v>
      </c>
      <c r="O76" s="58">
        <f t="shared" si="9"/>
        <v>7.6661280800000009</v>
      </c>
      <c r="P76" s="55">
        <f t="shared" si="10"/>
        <v>26.831448280000004</v>
      </c>
    </row>
    <row r="77" spans="1:16">
      <c r="A77" s="51">
        <v>75</v>
      </c>
      <c r="B77" s="52" t="s">
        <v>140</v>
      </c>
      <c r="C77" s="61" t="s">
        <v>141</v>
      </c>
      <c r="D77" s="17">
        <v>100311111550980</v>
      </c>
      <c r="E77" s="35">
        <v>6232232</v>
      </c>
      <c r="F77" s="60">
        <v>1001.37</v>
      </c>
      <c r="G77" s="55">
        <f t="shared" si="12"/>
        <v>73.901105999999999</v>
      </c>
      <c r="H77" s="60">
        <v>333.79</v>
      </c>
      <c r="I77" s="57">
        <f t="shared" si="13"/>
        <v>593.6788939999999</v>
      </c>
      <c r="J77" s="70" t="s">
        <v>23</v>
      </c>
      <c r="K77" s="60" t="s">
        <v>27</v>
      </c>
      <c r="L77" s="57">
        <f t="shared" si="11"/>
        <v>89.051834099999979</v>
      </c>
      <c r="M77" s="57">
        <f t="shared" si="7"/>
        <v>23.747155759999995</v>
      </c>
      <c r="N77" s="58">
        <f t="shared" si="8"/>
        <v>11.873577879999997</v>
      </c>
      <c r="O77" s="58">
        <f t="shared" si="9"/>
        <v>11.873577879999997</v>
      </c>
      <c r="P77" s="55">
        <f t="shared" si="10"/>
        <v>41.557522579999983</v>
      </c>
    </row>
    <row r="78" spans="1:16">
      <c r="A78" s="51">
        <v>76</v>
      </c>
      <c r="B78" s="52" t="s">
        <v>142</v>
      </c>
      <c r="C78" s="61" t="s">
        <v>26</v>
      </c>
      <c r="D78" s="17">
        <v>100311111553266</v>
      </c>
      <c r="E78" s="35" t="s">
        <v>143</v>
      </c>
      <c r="F78" s="60">
        <v>469.81</v>
      </c>
      <c r="G78" s="55">
        <f t="shared" si="12"/>
        <v>34.671978000000003</v>
      </c>
      <c r="H78" s="60">
        <v>156.6</v>
      </c>
      <c r="I78" s="57">
        <f t="shared" si="13"/>
        <v>278.53802199999996</v>
      </c>
      <c r="J78" s="70" t="s">
        <v>23</v>
      </c>
      <c r="K78" s="60" t="s">
        <v>27</v>
      </c>
      <c r="L78" s="57">
        <f t="shared" si="11"/>
        <v>41.780703299999992</v>
      </c>
      <c r="M78" s="57">
        <f t="shared" si="7"/>
        <v>11.141520879999998</v>
      </c>
      <c r="N78" s="58">
        <f t="shared" si="8"/>
        <v>5.570760439999999</v>
      </c>
      <c r="O78" s="58">
        <f t="shared" si="9"/>
        <v>5.570760439999999</v>
      </c>
      <c r="P78" s="55">
        <f t="shared" si="10"/>
        <v>19.497661539999996</v>
      </c>
    </row>
    <row r="79" spans="1:16">
      <c r="A79" s="51">
        <v>77</v>
      </c>
      <c r="B79" s="52" t="s">
        <v>144</v>
      </c>
      <c r="C79" s="61" t="s">
        <v>22</v>
      </c>
      <c r="D79" s="17">
        <v>100311111559423</v>
      </c>
      <c r="E79" s="35" t="s">
        <v>145</v>
      </c>
      <c r="F79" s="60">
        <v>485.13</v>
      </c>
      <c r="G79" s="55">
        <f t="shared" si="12"/>
        <v>35.802593999999999</v>
      </c>
      <c r="H79" s="60">
        <v>161.71</v>
      </c>
      <c r="I79" s="57">
        <f t="shared" si="13"/>
        <v>287.61740599999996</v>
      </c>
      <c r="J79" s="70" t="s">
        <v>23</v>
      </c>
      <c r="K79" s="60" t="s">
        <v>27</v>
      </c>
      <c r="L79" s="57">
        <f t="shared" si="11"/>
        <v>43.142610899999994</v>
      </c>
      <c r="M79" s="57">
        <f t="shared" si="7"/>
        <v>11.504696239999999</v>
      </c>
      <c r="N79" s="58">
        <f t="shared" si="8"/>
        <v>5.7523481199999997</v>
      </c>
      <c r="O79" s="58">
        <f t="shared" si="9"/>
        <v>5.7523481199999997</v>
      </c>
      <c r="P79" s="55">
        <f t="shared" si="10"/>
        <v>20.133218419999992</v>
      </c>
    </row>
    <row r="80" spans="1:16">
      <c r="A80" s="51">
        <v>78</v>
      </c>
      <c r="B80" s="52" t="s">
        <v>146</v>
      </c>
      <c r="C80" s="61" t="s">
        <v>147</v>
      </c>
      <c r="D80" s="17">
        <v>37638371</v>
      </c>
      <c r="E80" s="35">
        <v>6232638</v>
      </c>
      <c r="F80" s="60">
        <v>680.92</v>
      </c>
      <c r="G80" s="55">
        <f t="shared" si="12"/>
        <v>50.251896000000002</v>
      </c>
      <c r="H80" s="60">
        <v>0</v>
      </c>
      <c r="I80" s="57">
        <f t="shared" si="13"/>
        <v>630.66810399999997</v>
      </c>
      <c r="J80" s="70" t="s">
        <v>23</v>
      </c>
      <c r="K80" s="60" t="s">
        <v>148</v>
      </c>
      <c r="L80" s="57">
        <f t="shared" si="11"/>
        <v>94.600215599999999</v>
      </c>
      <c r="M80" s="57">
        <f t="shared" si="7"/>
        <v>25.22672416</v>
      </c>
      <c r="N80" s="58">
        <f t="shared" si="8"/>
        <v>12.61336208</v>
      </c>
      <c r="O80" s="58">
        <f t="shared" si="9"/>
        <v>12.61336208</v>
      </c>
      <c r="P80" s="55">
        <f t="shared" si="10"/>
        <v>44.146767279999992</v>
      </c>
    </row>
    <row r="81" spans="1:16">
      <c r="A81" s="51">
        <v>79</v>
      </c>
      <c r="B81" s="52" t="s">
        <v>149</v>
      </c>
      <c r="C81" s="61" t="s">
        <v>26</v>
      </c>
      <c r="D81" s="17">
        <v>100311111570105</v>
      </c>
      <c r="E81" s="35">
        <v>6239007</v>
      </c>
      <c r="F81" s="60">
        <v>569.21</v>
      </c>
      <c r="G81" s="55">
        <f t="shared" si="12"/>
        <v>42.007698000000005</v>
      </c>
      <c r="H81" s="60">
        <v>61.16</v>
      </c>
      <c r="I81" s="57">
        <f t="shared" si="13"/>
        <v>466.04230200000006</v>
      </c>
      <c r="J81" s="70" t="s">
        <v>23</v>
      </c>
      <c r="K81" s="60" t="s">
        <v>20</v>
      </c>
      <c r="L81" s="57">
        <f t="shared" si="11"/>
        <v>69.906345300000012</v>
      </c>
      <c r="M81" s="57">
        <f t="shared" si="7"/>
        <v>18.641692080000002</v>
      </c>
      <c r="N81" s="58">
        <f t="shared" si="8"/>
        <v>9.3208460400000011</v>
      </c>
      <c r="O81" s="58">
        <f t="shared" si="9"/>
        <v>9.3208460400000011</v>
      </c>
      <c r="P81" s="55">
        <f t="shared" si="10"/>
        <v>32.622961140000015</v>
      </c>
    </row>
    <row r="82" spans="1:16">
      <c r="A82" s="51">
        <v>80</v>
      </c>
      <c r="B82" s="52" t="s">
        <v>150</v>
      </c>
      <c r="C82" s="61" t="s">
        <v>80</v>
      </c>
      <c r="D82" s="17">
        <v>67636004</v>
      </c>
      <c r="E82" s="35" t="s">
        <v>151</v>
      </c>
      <c r="F82" s="60">
        <v>521.67999999999995</v>
      </c>
      <c r="G82" s="55">
        <f t="shared" si="12"/>
        <v>38.499983999999998</v>
      </c>
      <c r="H82" s="60">
        <v>130.41999999999999</v>
      </c>
      <c r="I82" s="57">
        <f t="shared" si="13"/>
        <v>352.76001599999995</v>
      </c>
      <c r="J82" s="70" t="s">
        <v>19</v>
      </c>
      <c r="K82" s="60" t="s">
        <v>27</v>
      </c>
      <c r="L82" s="57">
        <f t="shared" si="11"/>
        <v>52.914002399999994</v>
      </c>
      <c r="M82" s="57">
        <f t="shared" si="7"/>
        <v>14.110400639999998</v>
      </c>
      <c r="N82" s="58">
        <f t="shared" si="8"/>
        <v>7.0552003199999991</v>
      </c>
      <c r="O82" s="58">
        <f t="shared" si="9"/>
        <v>7.0552003199999991</v>
      </c>
      <c r="P82" s="55">
        <f t="shared" si="10"/>
        <v>24.693201119999998</v>
      </c>
    </row>
    <row r="83" spans="1:16">
      <c r="A83" s="51">
        <v>81</v>
      </c>
      <c r="B83" s="52" t="s">
        <v>150</v>
      </c>
      <c r="C83" s="61" t="s">
        <v>26</v>
      </c>
      <c r="D83" s="17">
        <v>37638110</v>
      </c>
      <c r="E83" s="35" t="s">
        <v>152</v>
      </c>
      <c r="F83" s="60">
        <v>368.52</v>
      </c>
      <c r="G83" s="55">
        <f t="shared" si="12"/>
        <v>27.196776</v>
      </c>
      <c r="H83" s="60">
        <v>92.13</v>
      </c>
      <c r="I83" s="57">
        <f t="shared" si="13"/>
        <v>249.19322399999999</v>
      </c>
      <c r="J83" s="70" t="s">
        <v>19</v>
      </c>
      <c r="K83" s="60" t="s">
        <v>27</v>
      </c>
      <c r="L83" s="57">
        <f t="shared" si="11"/>
        <v>37.378983599999998</v>
      </c>
      <c r="M83" s="57">
        <f t="shared" si="7"/>
        <v>9.9677289600000005</v>
      </c>
      <c r="N83" s="58">
        <f t="shared" si="8"/>
        <v>4.9838644800000003</v>
      </c>
      <c r="O83" s="58">
        <f t="shared" si="9"/>
        <v>4.9838644800000003</v>
      </c>
      <c r="P83" s="55">
        <f t="shared" si="10"/>
        <v>17.443525679999993</v>
      </c>
    </row>
    <row r="84" spans="1:16">
      <c r="A84" s="51">
        <v>82</v>
      </c>
      <c r="B84" s="52" t="s">
        <v>153</v>
      </c>
      <c r="C84" s="61" t="s">
        <v>18</v>
      </c>
      <c r="D84" s="17">
        <v>37638749</v>
      </c>
      <c r="E84" s="35" t="s">
        <v>154</v>
      </c>
      <c r="F84" s="60">
        <v>431.81</v>
      </c>
      <c r="G84" s="55">
        <f t="shared" si="12"/>
        <v>31.867578000000002</v>
      </c>
      <c r="H84" s="60">
        <v>0</v>
      </c>
      <c r="I84" s="57">
        <f t="shared" si="13"/>
        <v>399.94242200000002</v>
      </c>
      <c r="J84" s="70" t="s">
        <v>23</v>
      </c>
      <c r="K84" s="60" t="s">
        <v>20</v>
      </c>
      <c r="L84" s="57">
        <f t="shared" si="11"/>
        <v>59.991363300000003</v>
      </c>
      <c r="M84" s="57">
        <f t="shared" si="7"/>
        <v>15.997696880000001</v>
      </c>
      <c r="N84" s="58">
        <f t="shared" si="8"/>
        <v>7.9988484400000006</v>
      </c>
      <c r="O84" s="58">
        <f t="shared" si="9"/>
        <v>7.9988484400000006</v>
      </c>
      <c r="P84" s="55">
        <f t="shared" si="10"/>
        <v>27.995969540000001</v>
      </c>
    </row>
    <row r="85" spans="1:16">
      <c r="A85" s="51">
        <v>83</v>
      </c>
      <c r="B85" s="52" t="s">
        <v>155</v>
      </c>
      <c r="C85" s="61" t="s">
        <v>156</v>
      </c>
      <c r="D85" s="17">
        <v>2921353</v>
      </c>
      <c r="E85" s="35" t="s">
        <v>157</v>
      </c>
      <c r="F85" s="60">
        <v>459.72</v>
      </c>
      <c r="G85" s="55">
        <f t="shared" si="12"/>
        <v>33.927336000000004</v>
      </c>
      <c r="H85" s="60">
        <v>45.97</v>
      </c>
      <c r="I85" s="57">
        <f t="shared" si="13"/>
        <v>379.82266400000003</v>
      </c>
      <c r="J85" s="70" t="s">
        <v>19</v>
      </c>
      <c r="K85" s="60" t="s">
        <v>20</v>
      </c>
      <c r="L85" s="57">
        <f t="shared" si="11"/>
        <v>56.9733996</v>
      </c>
      <c r="M85" s="57">
        <f t="shared" si="7"/>
        <v>15.192906560000001</v>
      </c>
      <c r="N85" s="58">
        <f t="shared" si="8"/>
        <v>7.5964532800000004</v>
      </c>
      <c r="O85" s="58">
        <f t="shared" si="9"/>
        <v>7.5964532800000004</v>
      </c>
      <c r="P85" s="55">
        <f t="shared" si="10"/>
        <v>26.587586479999999</v>
      </c>
    </row>
    <row r="86" spans="1:16">
      <c r="A86" s="51">
        <v>84</v>
      </c>
      <c r="B86" s="52" t="s">
        <v>158</v>
      </c>
      <c r="C86" s="61" t="s">
        <v>50</v>
      </c>
      <c r="D86" s="17">
        <v>100311111584872</v>
      </c>
      <c r="E86" s="35">
        <v>6244763</v>
      </c>
      <c r="F86" s="60">
        <v>571.78</v>
      </c>
      <c r="G86" s="55">
        <f t="shared" si="12"/>
        <v>42.197364</v>
      </c>
      <c r="H86" s="60">
        <v>61.44</v>
      </c>
      <c r="I86" s="57">
        <f t="shared" si="13"/>
        <v>468.14263599999998</v>
      </c>
      <c r="J86" s="70" t="s">
        <v>19</v>
      </c>
      <c r="K86" s="60" t="s">
        <v>159</v>
      </c>
      <c r="L86" s="57">
        <f t="shared" si="11"/>
        <v>70.221395399999992</v>
      </c>
      <c r="M86" s="57">
        <f t="shared" si="7"/>
        <v>18.725705439999999</v>
      </c>
      <c r="N86" s="58">
        <f t="shared" si="8"/>
        <v>9.3628527199999994</v>
      </c>
      <c r="O86" s="58">
        <f t="shared" si="9"/>
        <v>9.3628527199999994</v>
      </c>
      <c r="P86" s="55">
        <f t="shared" si="10"/>
        <v>32.769984519999994</v>
      </c>
    </row>
    <row r="87" spans="1:16">
      <c r="A87" s="51">
        <v>85</v>
      </c>
      <c r="B87" s="52" t="s">
        <v>160</v>
      </c>
      <c r="C87" s="61" t="s">
        <v>18</v>
      </c>
      <c r="D87" s="17">
        <v>37640393</v>
      </c>
      <c r="E87" s="35" t="s">
        <v>161</v>
      </c>
      <c r="F87" s="60">
        <v>532.84</v>
      </c>
      <c r="G87" s="55">
        <f t="shared" si="12"/>
        <v>39.323592000000005</v>
      </c>
      <c r="H87" s="60">
        <v>266.42</v>
      </c>
      <c r="I87" s="57">
        <f t="shared" si="13"/>
        <v>227.096408</v>
      </c>
      <c r="J87" s="70" t="s">
        <v>23</v>
      </c>
      <c r="K87" s="60" t="s">
        <v>27</v>
      </c>
      <c r="L87" s="57">
        <f t="shared" si="11"/>
        <v>34.064461199999997</v>
      </c>
      <c r="M87" s="57">
        <f t="shared" si="7"/>
        <v>9.0838563200000007</v>
      </c>
      <c r="N87" s="58">
        <f t="shared" si="8"/>
        <v>4.5419281600000003</v>
      </c>
      <c r="O87" s="58">
        <f t="shared" si="9"/>
        <v>4.5419281600000003</v>
      </c>
      <c r="P87" s="55">
        <f t="shared" si="10"/>
        <v>15.896748559999992</v>
      </c>
    </row>
    <row r="88" spans="1:16">
      <c r="A88" s="51">
        <v>86</v>
      </c>
      <c r="B88" s="52" t="s">
        <v>162</v>
      </c>
      <c r="C88" s="61" t="s">
        <v>93</v>
      </c>
      <c r="D88" s="17">
        <v>100311111576608</v>
      </c>
      <c r="E88" s="35">
        <v>6248191</v>
      </c>
      <c r="F88" s="60">
        <v>523.20000000000005</v>
      </c>
      <c r="G88" s="55">
        <f t="shared" si="12"/>
        <v>38.612160000000003</v>
      </c>
      <c r="H88" s="60">
        <v>174.4</v>
      </c>
      <c r="I88" s="57">
        <f t="shared" si="13"/>
        <v>310.18784000000005</v>
      </c>
      <c r="J88" s="70" t="s">
        <v>23</v>
      </c>
      <c r="K88" s="60" t="s">
        <v>20</v>
      </c>
      <c r="L88" s="57">
        <f t="shared" si="11"/>
        <v>46.528176000000009</v>
      </c>
      <c r="M88" s="57">
        <f t="shared" si="7"/>
        <v>12.407513600000001</v>
      </c>
      <c r="N88" s="58">
        <f t="shared" si="8"/>
        <v>6.2037568000000007</v>
      </c>
      <c r="O88" s="58">
        <f t="shared" si="9"/>
        <v>6.2037568000000007</v>
      </c>
      <c r="P88" s="55">
        <f t="shared" si="10"/>
        <v>21.713148800000006</v>
      </c>
    </row>
    <row r="89" spans="1:16">
      <c r="A89" s="51">
        <v>87</v>
      </c>
      <c r="B89" s="52" t="s">
        <v>163</v>
      </c>
      <c r="C89" s="61" t="s">
        <v>93</v>
      </c>
      <c r="D89" s="17">
        <v>1003111115766560</v>
      </c>
      <c r="E89" s="35">
        <v>6247876</v>
      </c>
      <c r="F89" s="60">
        <v>529.66</v>
      </c>
      <c r="G89" s="55">
        <f t="shared" si="12"/>
        <v>39.088908000000004</v>
      </c>
      <c r="H89" s="60">
        <v>176.56</v>
      </c>
      <c r="I89" s="57">
        <f t="shared" si="13"/>
        <v>314.01109199999996</v>
      </c>
      <c r="J89" s="70" t="s">
        <v>23</v>
      </c>
      <c r="K89" s="60" t="s">
        <v>20</v>
      </c>
      <c r="L89" s="57">
        <f t="shared" si="11"/>
        <v>47.10166379999999</v>
      </c>
      <c r="M89" s="57">
        <f t="shared" si="7"/>
        <v>12.560443679999999</v>
      </c>
      <c r="N89" s="58">
        <f t="shared" si="8"/>
        <v>6.2802218399999994</v>
      </c>
      <c r="O89" s="58">
        <f t="shared" si="9"/>
        <v>6.2802218399999994</v>
      </c>
      <c r="P89" s="55">
        <f t="shared" si="10"/>
        <v>21.980776439999993</v>
      </c>
    </row>
    <row r="90" spans="1:16">
      <c r="A90" s="51">
        <v>88</v>
      </c>
      <c r="B90" s="52" t="s">
        <v>164</v>
      </c>
      <c r="C90" s="61" t="s">
        <v>33</v>
      </c>
      <c r="D90" s="17">
        <v>100311111567372</v>
      </c>
      <c r="E90" s="35">
        <v>6235837</v>
      </c>
      <c r="F90" s="60">
        <v>701.57</v>
      </c>
      <c r="G90" s="55">
        <f t="shared" si="12"/>
        <v>51.775866000000008</v>
      </c>
      <c r="H90" s="60">
        <v>0</v>
      </c>
      <c r="I90" s="57">
        <f t="shared" si="13"/>
        <v>649.79413399999999</v>
      </c>
      <c r="J90" s="70" t="s">
        <v>23</v>
      </c>
      <c r="K90" s="60" t="s">
        <v>99</v>
      </c>
      <c r="L90" s="57">
        <f t="shared" si="11"/>
        <v>97.469120099999998</v>
      </c>
      <c r="M90" s="57">
        <f t="shared" si="7"/>
        <v>25.991765359999999</v>
      </c>
      <c r="N90" s="58">
        <f t="shared" si="8"/>
        <v>12.995882679999999</v>
      </c>
      <c r="O90" s="58">
        <f t="shared" si="9"/>
        <v>12.995882679999999</v>
      </c>
      <c r="P90" s="55">
        <f t="shared" si="10"/>
        <v>45.485589379999993</v>
      </c>
    </row>
    <row r="91" spans="1:16">
      <c r="A91" s="51">
        <v>89</v>
      </c>
      <c r="B91" s="52" t="s">
        <v>165</v>
      </c>
      <c r="C91" s="61" t="s">
        <v>26</v>
      </c>
      <c r="D91" s="17">
        <v>100311111567360</v>
      </c>
      <c r="E91" s="35">
        <v>6246634</v>
      </c>
      <c r="F91" s="60">
        <v>562.55999999999995</v>
      </c>
      <c r="G91" s="55">
        <f t="shared" si="12"/>
        <v>41.516928</v>
      </c>
      <c r="H91" s="60">
        <v>149.30000000000001</v>
      </c>
      <c r="I91" s="57">
        <f t="shared" si="13"/>
        <v>371.74307199999993</v>
      </c>
      <c r="J91" s="70" t="s">
        <v>23</v>
      </c>
      <c r="K91" s="60" t="s">
        <v>40</v>
      </c>
      <c r="L91" s="57">
        <f t="shared" si="11"/>
        <v>55.761460799999988</v>
      </c>
      <c r="M91" s="57">
        <f t="shared" si="7"/>
        <v>14.869722879999998</v>
      </c>
      <c r="N91" s="58">
        <f t="shared" si="8"/>
        <v>7.4348614399999988</v>
      </c>
      <c r="O91" s="58">
        <f t="shared" si="9"/>
        <v>7.4348614399999988</v>
      </c>
      <c r="P91" s="55">
        <f t="shared" si="10"/>
        <v>26.022015039999992</v>
      </c>
    </row>
    <row r="92" spans="1:16">
      <c r="A92" s="51">
        <v>90</v>
      </c>
      <c r="B92" s="52" t="s">
        <v>166</v>
      </c>
      <c r="C92" s="61" t="s">
        <v>29</v>
      </c>
      <c r="D92" s="17"/>
      <c r="E92" s="35">
        <v>6215180</v>
      </c>
      <c r="F92" s="60">
        <v>578.64</v>
      </c>
      <c r="G92" s="55">
        <f t="shared" si="12"/>
        <v>42.703631999999999</v>
      </c>
      <c r="H92" s="60">
        <v>48.22</v>
      </c>
      <c r="I92" s="57">
        <f t="shared" si="13"/>
        <v>487.71636799999999</v>
      </c>
      <c r="J92" s="70" t="s">
        <v>19</v>
      </c>
      <c r="K92" s="60" t="s">
        <v>20</v>
      </c>
      <c r="L92" s="57">
        <f t="shared" si="11"/>
        <v>73.157455200000001</v>
      </c>
      <c r="M92" s="57">
        <f t="shared" si="7"/>
        <v>19.508654719999999</v>
      </c>
      <c r="N92" s="58">
        <f t="shared" si="8"/>
        <v>9.7543273599999996</v>
      </c>
      <c r="O92" s="58">
        <f t="shared" si="9"/>
        <v>9.7543273599999996</v>
      </c>
      <c r="P92" s="55">
        <f t="shared" si="10"/>
        <v>34.14014576000001</v>
      </c>
    </row>
    <row r="93" spans="1:16">
      <c r="A93" s="51">
        <v>91</v>
      </c>
      <c r="B93" s="52" t="s">
        <v>167</v>
      </c>
      <c r="C93" s="61" t="s">
        <v>29</v>
      </c>
      <c r="D93" s="17">
        <v>21201423</v>
      </c>
      <c r="E93" s="35">
        <v>6250673</v>
      </c>
      <c r="F93" s="60">
        <v>590.74</v>
      </c>
      <c r="G93" s="55">
        <f t="shared" si="12"/>
        <v>43.596612</v>
      </c>
      <c r="H93" s="60">
        <v>164.1</v>
      </c>
      <c r="I93" s="57">
        <f t="shared" si="13"/>
        <v>383.04338799999994</v>
      </c>
      <c r="J93" s="70" t="s">
        <v>23</v>
      </c>
      <c r="K93" s="60" t="s">
        <v>27</v>
      </c>
      <c r="L93" s="57">
        <f t="shared" si="11"/>
        <v>57.456508199999988</v>
      </c>
      <c r="M93" s="57">
        <f t="shared" si="7"/>
        <v>15.321735519999997</v>
      </c>
      <c r="N93" s="58">
        <f t="shared" si="8"/>
        <v>7.6608677599999986</v>
      </c>
      <c r="O93" s="58">
        <f t="shared" si="9"/>
        <v>7.6608677599999986</v>
      </c>
      <c r="P93" s="55">
        <f t="shared" si="10"/>
        <v>26.813037159999997</v>
      </c>
    </row>
    <row r="94" spans="1:16">
      <c r="A94" s="51">
        <v>92</v>
      </c>
      <c r="B94" s="52" t="s">
        <v>168</v>
      </c>
      <c r="C94" s="61" t="s">
        <v>26</v>
      </c>
      <c r="D94" s="17">
        <v>100311111586467</v>
      </c>
      <c r="E94" s="35">
        <v>6235799</v>
      </c>
      <c r="F94" s="60">
        <v>599.03</v>
      </c>
      <c r="G94" s="55">
        <f t="shared" si="12"/>
        <v>44.208413999999998</v>
      </c>
      <c r="H94" s="60">
        <v>74.23</v>
      </c>
      <c r="I94" s="57">
        <f t="shared" si="13"/>
        <v>480.59158600000001</v>
      </c>
      <c r="J94" s="70" t="s">
        <v>23</v>
      </c>
      <c r="K94" s="60" t="s">
        <v>24</v>
      </c>
      <c r="L94" s="57">
        <f t="shared" si="11"/>
        <v>72.088737899999998</v>
      </c>
      <c r="M94" s="57">
        <f t="shared" si="7"/>
        <v>19.223663439999999</v>
      </c>
      <c r="N94" s="58">
        <f t="shared" si="8"/>
        <v>9.6118317199999996</v>
      </c>
      <c r="O94" s="58">
        <f t="shared" si="9"/>
        <v>9.6118317199999996</v>
      </c>
      <c r="P94" s="55">
        <f t="shared" si="10"/>
        <v>33.641411020000007</v>
      </c>
    </row>
    <row r="95" spans="1:16">
      <c r="A95" s="51">
        <v>93</v>
      </c>
      <c r="B95" s="78" t="s">
        <v>169</v>
      </c>
      <c r="C95" s="61" t="s">
        <v>170</v>
      </c>
      <c r="D95" s="17">
        <v>10031111586899</v>
      </c>
      <c r="E95" s="35">
        <v>6253738</v>
      </c>
      <c r="F95" s="60">
        <v>647.38</v>
      </c>
      <c r="G95" s="55">
        <f t="shared" si="12"/>
        <v>47.776644000000005</v>
      </c>
      <c r="H95" s="60">
        <v>120.11</v>
      </c>
      <c r="I95" s="57">
        <f t="shared" si="13"/>
        <v>479.49335599999995</v>
      </c>
      <c r="J95" s="70" t="s">
        <v>23</v>
      </c>
      <c r="K95" s="60" t="s">
        <v>42</v>
      </c>
      <c r="L95" s="57">
        <f t="shared" si="11"/>
        <v>71.924003399999989</v>
      </c>
      <c r="M95" s="57">
        <f t="shared" si="7"/>
        <v>19.179734239999998</v>
      </c>
      <c r="N95" s="58">
        <f t="shared" si="8"/>
        <v>9.5898671199999992</v>
      </c>
      <c r="O95" s="58">
        <f t="shared" si="9"/>
        <v>9.5898671199999992</v>
      </c>
      <c r="P95" s="55">
        <f t="shared" si="10"/>
        <v>33.564534919999986</v>
      </c>
    </row>
    <row r="96" spans="1:16">
      <c r="A96" s="51">
        <v>94</v>
      </c>
      <c r="B96" s="52" t="s">
        <v>171</v>
      </c>
      <c r="C96" s="61" t="s">
        <v>26</v>
      </c>
      <c r="D96" s="17"/>
      <c r="E96" s="35" t="s">
        <v>172</v>
      </c>
      <c r="F96" s="60">
        <v>773.56</v>
      </c>
      <c r="G96" s="55">
        <f t="shared" si="12"/>
        <v>57.088727999999996</v>
      </c>
      <c r="H96" s="60">
        <v>95.41</v>
      </c>
      <c r="I96" s="57">
        <f t="shared" si="13"/>
        <v>621.06127200000003</v>
      </c>
      <c r="J96" s="70" t="s">
        <v>23</v>
      </c>
      <c r="K96" s="60" t="s">
        <v>27</v>
      </c>
      <c r="L96" s="57">
        <f t="shared" si="11"/>
        <v>93.159190800000005</v>
      </c>
      <c r="M96" s="57">
        <f t="shared" si="7"/>
        <v>24.842450880000001</v>
      </c>
      <c r="N96" s="58">
        <f t="shared" si="8"/>
        <v>12.421225440000001</v>
      </c>
      <c r="O96" s="58">
        <f t="shared" si="9"/>
        <v>12.421225440000001</v>
      </c>
      <c r="P96" s="55">
        <f t="shared" si="10"/>
        <v>43.474289040000002</v>
      </c>
    </row>
    <row r="97" spans="1:16">
      <c r="A97" s="51">
        <v>95</v>
      </c>
      <c r="B97" s="52" t="s">
        <v>173</v>
      </c>
      <c r="C97" s="61" t="s">
        <v>93</v>
      </c>
      <c r="D97" s="17">
        <v>100311111594830</v>
      </c>
      <c r="E97" s="35">
        <v>6257700</v>
      </c>
      <c r="F97" s="60">
        <v>659.1</v>
      </c>
      <c r="G97" s="55">
        <f t="shared" si="12"/>
        <v>48.641580000000005</v>
      </c>
      <c r="H97" s="60">
        <v>0</v>
      </c>
      <c r="I97" s="57">
        <f t="shared" si="13"/>
        <v>610.45842000000005</v>
      </c>
      <c r="J97" s="70" t="s">
        <v>23</v>
      </c>
      <c r="K97" s="60" t="s">
        <v>174</v>
      </c>
      <c r="L97" s="57">
        <f t="shared" si="11"/>
        <v>91.568763000000004</v>
      </c>
      <c r="M97" s="57">
        <f t="shared" si="7"/>
        <v>24.418336800000002</v>
      </c>
      <c r="N97" s="58">
        <f t="shared" si="8"/>
        <v>12.209168400000001</v>
      </c>
      <c r="O97" s="58">
        <f t="shared" si="9"/>
        <v>12.209168400000001</v>
      </c>
      <c r="P97" s="55">
        <f t="shared" si="10"/>
        <v>42.732089399999992</v>
      </c>
    </row>
    <row r="98" spans="1:16">
      <c r="A98" s="51">
        <v>96</v>
      </c>
      <c r="B98" s="52" t="s">
        <v>175</v>
      </c>
      <c r="C98" s="61" t="s">
        <v>93</v>
      </c>
      <c r="D98" s="17">
        <v>1003111111594760</v>
      </c>
      <c r="E98" s="35">
        <v>6257773</v>
      </c>
      <c r="F98" s="60">
        <v>530.24</v>
      </c>
      <c r="G98" s="55">
        <f t="shared" si="12"/>
        <v>39.131712</v>
      </c>
      <c r="H98" s="60">
        <v>0</v>
      </c>
      <c r="I98" s="57">
        <f t="shared" si="13"/>
        <v>491.10828800000002</v>
      </c>
      <c r="J98" s="70" t="s">
        <v>23</v>
      </c>
      <c r="K98" s="60" t="s">
        <v>176</v>
      </c>
      <c r="L98" s="57">
        <f t="shared" si="11"/>
        <v>73.666243199999997</v>
      </c>
      <c r="M98" s="57">
        <f t="shared" si="7"/>
        <v>19.644331520000001</v>
      </c>
      <c r="N98" s="58">
        <f t="shared" si="8"/>
        <v>9.8221657600000007</v>
      </c>
      <c r="O98" s="58">
        <f t="shared" si="9"/>
        <v>9.8221657600000007</v>
      </c>
      <c r="P98" s="55">
        <f t="shared" si="10"/>
        <v>34.377580159999994</v>
      </c>
    </row>
    <row r="99" spans="1:16">
      <c r="A99" s="51">
        <v>97</v>
      </c>
      <c r="B99" s="52" t="s">
        <v>177</v>
      </c>
      <c r="C99" s="61" t="s">
        <v>178</v>
      </c>
      <c r="D99" s="17">
        <v>100311111594527</v>
      </c>
      <c r="E99" s="35">
        <v>6257277</v>
      </c>
      <c r="F99" s="60">
        <v>874.34</v>
      </c>
      <c r="G99" s="55">
        <f t="shared" si="12"/>
        <v>64.526292000000012</v>
      </c>
      <c r="H99" s="60">
        <v>0</v>
      </c>
      <c r="I99" s="57">
        <f t="shared" si="13"/>
        <v>809.81370800000002</v>
      </c>
      <c r="J99" s="70" t="s">
        <v>23</v>
      </c>
      <c r="K99" s="60" t="s">
        <v>40</v>
      </c>
      <c r="L99" s="57">
        <f t="shared" si="11"/>
        <v>121.4720562</v>
      </c>
      <c r="M99" s="57">
        <f t="shared" si="7"/>
        <v>32.392548320000003</v>
      </c>
      <c r="N99" s="58">
        <f t="shared" si="8"/>
        <v>16.196274160000002</v>
      </c>
      <c r="O99" s="58">
        <f t="shared" si="9"/>
        <v>16.196274160000002</v>
      </c>
      <c r="P99" s="55">
        <f t="shared" si="10"/>
        <v>56.686959559999991</v>
      </c>
    </row>
    <row r="100" spans="1:16">
      <c r="A100" s="51">
        <v>98</v>
      </c>
      <c r="B100" s="52" t="s">
        <v>179</v>
      </c>
      <c r="C100" s="61" t="s">
        <v>80</v>
      </c>
      <c r="D100" s="17">
        <v>37671165</v>
      </c>
      <c r="E100" s="35">
        <v>6263178</v>
      </c>
      <c r="F100" s="60">
        <v>728.74</v>
      </c>
      <c r="G100" s="55">
        <f t="shared" si="12"/>
        <v>53.781012000000004</v>
      </c>
      <c r="H100" s="60">
        <v>60.68</v>
      </c>
      <c r="I100" s="57">
        <f t="shared" si="13"/>
        <v>614.27898800000003</v>
      </c>
      <c r="J100" s="70" t="s">
        <v>19</v>
      </c>
      <c r="K100" s="60" t="s">
        <v>99</v>
      </c>
      <c r="L100" s="57">
        <f t="shared" si="11"/>
        <v>92.141848199999998</v>
      </c>
      <c r="M100" s="57">
        <f t="shared" si="7"/>
        <v>24.571159520000002</v>
      </c>
      <c r="N100" s="58">
        <f t="shared" si="8"/>
        <v>12.285579760000001</v>
      </c>
      <c r="O100" s="58">
        <f t="shared" si="9"/>
        <v>12.285579760000001</v>
      </c>
      <c r="P100" s="55">
        <f t="shared" si="10"/>
        <v>42.99952915999998</v>
      </c>
    </row>
    <row r="101" spans="1:16">
      <c r="A101" s="51">
        <v>99</v>
      </c>
      <c r="B101" s="52" t="s">
        <v>180</v>
      </c>
      <c r="C101" s="61" t="s">
        <v>108</v>
      </c>
      <c r="D101" s="17"/>
      <c r="E101" s="35">
        <v>6262615</v>
      </c>
      <c r="F101" s="60">
        <v>642.66</v>
      </c>
      <c r="G101" s="55">
        <f t="shared" si="12"/>
        <v>47.428308000000001</v>
      </c>
      <c r="H101" s="60">
        <v>107.11</v>
      </c>
      <c r="I101" s="57">
        <f t="shared" si="13"/>
        <v>488.12169199999994</v>
      </c>
      <c r="J101" s="70" t="s">
        <v>19</v>
      </c>
      <c r="K101" s="60" t="s">
        <v>20</v>
      </c>
      <c r="L101" s="57">
        <f t="shared" si="11"/>
        <v>73.218253799999985</v>
      </c>
      <c r="M101" s="57">
        <f t="shared" si="7"/>
        <v>19.524867679999996</v>
      </c>
      <c r="N101" s="58">
        <f t="shared" si="8"/>
        <v>9.7624338399999981</v>
      </c>
      <c r="O101" s="58">
        <f t="shared" si="9"/>
        <v>9.7624338399999981</v>
      </c>
      <c r="P101" s="55">
        <f t="shared" si="10"/>
        <v>34.168518439999986</v>
      </c>
    </row>
    <row r="102" spans="1:16">
      <c r="A102" s="51">
        <v>100</v>
      </c>
      <c r="B102" s="52" t="s">
        <v>181</v>
      </c>
      <c r="C102" s="61" t="s">
        <v>26</v>
      </c>
      <c r="D102" s="17"/>
      <c r="E102" s="35">
        <v>6266533</v>
      </c>
      <c r="F102" s="60">
        <v>558.67999999999995</v>
      </c>
      <c r="G102" s="55">
        <f t="shared" si="12"/>
        <v>41.230584</v>
      </c>
      <c r="H102" s="60">
        <v>60.03</v>
      </c>
      <c r="I102" s="57">
        <f t="shared" si="13"/>
        <v>457.41941599999996</v>
      </c>
      <c r="J102" s="70" t="s">
        <v>23</v>
      </c>
      <c r="K102" s="60" t="s">
        <v>78</v>
      </c>
      <c r="L102" s="57">
        <f t="shared" si="11"/>
        <v>68.612912399999985</v>
      </c>
      <c r="M102" s="57">
        <f t="shared" si="7"/>
        <v>18.296776639999997</v>
      </c>
      <c r="N102" s="58">
        <f t="shared" si="8"/>
        <v>9.1483883199999987</v>
      </c>
      <c r="O102" s="58">
        <f t="shared" si="9"/>
        <v>9.1483883199999987</v>
      </c>
      <c r="P102" s="55">
        <f t="shared" si="10"/>
        <v>32.01935911999999</v>
      </c>
    </row>
    <row r="103" spans="1:16">
      <c r="A103" s="51">
        <v>101</v>
      </c>
      <c r="B103" s="52" t="s">
        <v>182</v>
      </c>
      <c r="C103" s="61" t="s">
        <v>29</v>
      </c>
      <c r="D103" s="17"/>
      <c r="E103" s="35" t="s">
        <v>183</v>
      </c>
      <c r="F103" s="60">
        <v>756.99</v>
      </c>
      <c r="G103" s="55">
        <f t="shared" si="12"/>
        <v>55.865862000000007</v>
      </c>
      <c r="H103" s="60">
        <v>81.34</v>
      </c>
      <c r="I103" s="57">
        <f t="shared" si="13"/>
        <v>619.78413799999998</v>
      </c>
      <c r="J103" s="70" t="s">
        <v>23</v>
      </c>
      <c r="K103" s="60" t="s">
        <v>27</v>
      </c>
      <c r="L103" s="57">
        <f t="shared" si="11"/>
        <v>92.967620699999998</v>
      </c>
      <c r="M103" s="57">
        <f t="shared" si="7"/>
        <v>24.791365519999999</v>
      </c>
      <c r="N103" s="58">
        <f t="shared" si="8"/>
        <v>12.39568276</v>
      </c>
      <c r="O103" s="58">
        <f t="shared" si="9"/>
        <v>12.39568276</v>
      </c>
      <c r="P103" s="55">
        <f t="shared" si="10"/>
        <v>43.384889659999999</v>
      </c>
    </row>
    <row r="104" spans="1:16">
      <c r="A104" s="51">
        <v>102</v>
      </c>
      <c r="B104" s="52" t="s">
        <v>184</v>
      </c>
      <c r="C104" s="61" t="s">
        <v>36</v>
      </c>
      <c r="D104" s="17">
        <v>37676729</v>
      </c>
      <c r="E104" s="35" t="s">
        <v>185</v>
      </c>
      <c r="F104" s="60">
        <v>405.76</v>
      </c>
      <c r="G104" s="55">
        <f t="shared" si="12"/>
        <v>29.945088000000002</v>
      </c>
      <c r="H104" s="60">
        <v>0</v>
      </c>
      <c r="I104" s="57">
        <f t="shared" si="13"/>
        <v>375.81491199999999</v>
      </c>
      <c r="J104" s="70" t="s">
        <v>23</v>
      </c>
      <c r="K104" s="60" t="s">
        <v>27</v>
      </c>
      <c r="L104" s="57">
        <f t="shared" si="11"/>
        <v>56.372236799999996</v>
      </c>
      <c r="M104" s="57">
        <f t="shared" si="7"/>
        <v>15.03259648</v>
      </c>
      <c r="N104" s="58">
        <f t="shared" si="8"/>
        <v>7.5162982400000002</v>
      </c>
      <c r="O104" s="58">
        <f t="shared" si="9"/>
        <v>7.5162982400000002</v>
      </c>
      <c r="P104" s="55">
        <f t="shared" si="10"/>
        <v>26.307043839999995</v>
      </c>
    </row>
    <row r="105" spans="1:16">
      <c r="A105" s="51">
        <v>103</v>
      </c>
      <c r="B105" s="52" t="s">
        <v>186</v>
      </c>
      <c r="C105" s="61" t="s">
        <v>187</v>
      </c>
      <c r="D105" s="17"/>
      <c r="E105" s="35">
        <v>6268227</v>
      </c>
      <c r="F105" s="60">
        <v>829.74</v>
      </c>
      <c r="G105" s="55">
        <f t="shared" si="12"/>
        <v>61.234812000000005</v>
      </c>
      <c r="H105" s="60">
        <v>89.16</v>
      </c>
      <c r="I105" s="57">
        <f t="shared" si="13"/>
        <v>679.34518800000001</v>
      </c>
      <c r="J105" s="70" t="s">
        <v>23</v>
      </c>
      <c r="K105" s="60" t="s">
        <v>27</v>
      </c>
      <c r="L105" s="57">
        <f t="shared" si="11"/>
        <v>101.9017782</v>
      </c>
      <c r="M105" s="57">
        <f t="shared" si="7"/>
        <v>27.17380752</v>
      </c>
      <c r="N105" s="58">
        <f t="shared" si="8"/>
        <v>13.58690376</v>
      </c>
      <c r="O105" s="58">
        <f t="shared" si="9"/>
        <v>13.58690376</v>
      </c>
      <c r="P105" s="55">
        <f t="shared" si="10"/>
        <v>47.554163160000002</v>
      </c>
    </row>
    <row r="106" spans="1:16">
      <c r="A106" s="43"/>
      <c r="B106" s="85"/>
      <c r="C106" s="85"/>
      <c r="D106" s="86"/>
      <c r="E106" s="85"/>
      <c r="F106" s="87"/>
      <c r="G106" s="87"/>
      <c r="H106" s="87"/>
      <c r="I106" s="87"/>
      <c r="J106" s="85"/>
      <c r="K106" s="88"/>
      <c r="L106" s="88"/>
      <c r="M106" s="88"/>
      <c r="N106" s="44"/>
      <c r="O106" s="44"/>
      <c r="P106" s="45"/>
    </row>
    <row r="107" spans="1:16" ht="15.6">
      <c r="A107" s="43"/>
      <c r="B107" s="46"/>
      <c r="C107" s="46"/>
      <c r="D107" s="47"/>
      <c r="E107" s="48" t="s">
        <v>188</v>
      </c>
      <c r="F107" s="49">
        <f>SUM(F3:F105)</f>
        <v>62387.749999999971</v>
      </c>
      <c r="G107" s="49">
        <f>SUM(G3:G105)</f>
        <v>4604.2159500000007</v>
      </c>
      <c r="H107" s="49">
        <f>SUM(H3:H105)</f>
        <v>8603.122000000003</v>
      </c>
      <c r="I107" s="49">
        <f>SUM(I3:I105)</f>
        <v>49288.216452000001</v>
      </c>
      <c r="J107" s="46"/>
      <c r="K107" s="50"/>
      <c r="L107" s="49">
        <f>SUM(L3:L105)</f>
        <v>7393.2324678000004</v>
      </c>
      <c r="M107" s="49">
        <f>SUM(M3:M105)</f>
        <v>1971.5286580800002</v>
      </c>
      <c r="N107" s="49">
        <f>SUM(N3:N105)</f>
        <v>985.76432904000012</v>
      </c>
      <c r="O107" s="49">
        <f>SUM(O3:O105)</f>
        <v>985.76432904000012</v>
      </c>
      <c r="P107" s="49">
        <f>SUM(P3:P105)</f>
        <v>3450.1751516400009</v>
      </c>
    </row>
  </sheetData>
  <autoFilter ref="A2:Q105" xr:uid="{93093F85-73FB-4CDB-80B8-32924908A847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6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BBA9-3B63-4E2E-BD82-B8B4A654E61E}">
  <dimension ref="A1:Q66"/>
  <sheetViews>
    <sheetView topLeftCell="A48" zoomScaleNormal="100" workbookViewId="0">
      <selection activeCell="C70" sqref="C70"/>
    </sheetView>
  </sheetViews>
  <sheetFormatPr defaultRowHeight="14.4"/>
  <cols>
    <col min="1" max="1" width="6.21875" customWidth="1"/>
    <col min="2" max="2" width="36.109375" style="150" customWidth="1"/>
    <col min="3" max="3" width="19.33203125" customWidth="1"/>
    <col min="4" max="4" width="16.44140625" style="150" customWidth="1"/>
    <col min="5" max="5" width="15.88671875" customWidth="1"/>
    <col min="6" max="6" width="16.5546875" customWidth="1"/>
    <col min="7" max="7" width="14.88671875" customWidth="1"/>
    <col min="8" max="8" width="13.109375" customWidth="1"/>
    <col min="9" max="9" width="12.5546875" customWidth="1"/>
    <col min="10" max="10" width="13.6640625" customWidth="1"/>
    <col min="11" max="11" width="15" customWidth="1"/>
    <col min="12" max="12" width="11.21875" customWidth="1"/>
    <col min="13" max="13" width="14.77734375" customWidth="1"/>
    <col min="14" max="14" width="12.77734375" customWidth="1"/>
    <col min="15" max="15" width="14.109375" customWidth="1"/>
    <col min="16" max="16" width="14.33203125" customWidth="1"/>
  </cols>
  <sheetData>
    <row r="1" spans="1:17" ht="23.4">
      <c r="B1" s="225" t="s">
        <v>189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7"/>
    </row>
    <row r="2" spans="1:17">
      <c r="A2" s="1" t="s">
        <v>1</v>
      </c>
      <c r="B2" s="89" t="s">
        <v>2</v>
      </c>
      <c r="C2" s="3" t="s">
        <v>3</v>
      </c>
      <c r="D2" s="90" t="s">
        <v>4</v>
      </c>
      <c r="E2" s="5" t="s">
        <v>5</v>
      </c>
      <c r="F2" s="1" t="s">
        <v>6</v>
      </c>
      <c r="G2" s="6" t="s">
        <v>7</v>
      </c>
      <c r="H2" s="1" t="s">
        <v>8</v>
      </c>
      <c r="I2" s="6" t="s">
        <v>9</v>
      </c>
      <c r="J2" s="1" t="s">
        <v>10</v>
      </c>
      <c r="K2" s="1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7">
      <c r="A3" s="91">
        <v>1</v>
      </c>
      <c r="B3" s="92" t="s">
        <v>190</v>
      </c>
      <c r="C3" s="93" t="s">
        <v>156</v>
      </c>
      <c r="D3" s="94" t="str">
        <f>'[1]FEVEREIRO 2026'!D3</f>
        <v>RENOV REFE</v>
      </c>
      <c r="E3" s="95" t="s">
        <v>191</v>
      </c>
      <c r="F3" s="96">
        <v>620.86</v>
      </c>
      <c r="G3" s="97">
        <f>F3*7.38%</f>
        <v>45.819468000000001</v>
      </c>
      <c r="H3" s="98">
        <v>51.7</v>
      </c>
      <c r="I3" s="97">
        <f>F3-G3-H3</f>
        <v>523.34053199999994</v>
      </c>
      <c r="J3" s="91" t="s">
        <v>192</v>
      </c>
      <c r="K3" s="98" t="s">
        <v>193</v>
      </c>
      <c r="L3" s="99">
        <f>I3*15%</f>
        <v>78.501079799999985</v>
      </c>
      <c r="M3" s="99">
        <f t="shared" ref="M3:M64" si="0">I3*4%</f>
        <v>20.933621279999997</v>
      </c>
      <c r="N3" s="100">
        <f t="shared" ref="N3:N64" si="1">I3*2%</f>
        <v>10.466810639999999</v>
      </c>
      <c r="O3" s="100">
        <f t="shared" ref="O3:O64" si="2">I3*2%</f>
        <v>10.466810639999999</v>
      </c>
      <c r="P3" s="97">
        <f t="shared" ref="P3:P64" si="3">L3-M3-N3-O3</f>
        <v>36.633837239999991</v>
      </c>
    </row>
    <row r="4" spans="1:17">
      <c r="A4" s="91">
        <v>2</v>
      </c>
      <c r="B4" s="92" t="s">
        <v>194</v>
      </c>
      <c r="C4" s="101" t="s">
        <v>195</v>
      </c>
      <c r="D4" s="102">
        <f>'[1]FEVEREIRO 2026'!D4</f>
        <v>1003111624175</v>
      </c>
      <c r="E4" s="8">
        <v>6187430</v>
      </c>
      <c r="F4" s="96">
        <v>656.56</v>
      </c>
      <c r="G4" s="97">
        <f>F4*7.38%</f>
        <v>48.454127999999997</v>
      </c>
      <c r="H4" s="103">
        <v>80.98</v>
      </c>
      <c r="I4" s="97">
        <f>F4-G4-H4</f>
        <v>527.12587199999996</v>
      </c>
      <c r="J4" s="104" t="s">
        <v>196</v>
      </c>
      <c r="K4" s="103" t="s">
        <v>197</v>
      </c>
      <c r="L4" s="99">
        <f t="shared" ref="L4:L64" si="4">I4*15%</f>
        <v>79.068880799999988</v>
      </c>
      <c r="M4" s="99">
        <f t="shared" si="0"/>
        <v>21.085034879999998</v>
      </c>
      <c r="N4" s="100">
        <f t="shared" si="1"/>
        <v>10.542517439999999</v>
      </c>
      <c r="O4" s="100">
        <f t="shared" si="2"/>
        <v>10.542517439999999</v>
      </c>
      <c r="P4" s="97">
        <f t="shared" si="3"/>
        <v>36.898811039999998</v>
      </c>
    </row>
    <row r="5" spans="1:17">
      <c r="A5" s="91">
        <v>3</v>
      </c>
      <c r="B5" s="105" t="s">
        <v>198</v>
      </c>
      <c r="C5" s="91" t="s">
        <v>199</v>
      </c>
      <c r="D5" s="106">
        <f>'[1]FEVEREIRO 2026'!D5</f>
        <v>1003111625832</v>
      </c>
      <c r="E5" s="11">
        <v>6257646</v>
      </c>
      <c r="F5" s="107">
        <v>782.07</v>
      </c>
      <c r="G5" s="97">
        <f t="shared" ref="G5:G64" si="5">F5*7.38%</f>
        <v>57.716766000000007</v>
      </c>
      <c r="H5" s="108">
        <v>0</v>
      </c>
      <c r="I5" s="97">
        <f t="shared" ref="I5:I64" si="6">F5-G5-H5</f>
        <v>724.35323400000004</v>
      </c>
      <c r="J5" s="91" t="s">
        <v>196</v>
      </c>
      <c r="K5" s="98" t="s">
        <v>200</v>
      </c>
      <c r="L5" s="99">
        <f t="shared" si="4"/>
        <v>108.65298510000001</v>
      </c>
      <c r="M5" s="99">
        <f t="shared" si="0"/>
        <v>28.974129360000003</v>
      </c>
      <c r="N5" s="100">
        <f t="shared" si="1"/>
        <v>14.487064680000001</v>
      </c>
      <c r="O5" s="100">
        <f t="shared" si="2"/>
        <v>14.487064680000001</v>
      </c>
      <c r="P5" s="97">
        <f t="shared" si="3"/>
        <v>50.704726379999997</v>
      </c>
    </row>
    <row r="6" spans="1:17">
      <c r="A6" s="91">
        <v>4</v>
      </c>
      <c r="B6" s="92" t="s">
        <v>201</v>
      </c>
      <c r="C6" s="91" t="s">
        <v>199</v>
      </c>
      <c r="D6" s="109">
        <f>'[1]FEVEREIRO 2026'!D6</f>
        <v>1003111625892</v>
      </c>
      <c r="E6" s="13">
        <v>6238892</v>
      </c>
      <c r="F6" s="110">
        <v>599.16999999999996</v>
      </c>
      <c r="G6" s="111">
        <f t="shared" si="5"/>
        <v>44.218746000000003</v>
      </c>
      <c r="H6" s="103">
        <v>0</v>
      </c>
      <c r="I6" s="111">
        <f t="shared" si="6"/>
        <v>554.95125399999995</v>
      </c>
      <c r="J6" s="104" t="s">
        <v>196</v>
      </c>
      <c r="K6" s="103" t="s">
        <v>20</v>
      </c>
      <c r="L6" s="99">
        <f t="shared" si="4"/>
        <v>83.242688099999995</v>
      </c>
      <c r="M6" s="99">
        <f t="shared" si="0"/>
        <v>22.198050159999998</v>
      </c>
      <c r="N6" s="100">
        <f t="shared" si="1"/>
        <v>11.099025079999999</v>
      </c>
      <c r="O6" s="100">
        <f t="shared" si="2"/>
        <v>11.099025079999999</v>
      </c>
      <c r="P6" s="97">
        <f t="shared" si="3"/>
        <v>38.846587780000007</v>
      </c>
    </row>
    <row r="7" spans="1:17">
      <c r="A7" s="91">
        <v>5</v>
      </c>
      <c r="B7" s="105" t="s">
        <v>202</v>
      </c>
      <c r="C7" s="91" t="s">
        <v>203</v>
      </c>
      <c r="D7" s="109">
        <f>'[1]FEVEREIRO 2026'!D7</f>
        <v>1003111631017</v>
      </c>
      <c r="E7" s="13">
        <v>6282486</v>
      </c>
      <c r="F7" s="98">
        <v>606.79999999999995</v>
      </c>
      <c r="G7" s="111">
        <f t="shared" si="5"/>
        <v>44.781840000000003</v>
      </c>
      <c r="H7" s="98">
        <v>65.2</v>
      </c>
      <c r="I7" s="111">
        <f t="shared" si="6"/>
        <v>496.81815999999998</v>
      </c>
      <c r="J7" s="91" t="s">
        <v>196</v>
      </c>
      <c r="K7" s="98" t="s">
        <v>99</v>
      </c>
      <c r="L7" s="99">
        <f t="shared" si="4"/>
        <v>74.522723999999997</v>
      </c>
      <c r="M7" s="99">
        <f t="shared" si="0"/>
        <v>19.872726400000001</v>
      </c>
      <c r="N7" s="100">
        <f t="shared" si="1"/>
        <v>9.9363632000000006</v>
      </c>
      <c r="O7" s="100">
        <f t="shared" si="2"/>
        <v>9.9363632000000006</v>
      </c>
      <c r="P7" s="97">
        <f t="shared" si="3"/>
        <v>34.777271199999987</v>
      </c>
    </row>
    <row r="8" spans="1:17">
      <c r="A8" s="91">
        <v>6</v>
      </c>
      <c r="B8" s="92" t="s">
        <v>204</v>
      </c>
      <c r="C8" s="104" t="s">
        <v>205</v>
      </c>
      <c r="D8" s="112">
        <f>'[1]FEVEREIRO 2026'!D8</f>
        <v>1003111637693</v>
      </c>
      <c r="E8" s="15">
        <v>6285179</v>
      </c>
      <c r="F8" s="103">
        <v>618.65</v>
      </c>
      <c r="G8" s="111">
        <f t="shared" si="5"/>
        <v>45.656370000000003</v>
      </c>
      <c r="H8" s="103">
        <v>0</v>
      </c>
      <c r="I8" s="111">
        <f>F8-G8-H8</f>
        <v>572.99362999999994</v>
      </c>
      <c r="J8" s="104" t="s">
        <v>196</v>
      </c>
      <c r="K8" s="103" t="s">
        <v>197</v>
      </c>
      <c r="L8" s="99">
        <f t="shared" si="4"/>
        <v>85.949044499999985</v>
      </c>
      <c r="M8" s="99">
        <f t="shared" si="0"/>
        <v>22.919745199999998</v>
      </c>
      <c r="N8" s="100">
        <f t="shared" si="1"/>
        <v>11.459872599999999</v>
      </c>
      <c r="O8" s="100">
        <f t="shared" si="2"/>
        <v>11.459872599999999</v>
      </c>
      <c r="P8" s="97">
        <f t="shared" si="3"/>
        <v>40.109554099999997</v>
      </c>
    </row>
    <row r="9" spans="1:17">
      <c r="A9" s="91">
        <v>7</v>
      </c>
      <c r="B9" s="105" t="s">
        <v>206</v>
      </c>
      <c r="C9" s="91" t="s">
        <v>203</v>
      </c>
      <c r="D9" s="113">
        <f>'[1]FEVEREIRO 2026'!D9</f>
        <v>1003111635025</v>
      </c>
      <c r="E9" s="13">
        <v>6285294</v>
      </c>
      <c r="F9" s="114">
        <v>493.67</v>
      </c>
      <c r="G9" s="111">
        <f t="shared" si="5"/>
        <v>36.432846000000005</v>
      </c>
      <c r="H9" s="98">
        <v>164.56</v>
      </c>
      <c r="I9" s="111">
        <f>F9-G9-H9</f>
        <v>292.67715400000003</v>
      </c>
      <c r="J9" s="91" t="s">
        <v>196</v>
      </c>
      <c r="K9" s="98" t="s">
        <v>193</v>
      </c>
      <c r="L9" s="99">
        <f t="shared" si="4"/>
        <v>43.9015731</v>
      </c>
      <c r="M9" s="99">
        <f t="shared" si="0"/>
        <v>11.707086160000001</v>
      </c>
      <c r="N9" s="100">
        <f>I9*2%</f>
        <v>5.8535430800000006</v>
      </c>
      <c r="O9" s="100">
        <f t="shared" si="2"/>
        <v>5.8535430800000006</v>
      </c>
      <c r="P9" s="97">
        <f t="shared" si="3"/>
        <v>20.487400779999994</v>
      </c>
    </row>
    <row r="10" spans="1:17">
      <c r="A10" s="91">
        <v>8</v>
      </c>
      <c r="B10" s="115" t="s">
        <v>207</v>
      </c>
      <c r="C10" s="104" t="s">
        <v>203</v>
      </c>
      <c r="D10" s="116">
        <f>'[1]FEVEREIRO 2026'!D10</f>
        <v>1003111639073</v>
      </c>
      <c r="E10" s="18">
        <v>6285405</v>
      </c>
      <c r="F10" s="117">
        <v>541.85</v>
      </c>
      <c r="G10" s="111">
        <f t="shared" si="5"/>
        <v>39.988530000000004</v>
      </c>
      <c r="H10" s="103">
        <v>180.62</v>
      </c>
      <c r="I10" s="111">
        <f t="shared" si="6"/>
        <v>321.24146999999999</v>
      </c>
      <c r="J10" s="118" t="s">
        <v>196</v>
      </c>
      <c r="K10" s="103" t="s">
        <v>193</v>
      </c>
      <c r="L10" s="99">
        <f t="shared" si="4"/>
        <v>48.186220499999997</v>
      </c>
      <c r="M10" s="99">
        <f t="shared" si="0"/>
        <v>12.8496588</v>
      </c>
      <c r="N10" s="100">
        <f t="shared" si="1"/>
        <v>6.4248294000000001</v>
      </c>
      <c r="O10" s="100">
        <f t="shared" si="2"/>
        <v>6.4248294000000001</v>
      </c>
      <c r="P10" s="97">
        <f t="shared" si="3"/>
        <v>22.486902899999997</v>
      </c>
    </row>
    <row r="11" spans="1:17">
      <c r="A11" s="91">
        <v>9</v>
      </c>
      <c r="B11" s="115" t="s">
        <v>208</v>
      </c>
      <c r="C11" s="91" t="s">
        <v>203</v>
      </c>
      <c r="D11" s="113">
        <f>'[1]FEVEREIRO 2026'!D11</f>
        <v>1003111639394</v>
      </c>
      <c r="E11" s="13">
        <v>6282807</v>
      </c>
      <c r="F11" s="119">
        <v>523.51</v>
      </c>
      <c r="G11" s="111">
        <f t="shared" si="5"/>
        <v>38.635038000000002</v>
      </c>
      <c r="H11" s="98">
        <v>64.569999999999993</v>
      </c>
      <c r="I11" s="120">
        <f t="shared" si="6"/>
        <v>420.30496199999999</v>
      </c>
      <c r="J11" s="121" t="s">
        <v>196</v>
      </c>
      <c r="K11" s="98" t="s">
        <v>42</v>
      </c>
      <c r="L11" s="99">
        <f t="shared" si="4"/>
        <v>63.045744299999996</v>
      </c>
      <c r="M11" s="99">
        <f t="shared" si="0"/>
        <v>16.812198479999999</v>
      </c>
      <c r="N11" s="100">
        <f t="shared" si="1"/>
        <v>8.4060992399999996</v>
      </c>
      <c r="O11" s="122">
        <f t="shared" si="2"/>
        <v>8.4060992399999996</v>
      </c>
      <c r="P11" s="99">
        <f t="shared" si="3"/>
        <v>29.421347340000001</v>
      </c>
    </row>
    <row r="12" spans="1:17">
      <c r="A12" s="91">
        <v>10</v>
      </c>
      <c r="B12" s="123" t="s">
        <v>209</v>
      </c>
      <c r="C12" s="20" t="s">
        <v>203</v>
      </c>
      <c r="D12" s="116">
        <f>'[1]FEVEREIRO 2026'!D12</f>
        <v>37715837</v>
      </c>
      <c r="E12" s="124" t="s">
        <v>210</v>
      </c>
      <c r="F12" s="125">
        <v>368.04</v>
      </c>
      <c r="G12" s="111">
        <f t="shared" si="5"/>
        <v>27.161352000000004</v>
      </c>
      <c r="H12" s="103">
        <v>0</v>
      </c>
      <c r="I12" s="111">
        <f t="shared" si="6"/>
        <v>340.878648</v>
      </c>
      <c r="J12" s="121" t="s">
        <v>196</v>
      </c>
      <c r="K12" s="103" t="s">
        <v>193</v>
      </c>
      <c r="L12" s="99">
        <f t="shared" si="4"/>
        <v>51.131797200000001</v>
      </c>
      <c r="M12" s="99">
        <f t="shared" si="0"/>
        <v>13.635145919999999</v>
      </c>
      <c r="N12" s="100">
        <f t="shared" si="1"/>
        <v>6.8175729599999997</v>
      </c>
      <c r="O12" s="100">
        <f t="shared" si="2"/>
        <v>6.8175729599999997</v>
      </c>
      <c r="P12" s="97">
        <f t="shared" si="3"/>
        <v>23.861505360000002</v>
      </c>
    </row>
    <row r="13" spans="1:17">
      <c r="A13" s="91">
        <v>11</v>
      </c>
      <c r="B13" s="115" t="s">
        <v>211</v>
      </c>
      <c r="C13" s="91" t="s">
        <v>203</v>
      </c>
      <c r="D13" s="113">
        <f>'[1]FEVEREIRO 2026'!D13</f>
        <v>1003111642723</v>
      </c>
      <c r="E13" s="13">
        <v>6255874</v>
      </c>
      <c r="F13" s="125">
        <v>541.41999999999996</v>
      </c>
      <c r="G13" s="120">
        <f t="shared" si="5"/>
        <v>39.956795999999997</v>
      </c>
      <c r="H13" s="98">
        <v>0</v>
      </c>
      <c r="I13" s="120">
        <f t="shared" si="6"/>
        <v>501.46320399999996</v>
      </c>
      <c r="J13" s="121" t="s">
        <v>196</v>
      </c>
      <c r="K13" s="98" t="s">
        <v>122</v>
      </c>
      <c r="L13" s="99">
        <f t="shared" si="4"/>
        <v>75.219480599999997</v>
      </c>
      <c r="M13" s="99">
        <f t="shared" si="0"/>
        <v>20.058528159999998</v>
      </c>
      <c r="N13" s="100">
        <f t="shared" si="1"/>
        <v>10.029264079999999</v>
      </c>
      <c r="O13" s="122">
        <f t="shared" si="2"/>
        <v>10.029264079999999</v>
      </c>
      <c r="P13" s="99">
        <f t="shared" si="3"/>
        <v>35.102424280000008</v>
      </c>
    </row>
    <row r="14" spans="1:17">
      <c r="A14" s="91">
        <v>12</v>
      </c>
      <c r="B14" s="126" t="s">
        <v>212</v>
      </c>
      <c r="C14" s="104" t="s">
        <v>73</v>
      </c>
      <c r="D14" s="23">
        <f>'[1]FEVEREIRO 2026'!D14</f>
        <v>37722761</v>
      </c>
      <c r="E14" s="21">
        <v>6271027</v>
      </c>
      <c r="F14" s="125">
        <v>531.88</v>
      </c>
      <c r="G14" s="111">
        <f t="shared" si="5"/>
        <v>39.252744</v>
      </c>
      <c r="H14" s="103">
        <v>88.6</v>
      </c>
      <c r="I14" s="111">
        <f t="shared" si="6"/>
        <v>404.02725599999997</v>
      </c>
      <c r="J14" s="118" t="s">
        <v>192</v>
      </c>
      <c r="K14" s="103" t="s">
        <v>20</v>
      </c>
      <c r="L14" s="99">
        <f t="shared" si="4"/>
        <v>60.604088399999995</v>
      </c>
      <c r="M14" s="99">
        <f t="shared" si="0"/>
        <v>16.16109024</v>
      </c>
      <c r="N14" s="100">
        <f t="shared" si="1"/>
        <v>8.08054512</v>
      </c>
      <c r="O14" s="100">
        <f t="shared" si="2"/>
        <v>8.08054512</v>
      </c>
      <c r="P14" s="97">
        <f t="shared" si="3"/>
        <v>28.281907919999991</v>
      </c>
    </row>
    <row r="15" spans="1:17">
      <c r="A15" s="91">
        <v>13</v>
      </c>
      <c r="B15" s="127" t="s">
        <v>213</v>
      </c>
      <c r="C15" s="91" t="s">
        <v>203</v>
      </c>
      <c r="D15" s="23">
        <f>'[1]FEVEREIRO 2026'!D15</f>
        <v>1003111642972</v>
      </c>
      <c r="E15" s="21">
        <v>6291630</v>
      </c>
      <c r="F15" s="128">
        <v>555.91999999999996</v>
      </c>
      <c r="G15" s="120">
        <f t="shared" si="5"/>
        <v>41.026896000000001</v>
      </c>
      <c r="H15" s="103">
        <v>185.31</v>
      </c>
      <c r="I15" s="120">
        <f t="shared" si="6"/>
        <v>329.58310399999999</v>
      </c>
      <c r="J15" s="121" t="s">
        <v>196</v>
      </c>
      <c r="K15" s="98" t="s">
        <v>31</v>
      </c>
      <c r="L15" s="99">
        <f t="shared" si="4"/>
        <v>49.437465599999996</v>
      </c>
      <c r="M15" s="99">
        <f t="shared" si="0"/>
        <v>13.18332416</v>
      </c>
      <c r="N15" s="100">
        <f t="shared" si="1"/>
        <v>6.5916620799999999</v>
      </c>
      <c r="O15" s="122">
        <f t="shared" si="2"/>
        <v>6.5916620799999999</v>
      </c>
      <c r="P15" s="99">
        <f t="shared" si="3"/>
        <v>23.07081728</v>
      </c>
    </row>
    <row r="16" spans="1:17">
      <c r="A16" s="91">
        <v>14</v>
      </c>
      <c r="B16" s="123" t="s">
        <v>214</v>
      </c>
      <c r="C16" s="101" t="s">
        <v>199</v>
      </c>
      <c r="D16" s="113">
        <f>'[1]FEVEREIRO 2026'!D16</f>
        <v>1003111645065</v>
      </c>
      <c r="E16" s="25">
        <v>6292356</v>
      </c>
      <c r="F16" s="125">
        <v>821.29</v>
      </c>
      <c r="G16" s="111">
        <f t="shared" si="5"/>
        <v>60.611201999999999</v>
      </c>
      <c r="H16" s="103">
        <v>101.3</v>
      </c>
      <c r="I16" s="111">
        <f t="shared" si="6"/>
        <v>659.37879799999996</v>
      </c>
      <c r="J16" s="118" t="s">
        <v>196</v>
      </c>
      <c r="K16" s="103" t="s">
        <v>20</v>
      </c>
      <c r="L16" s="99">
        <f t="shared" si="4"/>
        <v>98.906819699999986</v>
      </c>
      <c r="M16" s="99">
        <f t="shared" si="0"/>
        <v>26.37515192</v>
      </c>
      <c r="N16" s="100">
        <f t="shared" si="1"/>
        <v>13.18757596</v>
      </c>
      <c r="O16" s="100">
        <f t="shared" si="2"/>
        <v>13.18757596</v>
      </c>
      <c r="P16" s="97">
        <f t="shared" si="3"/>
        <v>46.156515859999985</v>
      </c>
    </row>
    <row r="17" spans="1:16">
      <c r="A17" s="91">
        <v>15</v>
      </c>
      <c r="B17" s="127" t="s">
        <v>215</v>
      </c>
      <c r="C17" s="129" t="s">
        <v>199</v>
      </c>
      <c r="D17" s="109">
        <f>'[1]FEVEREIRO 2026'!D17</f>
        <v>1003111644249</v>
      </c>
      <c r="E17" s="26">
        <v>6292185</v>
      </c>
      <c r="F17" s="98">
        <v>646.14</v>
      </c>
      <c r="G17" s="120">
        <f t="shared" si="5"/>
        <v>47.685132000000003</v>
      </c>
      <c r="H17" s="103">
        <v>69.430000000000007</v>
      </c>
      <c r="I17" s="120">
        <f t="shared" si="6"/>
        <v>529.02486799999997</v>
      </c>
      <c r="J17" s="121" t="s">
        <v>196</v>
      </c>
      <c r="K17" s="98" t="s">
        <v>99</v>
      </c>
      <c r="L17" s="99">
        <f t="shared" si="4"/>
        <v>79.353730199999987</v>
      </c>
      <c r="M17" s="99">
        <f t="shared" si="0"/>
        <v>21.160994719999998</v>
      </c>
      <c r="N17" s="100">
        <f t="shared" si="1"/>
        <v>10.580497359999999</v>
      </c>
      <c r="O17" s="122">
        <f t="shared" si="2"/>
        <v>10.580497359999999</v>
      </c>
      <c r="P17" s="99">
        <f t="shared" si="3"/>
        <v>37.031740759999991</v>
      </c>
    </row>
    <row r="18" spans="1:16">
      <c r="A18" s="91">
        <v>16</v>
      </c>
      <c r="B18" s="123" t="s">
        <v>216</v>
      </c>
      <c r="C18" s="101" t="s">
        <v>73</v>
      </c>
      <c r="D18" s="113">
        <f>'[1]FEVEREIRO 2026'!D18</f>
        <v>531712948472</v>
      </c>
      <c r="E18" s="27">
        <v>6287876</v>
      </c>
      <c r="F18" s="103">
        <v>468.75</v>
      </c>
      <c r="G18" s="111">
        <f t="shared" si="5"/>
        <v>34.59375</v>
      </c>
      <c r="H18" s="103">
        <v>52.09</v>
      </c>
      <c r="I18" s="111">
        <f t="shared" si="6"/>
        <v>382.06624999999997</v>
      </c>
      <c r="J18" s="118" t="s">
        <v>192</v>
      </c>
      <c r="K18" s="103" t="s">
        <v>57</v>
      </c>
      <c r="L18" s="99">
        <f t="shared" si="4"/>
        <v>57.309937499999997</v>
      </c>
      <c r="M18" s="99">
        <f t="shared" si="0"/>
        <v>15.282649999999999</v>
      </c>
      <c r="N18" s="100">
        <f t="shared" si="1"/>
        <v>7.6413249999999993</v>
      </c>
      <c r="O18" s="100">
        <f t="shared" si="2"/>
        <v>7.6413249999999993</v>
      </c>
      <c r="P18" s="97">
        <f t="shared" si="3"/>
        <v>26.7446375</v>
      </c>
    </row>
    <row r="19" spans="1:16">
      <c r="A19" s="91">
        <v>17</v>
      </c>
      <c r="B19" s="127" t="s">
        <v>217</v>
      </c>
      <c r="C19" s="129" t="s">
        <v>73</v>
      </c>
      <c r="D19" s="113">
        <f>'[1]FEVEREIRO 2026'!D19</f>
        <v>37724745</v>
      </c>
      <c r="E19" s="28">
        <v>6294749</v>
      </c>
      <c r="F19" s="98">
        <v>689.54</v>
      </c>
      <c r="G19" s="120">
        <f t="shared" si="5"/>
        <v>50.888052000000002</v>
      </c>
      <c r="H19" s="98">
        <v>57.41</v>
      </c>
      <c r="I19" s="120">
        <f t="shared" si="6"/>
        <v>581.24194799999998</v>
      </c>
      <c r="J19" s="121" t="s">
        <v>192</v>
      </c>
      <c r="K19" s="98" t="s">
        <v>20</v>
      </c>
      <c r="L19" s="99">
        <f t="shared" si="4"/>
        <v>87.186292199999997</v>
      </c>
      <c r="M19" s="99">
        <f t="shared" si="0"/>
        <v>23.24967792</v>
      </c>
      <c r="N19" s="122">
        <f t="shared" si="1"/>
        <v>11.62483896</v>
      </c>
      <c r="O19" s="122">
        <f t="shared" si="2"/>
        <v>11.62483896</v>
      </c>
      <c r="P19" s="99">
        <f t="shared" si="3"/>
        <v>40.686936360000004</v>
      </c>
    </row>
    <row r="20" spans="1:16">
      <c r="A20" s="91">
        <v>18</v>
      </c>
      <c r="B20" s="123" t="s">
        <v>218</v>
      </c>
      <c r="C20" s="129" t="s">
        <v>205</v>
      </c>
      <c r="D20" s="116">
        <f>'[1]FEVEREIRO 2026'!D20</f>
        <v>1003111650083</v>
      </c>
      <c r="E20" s="25">
        <v>6249746</v>
      </c>
      <c r="F20" s="103">
        <v>517.66</v>
      </c>
      <c r="G20" s="111">
        <f t="shared" si="5"/>
        <v>38.203308</v>
      </c>
      <c r="H20" s="103">
        <v>63.85</v>
      </c>
      <c r="I20" s="97">
        <f t="shared" si="6"/>
        <v>415.60669199999995</v>
      </c>
      <c r="J20" s="118" t="s">
        <v>196</v>
      </c>
      <c r="K20" s="103" t="s">
        <v>31</v>
      </c>
      <c r="L20" s="99">
        <f t="shared" si="4"/>
        <v>62.341003799999989</v>
      </c>
      <c r="M20" s="99">
        <f t="shared" si="0"/>
        <v>16.624267679999999</v>
      </c>
      <c r="N20" s="100">
        <f t="shared" si="1"/>
        <v>8.3121338399999996</v>
      </c>
      <c r="O20" s="100">
        <f t="shared" si="2"/>
        <v>8.3121338399999996</v>
      </c>
      <c r="P20" s="97">
        <f t="shared" si="3"/>
        <v>29.09246843999999</v>
      </c>
    </row>
    <row r="21" spans="1:16">
      <c r="A21" s="91">
        <v>19</v>
      </c>
      <c r="B21" s="130" t="s">
        <v>219</v>
      </c>
      <c r="C21" s="91" t="s">
        <v>203</v>
      </c>
      <c r="D21" s="113">
        <f>'[1]FEVEREIRO 2026'!D21</f>
        <v>1003111663946</v>
      </c>
      <c r="E21" s="131" t="s">
        <v>220</v>
      </c>
      <c r="F21" s="98">
        <v>447.47</v>
      </c>
      <c r="G21" s="98">
        <f>F21*7.38%</f>
        <v>33.023286000000006</v>
      </c>
      <c r="H21" s="98">
        <v>118.2</v>
      </c>
      <c r="I21" s="97">
        <f t="shared" si="6"/>
        <v>296.24671400000005</v>
      </c>
      <c r="J21" s="121" t="s">
        <v>196</v>
      </c>
      <c r="K21" s="98" t="s">
        <v>78</v>
      </c>
      <c r="L21" s="99">
        <f t="shared" si="4"/>
        <v>44.43700710000001</v>
      </c>
      <c r="M21" s="99">
        <f t="shared" si="0"/>
        <v>11.849868560000003</v>
      </c>
      <c r="N21" s="122">
        <f t="shared" si="1"/>
        <v>5.9249342800000013</v>
      </c>
      <c r="O21" s="122">
        <f t="shared" si="2"/>
        <v>5.9249342800000013</v>
      </c>
      <c r="P21" s="99">
        <f t="shared" si="3"/>
        <v>20.737269980000001</v>
      </c>
    </row>
    <row r="22" spans="1:16">
      <c r="A22" s="91">
        <v>20</v>
      </c>
      <c r="B22" s="123" t="s">
        <v>221</v>
      </c>
      <c r="C22" s="104" t="s">
        <v>73</v>
      </c>
      <c r="D22" s="116">
        <f>'[1]FEVEREIRO 2026'!D22</f>
        <v>37728174</v>
      </c>
      <c r="E22" s="25">
        <v>6295556</v>
      </c>
      <c r="F22" s="103">
        <v>1262.8800000000001</v>
      </c>
      <c r="G22" s="103">
        <f t="shared" si="5"/>
        <v>93.200544000000008</v>
      </c>
      <c r="H22" s="103">
        <v>164.88</v>
      </c>
      <c r="I22" s="103">
        <f t="shared" si="6"/>
        <v>1004.7994560000001</v>
      </c>
      <c r="J22" s="118" t="s">
        <v>196</v>
      </c>
      <c r="K22" s="103" t="s">
        <v>99</v>
      </c>
      <c r="L22" s="99">
        <f t="shared" si="4"/>
        <v>150.71991840000001</v>
      </c>
      <c r="M22" s="99">
        <f t="shared" si="0"/>
        <v>40.191978240000005</v>
      </c>
      <c r="N22" s="100">
        <f t="shared" si="1"/>
        <v>20.095989120000002</v>
      </c>
      <c r="O22" s="100">
        <f t="shared" si="2"/>
        <v>20.095989120000002</v>
      </c>
      <c r="P22" s="97">
        <f t="shared" si="3"/>
        <v>70.335961920000017</v>
      </c>
    </row>
    <row r="23" spans="1:16">
      <c r="A23" s="91">
        <v>21</v>
      </c>
      <c r="B23" s="127" t="s">
        <v>222</v>
      </c>
      <c r="C23" s="91" t="s">
        <v>203</v>
      </c>
      <c r="D23" s="113">
        <f>'[1]FEVEREIRO 2026'!D23</f>
        <v>1003111654441</v>
      </c>
      <c r="E23" s="31">
        <v>6285190</v>
      </c>
      <c r="F23" s="98">
        <v>548.57000000000005</v>
      </c>
      <c r="G23" s="99">
        <f t="shared" si="5"/>
        <v>40.484466000000005</v>
      </c>
      <c r="H23" s="98">
        <v>144.91</v>
      </c>
      <c r="I23" s="99">
        <f t="shared" si="6"/>
        <v>363.17553400000008</v>
      </c>
      <c r="J23" s="121" t="s">
        <v>196</v>
      </c>
      <c r="K23" s="98" t="s">
        <v>197</v>
      </c>
      <c r="L23" s="99">
        <f t="shared" si="4"/>
        <v>54.476330100000013</v>
      </c>
      <c r="M23" s="99">
        <f t="shared" si="0"/>
        <v>14.527021360000004</v>
      </c>
      <c r="N23" s="122">
        <f t="shared" si="1"/>
        <v>7.2635106800000022</v>
      </c>
      <c r="O23" s="122">
        <f t="shared" si="2"/>
        <v>7.2635106800000022</v>
      </c>
      <c r="P23" s="99">
        <f t="shared" si="3"/>
        <v>25.42228738</v>
      </c>
    </row>
    <row r="24" spans="1:16">
      <c r="A24" s="91">
        <v>22</v>
      </c>
      <c r="B24" s="127" t="s">
        <v>223</v>
      </c>
      <c r="C24" s="91" t="s">
        <v>203</v>
      </c>
      <c r="D24" s="113">
        <f>'[1]FEVEREIRO 2026'!D24</f>
        <v>1003111654296</v>
      </c>
      <c r="E24" s="31">
        <v>6285200</v>
      </c>
      <c r="F24" s="98">
        <v>500.9</v>
      </c>
      <c r="G24" s="99">
        <f t="shared" si="5"/>
        <v>36.966419999999999</v>
      </c>
      <c r="H24" s="98">
        <v>132.31</v>
      </c>
      <c r="I24" s="99">
        <f t="shared" si="6"/>
        <v>331.62358</v>
      </c>
      <c r="J24" s="121" t="s">
        <v>196</v>
      </c>
      <c r="K24" s="98" t="s">
        <v>197</v>
      </c>
      <c r="L24" s="99">
        <f t="shared" si="4"/>
        <v>49.743536999999996</v>
      </c>
      <c r="M24" s="99">
        <f t="shared" si="0"/>
        <v>13.264943200000001</v>
      </c>
      <c r="N24" s="122">
        <f t="shared" si="1"/>
        <v>6.6324716000000006</v>
      </c>
      <c r="O24" s="122">
        <f t="shared" si="2"/>
        <v>6.6324716000000006</v>
      </c>
      <c r="P24" s="99">
        <f t="shared" si="3"/>
        <v>23.213650599999994</v>
      </c>
    </row>
    <row r="25" spans="1:16">
      <c r="A25" s="91">
        <v>23</v>
      </c>
      <c r="B25" s="123" t="s">
        <v>224</v>
      </c>
      <c r="C25" s="104" t="s">
        <v>205</v>
      </c>
      <c r="D25" s="116">
        <f>'[1]FEVEREIRO 2026'!D25</f>
        <v>100311111742619</v>
      </c>
      <c r="E25" s="132" t="s">
        <v>225</v>
      </c>
      <c r="F25" s="103">
        <v>538.30999999999995</v>
      </c>
      <c r="G25" s="97">
        <f t="shared" si="5"/>
        <v>39.727277999999998</v>
      </c>
      <c r="H25" s="103">
        <v>142.19999999999999</v>
      </c>
      <c r="I25" s="99">
        <f t="shared" si="6"/>
        <v>356.38272199999994</v>
      </c>
      <c r="J25" s="118" t="s">
        <v>196</v>
      </c>
      <c r="K25" s="103" t="s">
        <v>20</v>
      </c>
      <c r="L25" s="99">
        <f t="shared" si="4"/>
        <v>53.45740829999999</v>
      </c>
      <c r="M25" s="99">
        <f t="shared" si="0"/>
        <v>14.255308879999998</v>
      </c>
      <c r="N25" s="100">
        <f t="shared" si="1"/>
        <v>7.1276544399999988</v>
      </c>
      <c r="O25" s="100">
        <f t="shared" si="2"/>
        <v>7.1276544399999988</v>
      </c>
      <c r="P25" s="97">
        <f t="shared" si="3"/>
        <v>24.946790539999995</v>
      </c>
    </row>
    <row r="26" spans="1:16">
      <c r="A26" s="91">
        <v>24</v>
      </c>
      <c r="B26" s="115" t="s">
        <v>226</v>
      </c>
      <c r="C26" s="133" t="s">
        <v>205</v>
      </c>
      <c r="D26" s="109">
        <f>'[1]FEVEREIRO 2026'!D26</f>
        <v>1003111655552</v>
      </c>
      <c r="E26" s="134" t="s">
        <v>227</v>
      </c>
      <c r="F26" s="103">
        <v>492.25</v>
      </c>
      <c r="G26" s="97">
        <f t="shared" si="5"/>
        <v>36.328050000000005</v>
      </c>
      <c r="H26" s="103">
        <v>164.09</v>
      </c>
      <c r="I26" s="99">
        <f t="shared" si="6"/>
        <v>291.83195000000001</v>
      </c>
      <c r="J26" s="133" t="s">
        <v>196</v>
      </c>
      <c r="K26" s="133" t="s">
        <v>20</v>
      </c>
      <c r="L26" s="99">
        <f t="shared" si="4"/>
        <v>43.774792499999997</v>
      </c>
      <c r="M26" s="99">
        <f t="shared" si="0"/>
        <v>11.673278</v>
      </c>
      <c r="N26" s="100">
        <f t="shared" si="1"/>
        <v>5.8366389999999999</v>
      </c>
      <c r="O26" s="100">
        <f t="shared" si="2"/>
        <v>5.8366389999999999</v>
      </c>
      <c r="P26" s="97">
        <f t="shared" si="3"/>
        <v>20.428236499999997</v>
      </c>
    </row>
    <row r="27" spans="1:16">
      <c r="A27" s="91">
        <v>25</v>
      </c>
      <c r="B27" s="92" t="s">
        <v>228</v>
      </c>
      <c r="C27" s="104" t="s">
        <v>203</v>
      </c>
      <c r="D27" s="135">
        <f>'[1]FEVEREIRO 2026'!D27</f>
        <v>1003111690749</v>
      </c>
      <c r="E27" s="132" t="s">
        <v>229</v>
      </c>
      <c r="F27" s="103">
        <v>497.52</v>
      </c>
      <c r="G27" s="97">
        <f t="shared" si="5"/>
        <v>36.716976000000003</v>
      </c>
      <c r="H27" s="103">
        <v>53.46</v>
      </c>
      <c r="I27" s="99">
        <f t="shared" si="6"/>
        <v>407.34302400000001</v>
      </c>
      <c r="J27" s="118" t="s">
        <v>196</v>
      </c>
      <c r="K27" s="103" t="s">
        <v>20</v>
      </c>
      <c r="L27" s="99">
        <f t="shared" si="4"/>
        <v>61.101453599999999</v>
      </c>
      <c r="M27" s="99">
        <f t="shared" si="0"/>
        <v>16.293720960000002</v>
      </c>
      <c r="N27" s="100">
        <f t="shared" si="1"/>
        <v>8.1468604800000008</v>
      </c>
      <c r="O27" s="100">
        <f t="shared" si="2"/>
        <v>8.1468604800000008</v>
      </c>
      <c r="P27" s="97">
        <f t="shared" si="3"/>
        <v>28.514011679999996</v>
      </c>
    </row>
    <row r="28" spans="1:16">
      <c r="A28" s="91">
        <v>26</v>
      </c>
      <c r="B28" s="92" t="s">
        <v>230</v>
      </c>
      <c r="C28" s="104" t="s">
        <v>73</v>
      </c>
      <c r="D28" s="116">
        <f>'[1]FEVEREIRO 2026'!D28</f>
        <v>1003111662099</v>
      </c>
      <c r="E28" s="25">
        <v>6302045</v>
      </c>
      <c r="F28" s="103">
        <v>698.16</v>
      </c>
      <c r="G28" s="97">
        <f t="shared" si="5"/>
        <v>51.524208000000002</v>
      </c>
      <c r="H28" s="103">
        <v>0</v>
      </c>
      <c r="I28" s="99">
        <f t="shared" si="6"/>
        <v>646.63579199999992</v>
      </c>
      <c r="J28" s="118" t="s">
        <v>196</v>
      </c>
      <c r="K28" s="103" t="s">
        <v>31</v>
      </c>
      <c r="L28" s="99">
        <f t="shared" si="4"/>
        <v>96.99536879999998</v>
      </c>
      <c r="M28" s="99">
        <f t="shared" si="0"/>
        <v>25.865431679999997</v>
      </c>
      <c r="N28" s="100">
        <f t="shared" si="1"/>
        <v>12.932715839999998</v>
      </c>
      <c r="O28" s="100">
        <f t="shared" si="2"/>
        <v>12.932715839999998</v>
      </c>
      <c r="P28" s="97">
        <f t="shared" si="3"/>
        <v>45.264505439999979</v>
      </c>
    </row>
    <row r="29" spans="1:16">
      <c r="A29" s="91">
        <v>27</v>
      </c>
      <c r="B29" s="92" t="s">
        <v>231</v>
      </c>
      <c r="C29" s="104" t="s">
        <v>203</v>
      </c>
      <c r="D29" s="116">
        <f>'[1]FEVEREIRO 2026'!D29</f>
        <v>1003111682974</v>
      </c>
      <c r="E29" s="132" t="s">
        <v>232</v>
      </c>
      <c r="F29" s="103">
        <v>440.89</v>
      </c>
      <c r="G29" s="97">
        <f t="shared" si="5"/>
        <v>32.537682000000004</v>
      </c>
      <c r="H29" s="103">
        <v>146.97</v>
      </c>
      <c r="I29" s="99">
        <f t="shared" si="6"/>
        <v>261.38231799999994</v>
      </c>
      <c r="J29" s="118" t="s">
        <v>196</v>
      </c>
      <c r="K29" s="103" t="s">
        <v>20</v>
      </c>
      <c r="L29" s="99">
        <f t="shared" si="4"/>
        <v>39.207347699999993</v>
      </c>
      <c r="M29" s="99">
        <f t="shared" si="0"/>
        <v>10.455292719999997</v>
      </c>
      <c r="N29" s="100">
        <f t="shared" si="1"/>
        <v>5.2276463599999987</v>
      </c>
      <c r="O29" s="100">
        <f t="shared" si="2"/>
        <v>5.2276463599999987</v>
      </c>
      <c r="P29" s="97">
        <f t="shared" si="3"/>
        <v>18.296762260000001</v>
      </c>
    </row>
    <row r="30" spans="1:16">
      <c r="A30" s="91">
        <v>28</v>
      </c>
      <c r="B30" s="92" t="s">
        <v>233</v>
      </c>
      <c r="C30" s="104" t="s">
        <v>195</v>
      </c>
      <c r="D30" s="116">
        <f>'[1]FEVEREIRO 2026'!D30</f>
        <v>10031111658520</v>
      </c>
      <c r="E30" s="25">
        <v>6251220</v>
      </c>
      <c r="F30" s="103">
        <v>648.9</v>
      </c>
      <c r="G30" s="97">
        <f t="shared" si="5"/>
        <v>47.888820000000003</v>
      </c>
      <c r="H30" s="103">
        <v>0</v>
      </c>
      <c r="I30" s="99">
        <f t="shared" si="6"/>
        <v>601.01117999999997</v>
      </c>
      <c r="J30" s="118" t="s">
        <v>196</v>
      </c>
      <c r="K30" s="103" t="s">
        <v>20</v>
      </c>
      <c r="L30" s="99">
        <f t="shared" si="4"/>
        <v>90.151676999999992</v>
      </c>
      <c r="M30" s="99">
        <f t="shared" si="0"/>
        <v>24.040447199999999</v>
      </c>
      <c r="N30" s="100">
        <f t="shared" si="1"/>
        <v>12.0202236</v>
      </c>
      <c r="O30" s="100">
        <f t="shared" si="2"/>
        <v>12.0202236</v>
      </c>
      <c r="P30" s="97">
        <f t="shared" si="3"/>
        <v>42.070782599999987</v>
      </c>
    </row>
    <row r="31" spans="1:16">
      <c r="A31" s="91">
        <v>29</v>
      </c>
      <c r="B31" s="92" t="s">
        <v>234</v>
      </c>
      <c r="C31" s="104" t="s">
        <v>199</v>
      </c>
      <c r="D31" s="116">
        <f>'[1]FEVEREIRO 2026'!D31</f>
        <v>100311111658374</v>
      </c>
      <c r="E31" s="25">
        <v>6299618</v>
      </c>
      <c r="F31" s="103">
        <v>761.86</v>
      </c>
      <c r="G31" s="97">
        <f t="shared" si="5"/>
        <v>56.225268000000007</v>
      </c>
      <c r="H31" s="103">
        <v>253.96</v>
      </c>
      <c r="I31" s="99">
        <f t="shared" si="6"/>
        <v>451.67473199999995</v>
      </c>
      <c r="J31" s="118" t="s">
        <v>196</v>
      </c>
      <c r="K31" s="103" t="s">
        <v>20</v>
      </c>
      <c r="L31" s="99">
        <f t="shared" si="4"/>
        <v>67.751209799999984</v>
      </c>
      <c r="M31" s="99">
        <f t="shared" si="0"/>
        <v>18.066989279999998</v>
      </c>
      <c r="N31" s="100">
        <f t="shared" si="1"/>
        <v>9.0334946399999989</v>
      </c>
      <c r="O31" s="100">
        <f t="shared" si="2"/>
        <v>9.0334946399999989</v>
      </c>
      <c r="P31" s="97">
        <f t="shared" si="3"/>
        <v>31.617231239999981</v>
      </c>
    </row>
    <row r="32" spans="1:16">
      <c r="A32" s="91">
        <v>30</v>
      </c>
      <c r="B32" s="92" t="s">
        <v>235</v>
      </c>
      <c r="C32" s="104" t="s">
        <v>205</v>
      </c>
      <c r="D32" s="116">
        <f>'[1]FEVEREIRO 2026'!D32</f>
        <v>1003111662413</v>
      </c>
      <c r="E32" s="35">
        <v>6296098</v>
      </c>
      <c r="F32" s="103">
        <v>487.43</v>
      </c>
      <c r="G32" s="97">
        <f t="shared" si="5"/>
        <v>35.972334000000004</v>
      </c>
      <c r="H32" s="103">
        <v>60.12</v>
      </c>
      <c r="I32" s="99">
        <f t="shared" si="6"/>
        <v>391.33766600000001</v>
      </c>
      <c r="J32" s="118" t="s">
        <v>196</v>
      </c>
      <c r="K32" s="103" t="s">
        <v>31</v>
      </c>
      <c r="L32" s="99">
        <f t="shared" si="4"/>
        <v>58.700649900000002</v>
      </c>
      <c r="M32" s="99">
        <f t="shared" si="0"/>
        <v>15.653506640000002</v>
      </c>
      <c r="N32" s="100">
        <f t="shared" si="1"/>
        <v>7.8267533200000008</v>
      </c>
      <c r="O32" s="100">
        <f t="shared" si="2"/>
        <v>7.8267533200000008</v>
      </c>
      <c r="P32" s="97">
        <f t="shared" si="3"/>
        <v>27.393636619999995</v>
      </c>
    </row>
    <row r="33" spans="1:16">
      <c r="A33" s="91">
        <v>31</v>
      </c>
      <c r="B33" s="92" t="s">
        <v>236</v>
      </c>
      <c r="C33" s="104" t="s">
        <v>73</v>
      </c>
      <c r="D33" s="116">
        <f>'[1]FEVEREIRO 2026'!D33</f>
        <v>37747867</v>
      </c>
      <c r="E33" s="35">
        <v>6304925</v>
      </c>
      <c r="F33" s="103">
        <v>717.97</v>
      </c>
      <c r="G33" s="97">
        <f t="shared" si="5"/>
        <v>52.986186000000004</v>
      </c>
      <c r="H33" s="103">
        <v>71.739999999999995</v>
      </c>
      <c r="I33" s="99">
        <f t="shared" si="6"/>
        <v>593.24381400000004</v>
      </c>
      <c r="J33" s="118" t="s">
        <v>192</v>
      </c>
      <c r="K33" s="103" t="s">
        <v>237</v>
      </c>
      <c r="L33" s="99">
        <f t="shared" si="4"/>
        <v>88.986572100000004</v>
      </c>
      <c r="M33" s="99">
        <f t="shared" si="0"/>
        <v>23.729752560000001</v>
      </c>
      <c r="N33" s="100">
        <f t="shared" si="1"/>
        <v>11.864876280000001</v>
      </c>
      <c r="O33" s="100">
        <f t="shared" si="2"/>
        <v>11.864876280000001</v>
      </c>
      <c r="P33" s="97">
        <f t="shared" si="3"/>
        <v>41.527066980000001</v>
      </c>
    </row>
    <row r="34" spans="1:16">
      <c r="A34" s="91">
        <v>32</v>
      </c>
      <c r="B34" s="92" t="s">
        <v>238</v>
      </c>
      <c r="C34" s="104" t="s">
        <v>73</v>
      </c>
      <c r="D34" s="136">
        <f>'[1]FEVEREIRO 2026'!D34</f>
        <v>1003111667513</v>
      </c>
      <c r="E34" s="35">
        <v>6299695</v>
      </c>
      <c r="F34" s="103">
        <v>664.99</v>
      </c>
      <c r="G34" s="97">
        <f t="shared" si="5"/>
        <v>49.076262000000007</v>
      </c>
      <c r="H34" s="103">
        <v>71.459999999999994</v>
      </c>
      <c r="I34" s="99">
        <f t="shared" si="6"/>
        <v>544.45373799999993</v>
      </c>
      <c r="J34" s="118" t="s">
        <v>196</v>
      </c>
      <c r="K34" s="103" t="s">
        <v>20</v>
      </c>
      <c r="L34" s="99">
        <f t="shared" si="4"/>
        <v>81.668060699999984</v>
      </c>
      <c r="M34" s="99">
        <f t="shared" si="0"/>
        <v>21.778149519999996</v>
      </c>
      <c r="N34" s="100">
        <f t="shared" si="1"/>
        <v>10.889074759999998</v>
      </c>
      <c r="O34" s="100">
        <f t="shared" si="2"/>
        <v>10.889074759999998</v>
      </c>
      <c r="P34" s="97">
        <f t="shared" si="3"/>
        <v>38.111761659999985</v>
      </c>
    </row>
    <row r="35" spans="1:16">
      <c r="A35" s="91">
        <v>33</v>
      </c>
      <c r="B35" s="92" t="s">
        <v>239</v>
      </c>
      <c r="C35" s="104" t="s">
        <v>73</v>
      </c>
      <c r="D35" s="136">
        <f>'[1]FEVEREIRO 2026'!D35</f>
        <v>1003111670090</v>
      </c>
      <c r="E35" s="35">
        <v>6269113</v>
      </c>
      <c r="F35" s="103">
        <v>839.44</v>
      </c>
      <c r="G35" s="97">
        <f t="shared" si="5"/>
        <v>61.950672000000004</v>
      </c>
      <c r="H35" s="103">
        <v>90.2</v>
      </c>
      <c r="I35" s="99">
        <f t="shared" si="6"/>
        <v>687.28932799999995</v>
      </c>
      <c r="J35" s="118" t="s">
        <v>196</v>
      </c>
      <c r="K35" s="103" t="s">
        <v>42</v>
      </c>
      <c r="L35" s="99">
        <f t="shared" si="4"/>
        <v>103.09339919999999</v>
      </c>
      <c r="M35" s="99">
        <f t="shared" si="0"/>
        <v>27.491573119999998</v>
      </c>
      <c r="N35" s="100">
        <f t="shared" si="1"/>
        <v>13.745786559999999</v>
      </c>
      <c r="O35" s="100">
        <f t="shared" si="2"/>
        <v>13.745786559999999</v>
      </c>
      <c r="P35" s="97">
        <f t="shared" si="3"/>
        <v>48.110252959999997</v>
      </c>
    </row>
    <row r="36" spans="1:16">
      <c r="A36" s="91">
        <v>34</v>
      </c>
      <c r="B36" s="92" t="s">
        <v>240</v>
      </c>
      <c r="C36" s="104" t="s">
        <v>203</v>
      </c>
      <c r="D36" s="116">
        <f>'[1]FEVEREIRO 2026'!D36</f>
        <v>1003111667651</v>
      </c>
      <c r="E36" s="35">
        <v>6282050</v>
      </c>
      <c r="F36" s="103">
        <v>562.02</v>
      </c>
      <c r="G36" s="97">
        <f t="shared" si="5"/>
        <v>41.477076000000004</v>
      </c>
      <c r="H36" s="103">
        <v>69.319999999999993</v>
      </c>
      <c r="I36" s="99">
        <f t="shared" si="6"/>
        <v>451.22292399999998</v>
      </c>
      <c r="J36" s="118" t="s">
        <v>196</v>
      </c>
      <c r="K36" s="103" t="s">
        <v>148</v>
      </c>
      <c r="L36" s="99">
        <f t="shared" si="4"/>
        <v>67.683438599999988</v>
      </c>
      <c r="M36" s="99">
        <f t="shared" si="0"/>
        <v>18.04891696</v>
      </c>
      <c r="N36" s="100">
        <f t="shared" si="1"/>
        <v>9.0244584799999998</v>
      </c>
      <c r="O36" s="100">
        <f t="shared" si="2"/>
        <v>9.0244584799999998</v>
      </c>
      <c r="P36" s="97">
        <f t="shared" si="3"/>
        <v>31.585604679999989</v>
      </c>
    </row>
    <row r="37" spans="1:16">
      <c r="A37" s="91">
        <v>35</v>
      </c>
      <c r="B37" s="92" t="s">
        <v>241</v>
      </c>
      <c r="C37" s="104" t="s">
        <v>203</v>
      </c>
      <c r="D37" s="136">
        <f>'[1]FEVEREIRO 2026'!D37</f>
        <v>1003111667787</v>
      </c>
      <c r="E37" s="35">
        <v>6282264</v>
      </c>
      <c r="F37" s="103">
        <v>486.82</v>
      </c>
      <c r="G37" s="97">
        <f t="shared" si="5"/>
        <v>35.927316000000005</v>
      </c>
      <c r="H37" s="103">
        <v>128.59</v>
      </c>
      <c r="I37" s="99">
        <f t="shared" si="6"/>
        <v>322.302684</v>
      </c>
      <c r="J37" s="118" t="s">
        <v>196</v>
      </c>
      <c r="K37" s="103" t="s">
        <v>20</v>
      </c>
      <c r="L37" s="99">
        <f t="shared" si="4"/>
        <v>48.3454026</v>
      </c>
      <c r="M37" s="99">
        <f t="shared" si="0"/>
        <v>12.892107360000001</v>
      </c>
      <c r="N37" s="100">
        <f t="shared" si="1"/>
        <v>6.4460536800000003</v>
      </c>
      <c r="O37" s="100">
        <f t="shared" si="2"/>
        <v>6.4460536800000003</v>
      </c>
      <c r="P37" s="97">
        <f t="shared" si="3"/>
        <v>22.561187880000006</v>
      </c>
    </row>
    <row r="38" spans="1:16">
      <c r="A38" s="91">
        <v>36</v>
      </c>
      <c r="B38" s="92" t="s">
        <v>242</v>
      </c>
      <c r="C38" s="104" t="s">
        <v>203</v>
      </c>
      <c r="D38" s="116">
        <f>'[1]FEVEREIRO 2026'!D38</f>
        <v>1003111667871</v>
      </c>
      <c r="E38" s="35">
        <v>6281950</v>
      </c>
      <c r="F38" s="103">
        <v>519.67999999999995</v>
      </c>
      <c r="G38" s="97">
        <f t="shared" si="5"/>
        <v>38.352384000000001</v>
      </c>
      <c r="H38" s="103">
        <v>137.27000000000001</v>
      </c>
      <c r="I38" s="99">
        <f t="shared" si="6"/>
        <v>344.05761599999994</v>
      </c>
      <c r="J38" s="118" t="s">
        <v>196</v>
      </c>
      <c r="K38" s="103" t="s">
        <v>200</v>
      </c>
      <c r="L38" s="99">
        <f t="shared" si="4"/>
        <v>51.608642399999987</v>
      </c>
      <c r="M38" s="99">
        <f t="shared" si="0"/>
        <v>13.762304639999998</v>
      </c>
      <c r="N38" s="100">
        <f t="shared" si="1"/>
        <v>6.8811523199999991</v>
      </c>
      <c r="O38" s="100">
        <f t="shared" si="2"/>
        <v>6.8811523199999991</v>
      </c>
      <c r="P38" s="97">
        <f t="shared" si="3"/>
        <v>24.084033119999994</v>
      </c>
    </row>
    <row r="39" spans="1:16">
      <c r="A39" s="91">
        <v>37</v>
      </c>
      <c r="B39" s="92" t="s">
        <v>243</v>
      </c>
      <c r="C39" s="104" t="s">
        <v>203</v>
      </c>
      <c r="D39" s="116">
        <f>'[1]FEVEREIRO 2026'!D39</f>
        <v>1003111668106</v>
      </c>
      <c r="E39" s="35">
        <v>6282174</v>
      </c>
      <c r="F39" s="103">
        <v>547.28</v>
      </c>
      <c r="G39" s="97">
        <f t="shared" si="5"/>
        <v>40.389263999999997</v>
      </c>
      <c r="H39" s="103">
        <v>67.5</v>
      </c>
      <c r="I39" s="99">
        <f t="shared" si="6"/>
        <v>439.39073599999995</v>
      </c>
      <c r="J39" s="118" t="s">
        <v>196</v>
      </c>
      <c r="K39" s="103" t="s">
        <v>244</v>
      </c>
      <c r="L39" s="99">
        <f t="shared" si="4"/>
        <v>65.908610399999986</v>
      </c>
      <c r="M39" s="99">
        <f t="shared" si="0"/>
        <v>17.575629439999997</v>
      </c>
      <c r="N39" s="100">
        <f t="shared" si="1"/>
        <v>8.7878147199999983</v>
      </c>
      <c r="O39" s="100">
        <f t="shared" si="2"/>
        <v>8.7878147199999983</v>
      </c>
      <c r="P39" s="97">
        <f t="shared" si="3"/>
        <v>30.757351519999986</v>
      </c>
    </row>
    <row r="40" spans="1:16">
      <c r="A40" s="91">
        <v>38</v>
      </c>
      <c r="B40" s="92" t="s">
        <v>245</v>
      </c>
      <c r="C40" s="104" t="s">
        <v>203</v>
      </c>
      <c r="D40" s="116">
        <f>'[1]FEVEREIRO 2026'!D40</f>
        <v>1003111668021</v>
      </c>
      <c r="E40" s="35">
        <v>6282111</v>
      </c>
      <c r="F40" s="103">
        <v>484.86</v>
      </c>
      <c r="G40" s="97">
        <f t="shared" si="5"/>
        <v>35.782668000000001</v>
      </c>
      <c r="H40" s="103">
        <v>128.08000000000001</v>
      </c>
      <c r="I40" s="99">
        <f t="shared" si="6"/>
        <v>320.99733200000003</v>
      </c>
      <c r="J40" s="118" t="s">
        <v>196</v>
      </c>
      <c r="K40" s="103" t="s">
        <v>200</v>
      </c>
      <c r="L40" s="99">
        <f t="shared" si="4"/>
        <v>48.149599800000004</v>
      </c>
      <c r="M40" s="99">
        <f t="shared" si="0"/>
        <v>12.839893280000002</v>
      </c>
      <c r="N40" s="100">
        <f t="shared" si="1"/>
        <v>6.4199466400000009</v>
      </c>
      <c r="O40" s="100">
        <f t="shared" si="2"/>
        <v>6.4199466400000009</v>
      </c>
      <c r="P40" s="97">
        <f t="shared" si="3"/>
        <v>22.469813240000008</v>
      </c>
    </row>
    <row r="41" spans="1:16">
      <c r="A41" s="91">
        <v>39</v>
      </c>
      <c r="B41" s="92" t="s">
        <v>246</v>
      </c>
      <c r="C41" s="104" t="s">
        <v>203</v>
      </c>
      <c r="D41" s="116">
        <f>'[1]FEVEREIRO 2026'!D41</f>
        <v>1003111668245</v>
      </c>
      <c r="E41" s="35">
        <v>6282546</v>
      </c>
      <c r="F41" s="103">
        <v>513.9</v>
      </c>
      <c r="G41" s="97">
        <f t="shared" si="5"/>
        <v>37.925820000000002</v>
      </c>
      <c r="H41" s="103">
        <v>135.75</v>
      </c>
      <c r="I41" s="99">
        <f>F41-G41-H41</f>
        <v>340.22417999999999</v>
      </c>
      <c r="J41" s="118" t="s">
        <v>196</v>
      </c>
      <c r="K41" s="103" t="s">
        <v>197</v>
      </c>
      <c r="L41" s="99">
        <f t="shared" si="4"/>
        <v>51.033626999999996</v>
      </c>
      <c r="M41" s="99">
        <f t="shared" si="0"/>
        <v>13.6089672</v>
      </c>
      <c r="N41" s="100">
        <f t="shared" si="1"/>
        <v>6.8044836000000002</v>
      </c>
      <c r="O41" s="100">
        <f t="shared" si="2"/>
        <v>6.8044836000000002</v>
      </c>
      <c r="P41" s="97">
        <f t="shared" si="3"/>
        <v>23.815692599999991</v>
      </c>
    </row>
    <row r="42" spans="1:16">
      <c r="A42" s="91">
        <v>40</v>
      </c>
      <c r="B42" s="92" t="s">
        <v>247</v>
      </c>
      <c r="C42" s="104" t="s">
        <v>203</v>
      </c>
      <c r="D42" s="116">
        <f>'[1]FEVEREIRO 2026'!D42</f>
        <v>1003111668372</v>
      </c>
      <c r="E42" s="35">
        <v>6282615</v>
      </c>
      <c r="F42" s="103">
        <v>504.64</v>
      </c>
      <c r="G42" s="97">
        <f t="shared" si="5"/>
        <v>37.242432000000001</v>
      </c>
      <c r="H42" s="103">
        <v>133.30000000000001</v>
      </c>
      <c r="I42" s="99">
        <f>F42-G42-H42</f>
        <v>334.09756799999997</v>
      </c>
      <c r="J42" s="118" t="s">
        <v>196</v>
      </c>
      <c r="K42" s="103" t="s">
        <v>248</v>
      </c>
      <c r="L42" s="99">
        <f t="shared" si="4"/>
        <v>50.114635199999995</v>
      </c>
      <c r="M42" s="99">
        <f t="shared" si="0"/>
        <v>13.363902719999999</v>
      </c>
      <c r="N42" s="100">
        <f t="shared" si="1"/>
        <v>6.6819513599999993</v>
      </c>
      <c r="O42" s="100">
        <f t="shared" si="2"/>
        <v>6.6819513599999993</v>
      </c>
      <c r="P42" s="97">
        <f t="shared" si="3"/>
        <v>23.386829759999998</v>
      </c>
    </row>
    <row r="43" spans="1:16">
      <c r="A43" s="91">
        <v>41</v>
      </c>
      <c r="B43" s="92" t="s">
        <v>249</v>
      </c>
      <c r="C43" s="104" t="s">
        <v>203</v>
      </c>
      <c r="D43" s="116">
        <f>'[1]FEVEREIRO 2026'!D43</f>
        <v>1003111668428</v>
      </c>
      <c r="E43" s="35">
        <v>6284656</v>
      </c>
      <c r="F43" s="103">
        <v>603.04999999999995</v>
      </c>
      <c r="G43" s="97">
        <f t="shared" si="5"/>
        <v>44.505090000000003</v>
      </c>
      <c r="H43" s="103">
        <v>64.8</v>
      </c>
      <c r="I43" s="99">
        <f t="shared" si="6"/>
        <v>493.74490999999995</v>
      </c>
      <c r="J43" s="118" t="s">
        <v>196</v>
      </c>
      <c r="K43" s="103" t="s">
        <v>250</v>
      </c>
      <c r="L43" s="99">
        <f t="shared" si="4"/>
        <v>74.061736499999995</v>
      </c>
      <c r="M43" s="99">
        <f t="shared" si="0"/>
        <v>19.749796399999997</v>
      </c>
      <c r="N43" s="100">
        <f t="shared" si="1"/>
        <v>9.8748981999999987</v>
      </c>
      <c r="O43" s="100">
        <f t="shared" si="2"/>
        <v>9.8748981999999987</v>
      </c>
      <c r="P43" s="97">
        <f t="shared" si="3"/>
        <v>34.562143700000007</v>
      </c>
    </row>
    <row r="44" spans="1:16">
      <c r="A44" s="91">
        <v>42</v>
      </c>
      <c r="B44" s="92" t="s">
        <v>251</v>
      </c>
      <c r="C44" s="104" t="s">
        <v>195</v>
      </c>
      <c r="D44" s="116">
        <f>'[1]FEVEREIRO 2026'!D44</f>
        <v>1003111668562</v>
      </c>
      <c r="E44" s="35">
        <v>6250192</v>
      </c>
      <c r="F44" s="103">
        <v>680.1</v>
      </c>
      <c r="G44" s="97">
        <f t="shared" si="5"/>
        <v>50.191380000000002</v>
      </c>
      <c r="H44" s="103">
        <v>0</v>
      </c>
      <c r="I44" s="99">
        <f t="shared" si="6"/>
        <v>629.90862000000004</v>
      </c>
      <c r="J44" s="118" t="s">
        <v>196</v>
      </c>
      <c r="K44" s="103" t="s">
        <v>252</v>
      </c>
      <c r="L44" s="99">
        <f t="shared" si="4"/>
        <v>94.486293000000003</v>
      </c>
      <c r="M44" s="99">
        <f t="shared" si="0"/>
        <v>25.196344800000002</v>
      </c>
      <c r="N44" s="100">
        <f t="shared" si="1"/>
        <v>12.598172400000001</v>
      </c>
      <c r="O44" s="100">
        <f t="shared" si="2"/>
        <v>12.598172400000001</v>
      </c>
      <c r="P44" s="97">
        <f t="shared" si="3"/>
        <v>44.093603399999992</v>
      </c>
    </row>
    <row r="45" spans="1:16">
      <c r="A45" s="91">
        <v>43</v>
      </c>
      <c r="B45" s="92" t="s">
        <v>253</v>
      </c>
      <c r="C45" s="104" t="s">
        <v>195</v>
      </c>
      <c r="D45" s="116">
        <f>'[1]FEVEREIRO 2026'!D45</f>
        <v>1003111668682</v>
      </c>
      <c r="E45" s="35">
        <v>6250089</v>
      </c>
      <c r="F45" s="103">
        <v>809.44</v>
      </c>
      <c r="G45" s="97">
        <f t="shared" si="5"/>
        <v>59.736672000000006</v>
      </c>
      <c r="H45" s="103">
        <v>0</v>
      </c>
      <c r="I45" s="99">
        <f t="shared" si="6"/>
        <v>749.70332800000006</v>
      </c>
      <c r="J45" s="118" t="s">
        <v>196</v>
      </c>
      <c r="K45" s="103" t="s">
        <v>99</v>
      </c>
      <c r="L45" s="99">
        <f t="shared" si="4"/>
        <v>112.45549920000001</v>
      </c>
      <c r="M45" s="99">
        <f t="shared" si="0"/>
        <v>29.988133120000004</v>
      </c>
      <c r="N45" s="100">
        <f t="shared" si="1"/>
        <v>14.994066560000002</v>
      </c>
      <c r="O45" s="100">
        <f t="shared" si="2"/>
        <v>14.994066560000002</v>
      </c>
      <c r="P45" s="97">
        <f t="shared" si="3"/>
        <v>52.479232959999997</v>
      </c>
    </row>
    <row r="46" spans="1:16">
      <c r="A46" s="91">
        <v>44</v>
      </c>
      <c r="B46" s="92" t="s">
        <v>254</v>
      </c>
      <c r="C46" s="104" t="s">
        <v>73</v>
      </c>
      <c r="D46" s="137">
        <f>'[1]FEVEREIRO 2026'!D46</f>
        <v>1003111668773</v>
      </c>
      <c r="E46" s="35">
        <v>6254782</v>
      </c>
      <c r="F46" s="103">
        <v>981.58</v>
      </c>
      <c r="G46" s="97">
        <f t="shared" si="5"/>
        <v>72.440604000000008</v>
      </c>
      <c r="H46" s="103">
        <v>0</v>
      </c>
      <c r="I46" s="99">
        <f t="shared" si="6"/>
        <v>909.13939600000003</v>
      </c>
      <c r="J46" s="118" t="s">
        <v>196</v>
      </c>
      <c r="K46" s="103" t="s">
        <v>31</v>
      </c>
      <c r="L46" s="99">
        <f t="shared" si="4"/>
        <v>136.37090939999999</v>
      </c>
      <c r="M46" s="99">
        <f t="shared" si="0"/>
        <v>36.365575840000005</v>
      </c>
      <c r="N46" s="100">
        <f t="shared" si="1"/>
        <v>18.182787920000003</v>
      </c>
      <c r="O46" s="100">
        <f t="shared" si="2"/>
        <v>18.182787920000003</v>
      </c>
      <c r="P46" s="97">
        <f t="shared" si="3"/>
        <v>63.639757719999984</v>
      </c>
    </row>
    <row r="47" spans="1:16">
      <c r="A47" s="91">
        <v>45</v>
      </c>
      <c r="B47" s="92" t="s">
        <v>255</v>
      </c>
      <c r="C47" s="104" t="s">
        <v>73</v>
      </c>
      <c r="D47" s="116">
        <f>'[1]FEVEREIRO 2026'!D47</f>
        <v>1003111668868</v>
      </c>
      <c r="E47" s="35">
        <v>6254700</v>
      </c>
      <c r="F47" s="103">
        <v>834.84</v>
      </c>
      <c r="G47" s="97">
        <f t="shared" si="5"/>
        <v>61.611192000000003</v>
      </c>
      <c r="H47" s="103">
        <v>0</v>
      </c>
      <c r="I47" s="99">
        <f t="shared" si="6"/>
        <v>773.22880800000007</v>
      </c>
      <c r="J47" s="118" t="s">
        <v>196</v>
      </c>
      <c r="K47" s="103" t="s">
        <v>51</v>
      </c>
      <c r="L47" s="99">
        <f t="shared" si="4"/>
        <v>115.98432120000001</v>
      </c>
      <c r="M47" s="99">
        <f t="shared" si="0"/>
        <v>30.929152320000004</v>
      </c>
      <c r="N47" s="100">
        <f t="shared" si="1"/>
        <v>15.464576160000002</v>
      </c>
      <c r="O47" s="100">
        <f t="shared" si="2"/>
        <v>15.464576160000002</v>
      </c>
      <c r="P47" s="97">
        <f t="shared" si="3"/>
        <v>54.126016560000004</v>
      </c>
    </row>
    <row r="48" spans="1:16">
      <c r="A48" s="91">
        <v>46</v>
      </c>
      <c r="B48" s="92" t="s">
        <v>256</v>
      </c>
      <c r="C48" s="104" t="s">
        <v>73</v>
      </c>
      <c r="D48" s="116">
        <f>'[1]FEVEREIRO 2026'!D48</f>
        <v>1003111671164</v>
      </c>
      <c r="E48" s="35">
        <v>6306737</v>
      </c>
      <c r="F48" s="103">
        <v>935.17</v>
      </c>
      <c r="G48" s="97">
        <f t="shared" si="5"/>
        <v>69.015546000000001</v>
      </c>
      <c r="H48" s="103">
        <v>115.34</v>
      </c>
      <c r="I48" s="99">
        <f t="shared" si="6"/>
        <v>750.81445399999996</v>
      </c>
      <c r="J48" s="118" t="s">
        <v>196</v>
      </c>
      <c r="K48" s="103" t="s">
        <v>125</v>
      </c>
      <c r="L48" s="99">
        <f t="shared" si="4"/>
        <v>112.6221681</v>
      </c>
      <c r="M48" s="99">
        <f t="shared" si="0"/>
        <v>30.03257816</v>
      </c>
      <c r="N48" s="100">
        <f t="shared" si="1"/>
        <v>15.01628908</v>
      </c>
      <c r="O48" s="100">
        <f t="shared" si="2"/>
        <v>15.01628908</v>
      </c>
      <c r="P48" s="97">
        <f t="shared" si="3"/>
        <v>52.557011779999989</v>
      </c>
    </row>
    <row r="49" spans="1:16">
      <c r="A49" s="91">
        <v>47</v>
      </c>
      <c r="B49" s="92" t="s">
        <v>257</v>
      </c>
      <c r="C49" s="104" t="s">
        <v>199</v>
      </c>
      <c r="D49" s="116">
        <f>'[1]FEVEREIRO 2026'!D49</f>
        <v>1003111671455</v>
      </c>
      <c r="E49" s="35">
        <v>6307241</v>
      </c>
      <c r="F49" s="103">
        <v>712.09</v>
      </c>
      <c r="G49" s="97">
        <f t="shared" si="5"/>
        <v>52.552242000000007</v>
      </c>
      <c r="H49" s="103">
        <v>76.52</v>
      </c>
      <c r="I49" s="99">
        <f t="shared" si="6"/>
        <v>583.01775800000007</v>
      </c>
      <c r="J49" s="118" t="s">
        <v>196</v>
      </c>
      <c r="K49" s="103" t="s">
        <v>193</v>
      </c>
      <c r="L49" s="99">
        <f t="shared" si="4"/>
        <v>87.452663700000002</v>
      </c>
      <c r="M49" s="99">
        <f t="shared" si="0"/>
        <v>23.320710320000003</v>
      </c>
      <c r="N49" s="100">
        <f t="shared" si="1"/>
        <v>11.660355160000002</v>
      </c>
      <c r="O49" s="100">
        <f t="shared" si="2"/>
        <v>11.660355160000002</v>
      </c>
      <c r="P49" s="97">
        <f t="shared" si="3"/>
        <v>40.811243059999995</v>
      </c>
    </row>
    <row r="50" spans="1:16">
      <c r="A50" s="91">
        <v>48</v>
      </c>
      <c r="B50" s="92" t="s">
        <v>258</v>
      </c>
      <c r="C50" s="104" t="s">
        <v>73</v>
      </c>
      <c r="D50" s="116">
        <f>'[1]FEVEREIRO 2026'!D50</f>
        <v>3774070</v>
      </c>
      <c r="E50" s="35">
        <v>6238824</v>
      </c>
      <c r="F50" s="103">
        <v>396.28</v>
      </c>
      <c r="G50" s="97">
        <f t="shared" si="5"/>
        <v>29.245463999999998</v>
      </c>
      <c r="H50" s="103">
        <v>99.03</v>
      </c>
      <c r="I50" s="99">
        <f t="shared" si="6"/>
        <v>268.00453600000003</v>
      </c>
      <c r="J50" s="118" t="s">
        <v>192</v>
      </c>
      <c r="K50" s="103" t="s">
        <v>78</v>
      </c>
      <c r="L50" s="99">
        <f t="shared" si="4"/>
        <v>40.200680400000003</v>
      </c>
      <c r="M50" s="99">
        <f t="shared" si="0"/>
        <v>10.720181440000001</v>
      </c>
      <c r="N50" s="100">
        <f t="shared" si="1"/>
        <v>5.3600907200000005</v>
      </c>
      <c r="O50" s="100">
        <f t="shared" si="2"/>
        <v>5.3600907200000005</v>
      </c>
      <c r="P50" s="97">
        <f t="shared" si="3"/>
        <v>18.760317520000001</v>
      </c>
    </row>
    <row r="51" spans="1:16">
      <c r="A51" s="91">
        <v>49</v>
      </c>
      <c r="B51" s="171" t="s">
        <v>259</v>
      </c>
      <c r="C51" s="172" t="s">
        <v>73</v>
      </c>
      <c r="D51" s="173" t="str">
        <f>'[1]FEVEREIRO 2026'!D51</f>
        <v>CANCELOU</v>
      </c>
      <c r="E51" s="174" t="s">
        <v>357</v>
      </c>
      <c r="F51" s="175">
        <v>799.8</v>
      </c>
      <c r="G51" s="176">
        <f t="shared" si="5"/>
        <v>59.025240000000004</v>
      </c>
      <c r="H51" s="175">
        <v>0</v>
      </c>
      <c r="I51" s="177">
        <f t="shared" si="6"/>
        <v>740.7747599999999</v>
      </c>
      <c r="J51" s="178" t="s">
        <v>196</v>
      </c>
      <c r="K51" s="175" t="s">
        <v>193</v>
      </c>
      <c r="L51" s="177">
        <f t="shared" si="4"/>
        <v>111.11621399999999</v>
      </c>
      <c r="M51" s="177">
        <f t="shared" si="0"/>
        <v>29.630990399999998</v>
      </c>
      <c r="N51" s="179">
        <f t="shared" si="1"/>
        <v>14.815495199999999</v>
      </c>
      <c r="O51" s="179">
        <f t="shared" si="2"/>
        <v>14.815495199999999</v>
      </c>
      <c r="P51" s="176">
        <f t="shared" si="3"/>
        <v>51.854233199999982</v>
      </c>
    </row>
    <row r="52" spans="1:16">
      <c r="A52" s="91">
        <v>50</v>
      </c>
      <c r="B52" s="92" t="s">
        <v>260</v>
      </c>
      <c r="C52" s="104" t="s">
        <v>203</v>
      </c>
      <c r="D52" s="137">
        <f>'[1]FEVEREIRO 2026'!D52</f>
        <v>37761615</v>
      </c>
      <c r="E52" s="35">
        <v>6315464</v>
      </c>
      <c r="F52" s="103">
        <v>347.3</v>
      </c>
      <c r="G52" s="97">
        <f t="shared" si="5"/>
        <v>25.630740000000003</v>
      </c>
      <c r="H52" s="103">
        <v>45.31</v>
      </c>
      <c r="I52" s="99">
        <f t="shared" si="6"/>
        <v>276.35926000000001</v>
      </c>
      <c r="J52" s="118" t="s">
        <v>196</v>
      </c>
      <c r="K52" s="103" t="s">
        <v>20</v>
      </c>
      <c r="L52" s="99">
        <f t="shared" si="4"/>
        <v>41.453888999999997</v>
      </c>
      <c r="M52" s="99">
        <f t="shared" si="0"/>
        <v>11.0543704</v>
      </c>
      <c r="N52" s="100">
        <f t="shared" si="1"/>
        <v>5.5271851999999999</v>
      </c>
      <c r="O52" s="100">
        <f t="shared" si="2"/>
        <v>5.5271851999999999</v>
      </c>
      <c r="P52" s="97">
        <f t="shared" si="3"/>
        <v>19.345148199999997</v>
      </c>
    </row>
    <row r="53" spans="1:16">
      <c r="A53" s="91">
        <v>51</v>
      </c>
      <c r="B53" s="92" t="s">
        <v>261</v>
      </c>
      <c r="C53" s="104" t="s">
        <v>156</v>
      </c>
      <c r="D53" s="116">
        <f>'[1]FEVEREIRO 2026'!D53</f>
        <v>1003111679435</v>
      </c>
      <c r="E53" s="35">
        <v>6312398</v>
      </c>
      <c r="F53" s="103">
        <v>530.78</v>
      </c>
      <c r="G53" s="97">
        <f t="shared" si="5"/>
        <v>39.171564000000004</v>
      </c>
      <c r="H53" s="103">
        <v>57.03</v>
      </c>
      <c r="I53" s="99">
        <f t="shared" si="6"/>
        <v>434.57843600000001</v>
      </c>
      <c r="J53" s="118" t="s">
        <v>196</v>
      </c>
      <c r="K53" s="103" t="s">
        <v>20</v>
      </c>
      <c r="L53" s="99">
        <f t="shared" si="4"/>
        <v>65.186765399999999</v>
      </c>
      <c r="M53" s="99">
        <f t="shared" si="0"/>
        <v>17.383137440000002</v>
      </c>
      <c r="N53" s="100">
        <f t="shared" si="1"/>
        <v>8.6915687200000011</v>
      </c>
      <c r="O53" s="100">
        <f t="shared" si="2"/>
        <v>8.6915687200000011</v>
      </c>
      <c r="P53" s="97">
        <f t="shared" si="3"/>
        <v>30.420490520000001</v>
      </c>
    </row>
    <row r="54" spans="1:16">
      <c r="A54" s="91">
        <v>52</v>
      </c>
      <c r="B54" s="92" t="s">
        <v>262</v>
      </c>
      <c r="C54" s="104" t="s">
        <v>156</v>
      </c>
      <c r="D54" s="116">
        <f>'[1]FEVEREIRO 2026'!D54</f>
        <v>1003111683608</v>
      </c>
      <c r="E54" s="35">
        <v>6315207</v>
      </c>
      <c r="F54" s="103">
        <v>633.23</v>
      </c>
      <c r="G54" s="97">
        <f t="shared" si="5"/>
        <v>46.732374000000007</v>
      </c>
      <c r="H54" s="103">
        <v>78.099999999999994</v>
      </c>
      <c r="I54" s="99">
        <f t="shared" si="6"/>
        <v>508.39762599999995</v>
      </c>
      <c r="J54" s="118" t="s">
        <v>192</v>
      </c>
      <c r="K54" s="103" t="s">
        <v>78</v>
      </c>
      <c r="L54" s="99">
        <f t="shared" si="4"/>
        <v>76.259643899999986</v>
      </c>
      <c r="M54" s="99">
        <f t="shared" si="0"/>
        <v>20.335905039999997</v>
      </c>
      <c r="N54" s="100">
        <f t="shared" si="1"/>
        <v>10.167952519999998</v>
      </c>
      <c r="O54" s="100">
        <f t="shared" si="2"/>
        <v>10.167952519999998</v>
      </c>
      <c r="P54" s="97">
        <f t="shared" si="3"/>
        <v>35.587833819999986</v>
      </c>
    </row>
    <row r="55" spans="1:16">
      <c r="A55" s="91">
        <v>53</v>
      </c>
      <c r="B55" s="92" t="s">
        <v>263</v>
      </c>
      <c r="C55" s="104" t="s">
        <v>203</v>
      </c>
      <c r="D55" s="139">
        <f>'[1]FEVEREIRO 2026'!D55</f>
        <v>1003111689434</v>
      </c>
      <c r="E55" s="35">
        <v>6315038</v>
      </c>
      <c r="F55" s="103">
        <v>428.97</v>
      </c>
      <c r="G55" s="97">
        <f t="shared" si="5"/>
        <v>31.657986000000005</v>
      </c>
      <c r="H55" s="103">
        <v>46.09</v>
      </c>
      <c r="I55" s="99">
        <f t="shared" si="6"/>
        <v>351.22201400000006</v>
      </c>
      <c r="J55" s="118" t="s">
        <v>196</v>
      </c>
      <c r="K55" s="103" t="s">
        <v>193</v>
      </c>
      <c r="L55" s="99">
        <f t="shared" si="4"/>
        <v>52.683302100000006</v>
      </c>
      <c r="M55" s="99">
        <f t="shared" si="0"/>
        <v>14.048880560000002</v>
      </c>
      <c r="N55" s="100">
        <f t="shared" si="1"/>
        <v>7.0244402800000012</v>
      </c>
      <c r="O55" s="100">
        <f t="shared" si="2"/>
        <v>7.0244402800000012</v>
      </c>
      <c r="P55" s="97">
        <f t="shared" si="3"/>
        <v>24.585540980000005</v>
      </c>
    </row>
    <row r="56" spans="1:16">
      <c r="A56" s="91">
        <v>54</v>
      </c>
      <c r="B56" s="92" t="s">
        <v>264</v>
      </c>
      <c r="C56" s="104" t="s">
        <v>156</v>
      </c>
      <c r="D56" s="116">
        <f>'[1]FEVEREIRO 2026'!D56</f>
        <v>1003111683361</v>
      </c>
      <c r="E56" s="138" t="s">
        <v>265</v>
      </c>
      <c r="F56" s="103">
        <v>458.86</v>
      </c>
      <c r="G56" s="97">
        <f t="shared" si="5"/>
        <v>33.863868000000004</v>
      </c>
      <c r="H56" s="103">
        <v>0</v>
      </c>
      <c r="I56" s="99">
        <f t="shared" si="6"/>
        <v>424.99613199999999</v>
      </c>
      <c r="J56" s="118" t="s">
        <v>196</v>
      </c>
      <c r="K56" s="103" t="s">
        <v>193</v>
      </c>
      <c r="L56" s="99">
        <f t="shared" si="4"/>
        <v>63.749419799999998</v>
      </c>
      <c r="M56" s="99">
        <f t="shared" si="0"/>
        <v>16.999845279999999</v>
      </c>
      <c r="N56" s="100">
        <f t="shared" si="1"/>
        <v>8.4999226399999994</v>
      </c>
      <c r="O56" s="100">
        <f t="shared" si="2"/>
        <v>8.4999226399999994</v>
      </c>
      <c r="P56" s="97">
        <f t="shared" si="3"/>
        <v>29.749729239999994</v>
      </c>
    </row>
    <row r="57" spans="1:16">
      <c r="A57" s="91">
        <v>55</v>
      </c>
      <c r="B57" s="92" t="s">
        <v>266</v>
      </c>
      <c r="C57" s="104" t="s">
        <v>203</v>
      </c>
      <c r="D57" s="116">
        <f>'[1]FEVEREIRO 2026'!D57</f>
        <v>1003111679369</v>
      </c>
      <c r="E57" s="138" t="s">
        <v>267</v>
      </c>
      <c r="F57" s="103">
        <v>543.47</v>
      </c>
      <c r="G57" s="97">
        <f t="shared" si="5"/>
        <v>40.108086000000007</v>
      </c>
      <c r="H57" s="103">
        <v>58.4</v>
      </c>
      <c r="I57" s="99">
        <f t="shared" si="6"/>
        <v>444.96191400000004</v>
      </c>
      <c r="J57" s="118" t="s">
        <v>196</v>
      </c>
      <c r="K57" s="103" t="s">
        <v>197</v>
      </c>
      <c r="L57" s="99">
        <f t="shared" si="4"/>
        <v>66.744287100000008</v>
      </c>
      <c r="M57" s="99">
        <f t="shared" si="0"/>
        <v>17.798476560000001</v>
      </c>
      <c r="N57" s="100">
        <f t="shared" si="1"/>
        <v>8.8992382800000005</v>
      </c>
      <c r="O57" s="100">
        <f t="shared" si="2"/>
        <v>8.8992382800000005</v>
      </c>
      <c r="P57" s="97">
        <f t="shared" si="3"/>
        <v>31.147333980000013</v>
      </c>
    </row>
    <row r="58" spans="1:16">
      <c r="A58" s="91">
        <v>56</v>
      </c>
      <c r="B58" s="92" t="s">
        <v>268</v>
      </c>
      <c r="C58" s="104" t="s">
        <v>269</v>
      </c>
      <c r="D58" s="116">
        <f>'[1]FEVEREIRO 2026'!D58</f>
        <v>1003111692094</v>
      </c>
      <c r="E58" s="35">
        <v>6318930</v>
      </c>
      <c r="F58" s="103">
        <v>654.09</v>
      </c>
      <c r="G58" s="97">
        <f t="shared" si="5"/>
        <v>48.271842000000007</v>
      </c>
      <c r="H58" s="103">
        <v>80.67</v>
      </c>
      <c r="I58" s="99">
        <f t="shared" si="6"/>
        <v>525.14815800000008</v>
      </c>
      <c r="J58" s="118" t="s">
        <v>196</v>
      </c>
      <c r="K58" s="103" t="s">
        <v>193</v>
      </c>
      <c r="L58" s="99">
        <f t="shared" si="4"/>
        <v>78.772223700000012</v>
      </c>
      <c r="M58" s="99">
        <f t="shared" si="0"/>
        <v>21.005926320000004</v>
      </c>
      <c r="N58" s="100">
        <f t="shared" si="1"/>
        <v>10.502963160000002</v>
      </c>
      <c r="O58" s="100">
        <f t="shared" si="2"/>
        <v>10.502963160000002</v>
      </c>
      <c r="P58" s="97">
        <f t="shared" si="3"/>
        <v>36.760371060000011</v>
      </c>
    </row>
    <row r="59" spans="1:16">
      <c r="A59" s="91">
        <v>57</v>
      </c>
      <c r="B59" s="92" t="s">
        <v>270</v>
      </c>
      <c r="C59" s="104" t="s">
        <v>73</v>
      </c>
      <c r="D59" s="140">
        <f>'[1]FEVEREIRO 2026'!D59</f>
        <v>1003111692525</v>
      </c>
      <c r="E59" s="35">
        <v>6319159</v>
      </c>
      <c r="F59" s="103">
        <v>726.08</v>
      </c>
      <c r="G59" s="97">
        <f t="shared" si="5"/>
        <v>53.584704000000009</v>
      </c>
      <c r="H59" s="103">
        <v>78.02</v>
      </c>
      <c r="I59" s="99">
        <f t="shared" si="6"/>
        <v>594.47529600000007</v>
      </c>
      <c r="J59" s="118" t="s">
        <v>196</v>
      </c>
      <c r="K59" s="103" t="s">
        <v>51</v>
      </c>
      <c r="L59" s="99">
        <f t="shared" si="4"/>
        <v>89.171294400000008</v>
      </c>
      <c r="M59" s="99">
        <f t="shared" si="0"/>
        <v>23.779011840000003</v>
      </c>
      <c r="N59" s="100">
        <f t="shared" si="1"/>
        <v>11.889505920000001</v>
      </c>
      <c r="O59" s="100">
        <f t="shared" si="2"/>
        <v>11.889505920000001</v>
      </c>
      <c r="P59" s="97">
        <f t="shared" si="3"/>
        <v>41.613270720000003</v>
      </c>
    </row>
    <row r="60" spans="1:16">
      <c r="A60" s="91">
        <v>58</v>
      </c>
      <c r="B60" s="92" t="s">
        <v>271</v>
      </c>
      <c r="C60" s="104" t="s">
        <v>156</v>
      </c>
      <c r="D60" s="141">
        <f>'[1]FEVEREIRO 2026'!D60</f>
        <v>100311111715788</v>
      </c>
      <c r="E60" s="35">
        <v>6312210</v>
      </c>
      <c r="F60" s="103">
        <v>455.21</v>
      </c>
      <c r="G60" s="97">
        <f t="shared" si="5"/>
        <v>33.594498000000002</v>
      </c>
      <c r="H60" s="103">
        <v>120.24</v>
      </c>
      <c r="I60" s="99">
        <f t="shared" si="6"/>
        <v>301.37550199999998</v>
      </c>
      <c r="J60" s="118" t="s">
        <v>192</v>
      </c>
      <c r="K60" s="103" t="s">
        <v>197</v>
      </c>
      <c r="L60" s="99">
        <f t="shared" si="4"/>
        <v>45.206325299999996</v>
      </c>
      <c r="M60" s="99">
        <f t="shared" si="0"/>
        <v>12.05502008</v>
      </c>
      <c r="N60" s="100">
        <f t="shared" si="1"/>
        <v>6.0275100400000001</v>
      </c>
      <c r="O60" s="100">
        <f t="shared" si="2"/>
        <v>6.0275100400000001</v>
      </c>
      <c r="P60" s="97">
        <f t="shared" si="3"/>
        <v>21.096285139999999</v>
      </c>
    </row>
    <row r="61" spans="1:16">
      <c r="A61" s="91">
        <v>59</v>
      </c>
      <c r="B61" s="92" t="s">
        <v>272</v>
      </c>
      <c r="C61" s="104" t="s">
        <v>205</v>
      </c>
      <c r="D61" s="116">
        <f>'[1]FEVEREIRO 2026'!D61</f>
        <v>37771173</v>
      </c>
      <c r="E61" s="35">
        <v>6321414</v>
      </c>
      <c r="F61" s="103">
        <v>1029.6400000000001</v>
      </c>
      <c r="G61" s="97">
        <f t="shared" si="5"/>
        <v>75.987432000000013</v>
      </c>
      <c r="H61" s="103">
        <v>102.92</v>
      </c>
      <c r="I61" s="99">
        <f t="shared" si="6"/>
        <v>850.73256800000013</v>
      </c>
      <c r="J61" s="118" t="s">
        <v>192</v>
      </c>
      <c r="K61" s="103" t="s">
        <v>20</v>
      </c>
      <c r="L61" s="99">
        <f t="shared" si="4"/>
        <v>127.60988520000001</v>
      </c>
      <c r="M61" s="99">
        <f t="shared" si="0"/>
        <v>34.029302720000004</v>
      </c>
      <c r="N61" s="100">
        <f t="shared" si="1"/>
        <v>17.014651360000002</v>
      </c>
      <c r="O61" s="100">
        <f t="shared" si="2"/>
        <v>17.014651360000002</v>
      </c>
      <c r="P61" s="97">
        <f t="shared" si="3"/>
        <v>59.55127976</v>
      </c>
    </row>
    <row r="62" spans="1:16">
      <c r="A62" s="91">
        <v>60</v>
      </c>
      <c r="B62" s="92" t="s">
        <v>273</v>
      </c>
      <c r="C62" s="104" t="s">
        <v>203</v>
      </c>
      <c r="D62" s="116">
        <f>'[1]FEVEREIRO 2026'!D62</f>
        <v>100311111692762</v>
      </c>
      <c r="E62" s="35">
        <v>6321789</v>
      </c>
      <c r="F62" s="103">
        <v>513.1</v>
      </c>
      <c r="G62" s="97">
        <f t="shared" si="5"/>
        <v>37.866780000000006</v>
      </c>
      <c r="H62" s="103">
        <v>135.54</v>
      </c>
      <c r="I62" s="99">
        <f t="shared" si="6"/>
        <v>339.69322</v>
      </c>
      <c r="J62" s="118" t="s">
        <v>196</v>
      </c>
      <c r="K62" s="103" t="s">
        <v>31</v>
      </c>
      <c r="L62" s="99">
        <f t="shared" si="4"/>
        <v>50.953983000000001</v>
      </c>
      <c r="M62" s="99">
        <f t="shared" si="0"/>
        <v>13.587728800000001</v>
      </c>
      <c r="N62" s="100">
        <f t="shared" si="1"/>
        <v>6.7938644000000004</v>
      </c>
      <c r="O62" s="100">
        <f t="shared" si="2"/>
        <v>6.7938644000000004</v>
      </c>
      <c r="P62" s="97">
        <f t="shared" si="3"/>
        <v>23.778525399999999</v>
      </c>
    </row>
    <row r="63" spans="1:16">
      <c r="A63" s="91">
        <v>61</v>
      </c>
      <c r="B63" s="92" t="s">
        <v>274</v>
      </c>
      <c r="C63" s="104" t="s">
        <v>275</v>
      </c>
      <c r="D63" s="116">
        <f>'[1]FEVEREIRO 2026'!D63</f>
        <v>100311111693021</v>
      </c>
      <c r="E63" s="35">
        <v>6313315</v>
      </c>
      <c r="F63" s="103">
        <v>716.51</v>
      </c>
      <c r="G63" s="97">
        <f t="shared" si="5"/>
        <v>52.878438000000003</v>
      </c>
      <c r="H63" s="103">
        <v>88.37</v>
      </c>
      <c r="I63" s="99">
        <f t="shared" si="6"/>
        <v>575.26156200000003</v>
      </c>
      <c r="J63" s="118" t="s">
        <v>196</v>
      </c>
      <c r="K63" s="103" t="s">
        <v>197</v>
      </c>
      <c r="L63" s="99">
        <f t="shared" si="4"/>
        <v>86.289234300000004</v>
      </c>
      <c r="M63" s="99">
        <f t="shared" si="0"/>
        <v>23.010462480000001</v>
      </c>
      <c r="N63" s="100">
        <f t="shared" si="1"/>
        <v>11.505231240000001</v>
      </c>
      <c r="O63" s="100">
        <f t="shared" si="2"/>
        <v>11.505231240000001</v>
      </c>
      <c r="P63" s="97">
        <f t="shared" si="3"/>
        <v>40.268309340000002</v>
      </c>
    </row>
    <row r="64" spans="1:16">
      <c r="A64" s="91">
        <v>62</v>
      </c>
      <c r="B64" s="142" t="s">
        <v>276</v>
      </c>
      <c r="C64" s="104" t="s">
        <v>199</v>
      </c>
      <c r="D64" s="116">
        <f>'[1]FEVEREIRO 2026'!D64</f>
        <v>100311111692996</v>
      </c>
      <c r="E64" s="35">
        <v>6321850</v>
      </c>
      <c r="F64" s="103">
        <v>599.66999999999996</v>
      </c>
      <c r="G64" s="97">
        <f t="shared" si="5"/>
        <v>44.255645999999999</v>
      </c>
      <c r="H64" s="103">
        <v>64.44</v>
      </c>
      <c r="I64" s="99">
        <f t="shared" si="6"/>
        <v>490.97435400000001</v>
      </c>
      <c r="J64" s="118" t="s">
        <v>196</v>
      </c>
      <c r="K64" s="103" t="s">
        <v>20</v>
      </c>
      <c r="L64" s="99">
        <f t="shared" si="4"/>
        <v>73.646153099999992</v>
      </c>
      <c r="M64" s="99">
        <f t="shared" si="0"/>
        <v>19.63897416</v>
      </c>
      <c r="N64" s="100">
        <f t="shared" si="1"/>
        <v>9.81948708</v>
      </c>
      <c r="O64" s="100">
        <f t="shared" si="2"/>
        <v>9.81948708</v>
      </c>
      <c r="P64" s="97">
        <f t="shared" si="3"/>
        <v>34.368204779999985</v>
      </c>
    </row>
    <row r="65" spans="1:16">
      <c r="A65" s="43"/>
      <c r="B65" s="143"/>
      <c r="C65" s="144"/>
      <c r="D65" s="145"/>
      <c r="E65" s="144"/>
      <c r="F65" s="146"/>
      <c r="G65" s="146"/>
      <c r="H65" s="146"/>
      <c r="I65" s="146"/>
      <c r="J65" s="144"/>
      <c r="K65" s="147"/>
      <c r="L65" s="147"/>
      <c r="M65" s="147"/>
      <c r="N65" s="44"/>
      <c r="O65" s="44"/>
      <c r="P65" s="45"/>
    </row>
    <row r="66" spans="1:16" ht="15.6">
      <c r="A66" s="43"/>
      <c r="B66" s="148"/>
      <c r="C66" s="46"/>
      <c r="D66" s="149"/>
      <c r="E66" s="48" t="s">
        <v>188</v>
      </c>
      <c r="F66" s="49">
        <f>SUM(F3:F64)</f>
        <v>38139.779999999992</v>
      </c>
      <c r="G66" s="49">
        <f>SUM(G3:G64)</f>
        <v>2814.7157640000005</v>
      </c>
      <c r="H66" s="49">
        <f>SUM(H3:H64)</f>
        <v>4950.75</v>
      </c>
      <c r="I66" s="49">
        <f>SUM(I3:I64)</f>
        <v>30374.314235999998</v>
      </c>
      <c r="J66" s="46"/>
      <c r="K66" s="50"/>
      <c r="L66" s="49">
        <f>SUM(L3:L64)</f>
        <v>4556.1471353999987</v>
      </c>
      <c r="M66" s="49">
        <f>SUM(M3:M64)</f>
        <v>1214.9725694399999</v>
      </c>
      <c r="N66" s="49">
        <f>SUM(N3:N64)</f>
        <v>607.48628471999996</v>
      </c>
      <c r="O66" s="49">
        <f>SUM(O3:O64)</f>
        <v>607.48628471999996</v>
      </c>
      <c r="P66" s="49">
        <f>SUM(P3:P64)</f>
        <v>2126.2019965199988</v>
      </c>
    </row>
  </sheetData>
  <autoFilter ref="A2:Q64" xr:uid="{A228BBA9-3B63-4E2E-BD82-B8B4A654E61E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C7F8-51EC-46AC-8A3B-6424366487ED}">
  <dimension ref="A1:Q75"/>
  <sheetViews>
    <sheetView topLeftCell="D50" zoomScaleNormal="100" workbookViewId="0">
      <selection activeCell="M58" sqref="M58"/>
    </sheetView>
  </sheetViews>
  <sheetFormatPr defaultRowHeight="14.4"/>
  <cols>
    <col min="2" max="2" width="32.44140625" customWidth="1"/>
    <col min="3" max="3" width="19" customWidth="1"/>
    <col min="4" max="4" width="16.77734375" customWidth="1"/>
    <col min="5" max="5" width="16" customWidth="1"/>
    <col min="6" max="6" width="15.88671875" customWidth="1"/>
    <col min="7" max="7" width="15.109375" customWidth="1"/>
    <col min="8" max="8" width="14" customWidth="1"/>
    <col min="9" max="9" width="15.6640625" customWidth="1"/>
    <col min="11" max="11" width="15.6640625" customWidth="1"/>
    <col min="12" max="12" width="14.33203125" customWidth="1"/>
    <col min="13" max="13" width="13.5546875" customWidth="1"/>
    <col min="14" max="14" width="14.5546875" customWidth="1"/>
    <col min="15" max="15" width="14.6640625" customWidth="1"/>
    <col min="16" max="16" width="17.33203125" customWidth="1"/>
  </cols>
  <sheetData>
    <row r="1" spans="1:17" ht="23.4">
      <c r="B1" s="225" t="s">
        <v>356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7"/>
    </row>
    <row r="2" spans="1:17" ht="20.399999999999999" customHeight="1">
      <c r="A2" s="1" t="s">
        <v>1</v>
      </c>
      <c r="B2" s="89" t="s">
        <v>2</v>
      </c>
      <c r="C2" s="3" t="s">
        <v>3</v>
      </c>
      <c r="D2" s="90" t="s">
        <v>4</v>
      </c>
      <c r="E2" s="5" t="s">
        <v>5</v>
      </c>
      <c r="F2" s="1" t="s">
        <v>6</v>
      </c>
      <c r="G2" s="6" t="s">
        <v>7</v>
      </c>
      <c r="H2" s="1" t="s">
        <v>8</v>
      </c>
      <c r="I2" s="6" t="s">
        <v>9</v>
      </c>
      <c r="J2" s="1" t="s">
        <v>10</v>
      </c>
      <c r="K2" s="1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7">
      <c r="A3" s="155">
        <v>1</v>
      </c>
      <c r="B3" s="92" t="s">
        <v>277</v>
      </c>
      <c r="C3" s="153" t="s">
        <v>203</v>
      </c>
      <c r="D3" s="151">
        <v>37776869</v>
      </c>
      <c r="E3" s="35">
        <v>6326526</v>
      </c>
      <c r="F3" s="162">
        <v>319.98</v>
      </c>
      <c r="G3" s="160">
        <f t="shared" ref="G3:G62" si="0">F3*7.38%</f>
        <v>23.614524000000003</v>
      </c>
      <c r="H3" s="162">
        <v>106.66</v>
      </c>
      <c r="I3" s="161">
        <f t="shared" ref="I3:I62" si="1">F3-G3-H3</f>
        <v>189.705476</v>
      </c>
      <c r="J3" s="154" t="s">
        <v>196</v>
      </c>
      <c r="K3" s="162" t="s">
        <v>278</v>
      </c>
      <c r="L3" s="161">
        <f t="shared" ref="L3:L62" si="2">I3*15%</f>
        <v>28.455821400000001</v>
      </c>
      <c r="M3" s="161">
        <f t="shared" ref="M3:M62" si="3">I3*4%</f>
        <v>7.5882190400000002</v>
      </c>
      <c r="N3" s="156">
        <f t="shared" ref="N3:N62" si="4">I3*2%</f>
        <v>3.7941095200000001</v>
      </c>
      <c r="O3" s="156">
        <f t="shared" ref="O3:O62" si="5">I3*2%</f>
        <v>3.7941095200000001</v>
      </c>
      <c r="P3" s="160">
        <f t="shared" ref="P3:P62" si="6">L3-M3-N3-O3</f>
        <v>13.279383320000001</v>
      </c>
    </row>
    <row r="4" spans="1:17">
      <c r="A4" s="155">
        <v>2</v>
      </c>
      <c r="B4" s="92" t="s">
        <v>279</v>
      </c>
      <c r="C4" s="153" t="s">
        <v>203</v>
      </c>
      <c r="D4" s="136">
        <v>100311111698850</v>
      </c>
      <c r="E4" s="35">
        <v>6324967</v>
      </c>
      <c r="F4" s="162">
        <v>576.47</v>
      </c>
      <c r="G4" s="160">
        <f t="shared" si="0"/>
        <v>42.543486000000001</v>
      </c>
      <c r="H4" s="162">
        <v>152.28</v>
      </c>
      <c r="I4" s="161">
        <f t="shared" si="1"/>
        <v>381.64651400000002</v>
      </c>
      <c r="J4" s="154" t="s">
        <v>196</v>
      </c>
      <c r="K4" s="162" t="s">
        <v>197</v>
      </c>
      <c r="L4" s="161">
        <f t="shared" si="2"/>
        <v>57.246977100000002</v>
      </c>
      <c r="M4" s="161">
        <f t="shared" si="3"/>
        <v>15.265860560000002</v>
      </c>
      <c r="N4" s="156">
        <f t="shared" si="4"/>
        <v>7.632930280000001</v>
      </c>
      <c r="O4" s="156">
        <f t="shared" si="5"/>
        <v>7.632930280000001</v>
      </c>
      <c r="P4" s="160">
        <f t="shared" si="6"/>
        <v>26.715255979999998</v>
      </c>
    </row>
    <row r="5" spans="1:17">
      <c r="A5" s="155">
        <v>3</v>
      </c>
      <c r="B5" s="92" t="s">
        <v>280</v>
      </c>
      <c r="C5" s="153" t="s">
        <v>203</v>
      </c>
      <c r="D5" s="116">
        <v>100311111698719</v>
      </c>
      <c r="E5" s="35">
        <v>6324598</v>
      </c>
      <c r="F5" s="162">
        <v>536.61</v>
      </c>
      <c r="G5" s="160">
        <f t="shared" si="0"/>
        <v>39.601818000000002</v>
      </c>
      <c r="H5" s="162">
        <v>141.75</v>
      </c>
      <c r="I5" s="161">
        <f t="shared" si="1"/>
        <v>355.25818200000003</v>
      </c>
      <c r="J5" s="154" t="s">
        <v>196</v>
      </c>
      <c r="K5" s="162" t="s">
        <v>197</v>
      </c>
      <c r="L5" s="161">
        <f t="shared" si="2"/>
        <v>53.288727300000005</v>
      </c>
      <c r="M5" s="161">
        <f t="shared" si="3"/>
        <v>14.210327280000001</v>
      </c>
      <c r="N5" s="156">
        <f t="shared" si="4"/>
        <v>7.1051636400000007</v>
      </c>
      <c r="O5" s="156">
        <f t="shared" si="5"/>
        <v>7.1051636400000007</v>
      </c>
      <c r="P5" s="160">
        <f t="shared" si="6"/>
        <v>24.868072740000002</v>
      </c>
    </row>
    <row r="6" spans="1:17">
      <c r="A6" s="155">
        <v>4</v>
      </c>
      <c r="B6" s="92" t="s">
        <v>281</v>
      </c>
      <c r="C6" s="153" t="s">
        <v>282</v>
      </c>
      <c r="D6" s="116">
        <v>100311111698647</v>
      </c>
      <c r="E6" s="35">
        <v>6325017</v>
      </c>
      <c r="F6" s="162">
        <v>740.99</v>
      </c>
      <c r="G6" s="160">
        <f t="shared" si="0"/>
        <v>54.685062000000002</v>
      </c>
      <c r="H6" s="162">
        <v>0</v>
      </c>
      <c r="I6" s="161">
        <f t="shared" si="1"/>
        <v>686.30493799999999</v>
      </c>
      <c r="J6" s="154" t="s">
        <v>196</v>
      </c>
      <c r="K6" s="162" t="s">
        <v>176</v>
      </c>
      <c r="L6" s="161">
        <f t="shared" si="2"/>
        <v>102.9457407</v>
      </c>
      <c r="M6" s="161">
        <f t="shared" si="3"/>
        <v>27.452197519999999</v>
      </c>
      <c r="N6" s="157">
        <f t="shared" si="4"/>
        <v>13.726098759999999</v>
      </c>
      <c r="O6" s="157">
        <f t="shared" si="5"/>
        <v>13.726098759999999</v>
      </c>
      <c r="P6" s="163">
        <f t="shared" si="6"/>
        <v>48.041345660000005</v>
      </c>
    </row>
    <row r="7" spans="1:17">
      <c r="A7" s="155">
        <v>5</v>
      </c>
      <c r="B7" s="92" t="s">
        <v>283</v>
      </c>
      <c r="C7" s="153" t="s">
        <v>203</v>
      </c>
      <c r="D7" s="116">
        <v>100311111698549</v>
      </c>
      <c r="E7" s="35">
        <v>6286201</v>
      </c>
      <c r="F7" s="162">
        <v>578.92999999999995</v>
      </c>
      <c r="G7" s="163">
        <f t="shared" si="0"/>
        <v>42.725034000000001</v>
      </c>
      <c r="H7" s="162">
        <v>71.28</v>
      </c>
      <c r="I7" s="164">
        <f t="shared" si="1"/>
        <v>464.92496599999993</v>
      </c>
      <c r="J7" s="154" t="s">
        <v>196</v>
      </c>
      <c r="K7" s="162" t="s">
        <v>284</v>
      </c>
      <c r="L7" s="161">
        <f t="shared" si="2"/>
        <v>69.738744899999986</v>
      </c>
      <c r="M7" s="161">
        <f t="shared" si="3"/>
        <v>18.596998639999999</v>
      </c>
      <c r="N7" s="157">
        <f t="shared" si="4"/>
        <v>9.2984993199999995</v>
      </c>
      <c r="O7" s="157">
        <f t="shared" si="5"/>
        <v>9.2984993199999995</v>
      </c>
      <c r="P7" s="163">
        <f t="shared" si="6"/>
        <v>32.544747619999995</v>
      </c>
    </row>
    <row r="8" spans="1:17">
      <c r="A8" s="155">
        <v>6</v>
      </c>
      <c r="B8" s="92" t="s">
        <v>285</v>
      </c>
      <c r="C8" s="153" t="s">
        <v>93</v>
      </c>
      <c r="D8" s="116">
        <v>100311111698427</v>
      </c>
      <c r="E8" s="35">
        <v>6286301</v>
      </c>
      <c r="F8" s="162">
        <v>581.42999999999995</v>
      </c>
      <c r="G8" s="160">
        <f t="shared" si="0"/>
        <v>42.909534000000001</v>
      </c>
      <c r="H8" s="162">
        <v>0</v>
      </c>
      <c r="I8" s="161">
        <f t="shared" si="1"/>
        <v>538.52046599999994</v>
      </c>
      <c r="J8" s="154" t="s">
        <v>196</v>
      </c>
      <c r="K8" s="162" t="s">
        <v>31</v>
      </c>
      <c r="L8" s="161">
        <f t="shared" si="2"/>
        <v>80.778069899999991</v>
      </c>
      <c r="M8" s="161">
        <f t="shared" si="3"/>
        <v>21.540818639999998</v>
      </c>
      <c r="N8" s="156">
        <f t="shared" si="4"/>
        <v>10.770409319999999</v>
      </c>
      <c r="O8" s="156">
        <f t="shared" si="5"/>
        <v>10.770409319999999</v>
      </c>
      <c r="P8" s="160">
        <f t="shared" si="6"/>
        <v>37.696432619999996</v>
      </c>
    </row>
    <row r="9" spans="1:17">
      <c r="A9" s="155">
        <v>7</v>
      </c>
      <c r="B9" s="92" t="s">
        <v>286</v>
      </c>
      <c r="C9" s="153" t="s">
        <v>203</v>
      </c>
      <c r="D9" s="116">
        <v>100311111698237</v>
      </c>
      <c r="E9" s="35">
        <v>6285723</v>
      </c>
      <c r="F9" s="162">
        <v>478.28</v>
      </c>
      <c r="G9" s="160">
        <f t="shared" si="0"/>
        <v>35.297063999999999</v>
      </c>
      <c r="H9" s="162">
        <v>126.18</v>
      </c>
      <c r="I9" s="161">
        <f t="shared" si="1"/>
        <v>316.80293599999999</v>
      </c>
      <c r="J9" s="154" t="s">
        <v>196</v>
      </c>
      <c r="K9" s="162" t="s">
        <v>20</v>
      </c>
      <c r="L9" s="161">
        <f t="shared" si="2"/>
        <v>47.520440399999998</v>
      </c>
      <c r="M9" s="161">
        <f t="shared" si="3"/>
        <v>12.672117439999999</v>
      </c>
      <c r="N9" s="156">
        <f t="shared" si="4"/>
        <v>6.3360587199999996</v>
      </c>
      <c r="O9" s="156">
        <f t="shared" si="5"/>
        <v>6.3360587199999996</v>
      </c>
      <c r="P9" s="160">
        <f t="shared" si="6"/>
        <v>22.176205519999996</v>
      </c>
    </row>
    <row r="10" spans="1:17">
      <c r="A10" s="155">
        <v>8</v>
      </c>
      <c r="B10" s="92" t="s">
        <v>287</v>
      </c>
      <c r="C10" s="153" t="s">
        <v>203</v>
      </c>
      <c r="D10" s="116">
        <v>100311111668044</v>
      </c>
      <c r="E10" s="35">
        <v>6285590</v>
      </c>
      <c r="F10" s="162">
        <v>525.21</v>
      </c>
      <c r="G10" s="160">
        <f t="shared" si="0"/>
        <v>38.760498000000005</v>
      </c>
      <c r="H10" s="162">
        <v>64.78</v>
      </c>
      <c r="I10" s="161">
        <f t="shared" si="1"/>
        <v>421.66950200000008</v>
      </c>
      <c r="J10" s="154" t="s">
        <v>196</v>
      </c>
      <c r="K10" s="162" t="s">
        <v>42</v>
      </c>
      <c r="L10" s="161">
        <f t="shared" si="2"/>
        <v>63.250425300000011</v>
      </c>
      <c r="M10" s="161">
        <f t="shared" si="3"/>
        <v>16.866780080000005</v>
      </c>
      <c r="N10" s="156">
        <f t="shared" si="4"/>
        <v>8.4333900400000026</v>
      </c>
      <c r="O10" s="156">
        <f t="shared" si="5"/>
        <v>8.4333900400000026</v>
      </c>
      <c r="P10" s="160">
        <f t="shared" si="6"/>
        <v>29.516865139999997</v>
      </c>
    </row>
    <row r="11" spans="1:17">
      <c r="A11" s="155">
        <v>9</v>
      </c>
      <c r="B11" s="92" t="s">
        <v>288</v>
      </c>
      <c r="C11" s="153" t="s">
        <v>203</v>
      </c>
      <c r="D11" s="116">
        <v>100311111697932</v>
      </c>
      <c r="E11" s="35">
        <v>6282419</v>
      </c>
      <c r="F11" s="162">
        <v>506.99</v>
      </c>
      <c r="G11" s="160">
        <f t="shared" si="0"/>
        <v>37.415862000000004</v>
      </c>
      <c r="H11" s="162">
        <v>133.91999999999999</v>
      </c>
      <c r="I11" s="161">
        <f t="shared" si="1"/>
        <v>335.65413799999999</v>
      </c>
      <c r="J11" s="154" t="s">
        <v>196</v>
      </c>
      <c r="K11" s="162" t="s">
        <v>57</v>
      </c>
      <c r="L11" s="161">
        <f t="shared" si="2"/>
        <v>50.348120699999996</v>
      </c>
      <c r="M11" s="161">
        <f t="shared" si="3"/>
        <v>13.42616552</v>
      </c>
      <c r="N11" s="156">
        <f t="shared" si="4"/>
        <v>6.7130827599999998</v>
      </c>
      <c r="O11" s="156">
        <f t="shared" si="5"/>
        <v>6.7130827599999998</v>
      </c>
      <c r="P11" s="160">
        <f t="shared" si="6"/>
        <v>23.49578966</v>
      </c>
    </row>
    <row r="12" spans="1:17">
      <c r="A12" s="155">
        <v>10</v>
      </c>
      <c r="B12" s="92" t="s">
        <v>289</v>
      </c>
      <c r="C12" s="153" t="s">
        <v>203</v>
      </c>
      <c r="D12" s="152">
        <v>100311111742306</v>
      </c>
      <c r="E12" s="35">
        <v>6282455</v>
      </c>
      <c r="F12" s="167">
        <v>530.11</v>
      </c>
      <c r="G12" s="168">
        <v>39.119999999999997</v>
      </c>
      <c r="H12" s="167">
        <v>140.33000000000001</v>
      </c>
      <c r="I12" s="169">
        <v>350.66</v>
      </c>
      <c r="J12" s="154" t="s">
        <v>196</v>
      </c>
      <c r="K12" s="162" t="s">
        <v>290</v>
      </c>
      <c r="L12" s="169">
        <v>52.6</v>
      </c>
      <c r="M12" s="170">
        <v>14.03</v>
      </c>
      <c r="N12" s="156">
        <v>7.01</v>
      </c>
      <c r="O12" s="156">
        <v>7.01</v>
      </c>
      <c r="P12" s="168">
        <v>24.55</v>
      </c>
    </row>
    <row r="13" spans="1:17">
      <c r="A13" s="155">
        <v>11</v>
      </c>
      <c r="B13" s="92" t="s">
        <v>291</v>
      </c>
      <c r="C13" s="153" t="s">
        <v>203</v>
      </c>
      <c r="D13" s="116">
        <v>100311111697698</v>
      </c>
      <c r="E13" s="35">
        <v>6285658</v>
      </c>
      <c r="F13" s="162">
        <v>586.6</v>
      </c>
      <c r="G13" s="160">
        <f t="shared" si="0"/>
        <v>43.291080000000001</v>
      </c>
      <c r="H13" s="162">
        <v>72.349999999999994</v>
      </c>
      <c r="I13" s="161">
        <f t="shared" si="1"/>
        <v>470.95892000000003</v>
      </c>
      <c r="J13" s="154" t="s">
        <v>196</v>
      </c>
      <c r="K13" s="162" t="s">
        <v>42</v>
      </c>
      <c r="L13" s="161">
        <f t="shared" si="2"/>
        <v>70.643838000000002</v>
      </c>
      <c r="M13" s="161">
        <f t="shared" si="3"/>
        <v>18.838356800000003</v>
      </c>
      <c r="N13" s="156">
        <f t="shared" si="4"/>
        <v>9.4191784000000016</v>
      </c>
      <c r="O13" s="156">
        <f t="shared" si="5"/>
        <v>9.4191784000000016</v>
      </c>
      <c r="P13" s="160">
        <f t="shared" si="6"/>
        <v>32.967124400000003</v>
      </c>
    </row>
    <row r="14" spans="1:17">
      <c r="A14" s="155">
        <v>12</v>
      </c>
      <c r="B14" s="92" t="s">
        <v>292</v>
      </c>
      <c r="C14" s="153" t="s">
        <v>203</v>
      </c>
      <c r="D14" s="165">
        <v>100311111695031</v>
      </c>
      <c r="E14" s="35">
        <v>6286260</v>
      </c>
      <c r="F14" s="162">
        <v>523.9</v>
      </c>
      <c r="G14" s="160">
        <f t="shared" si="0"/>
        <v>38.663820000000001</v>
      </c>
      <c r="H14" s="162">
        <v>64.62</v>
      </c>
      <c r="I14" s="161">
        <f t="shared" si="1"/>
        <v>420.61617999999999</v>
      </c>
      <c r="J14" s="154" t="s">
        <v>196</v>
      </c>
      <c r="K14" s="162" t="s">
        <v>293</v>
      </c>
      <c r="L14" s="161">
        <f t="shared" si="2"/>
        <v>63.092426999999994</v>
      </c>
      <c r="M14" s="161">
        <f t="shared" si="3"/>
        <v>16.824647200000001</v>
      </c>
      <c r="N14" s="156">
        <f t="shared" si="4"/>
        <v>8.4123236000000006</v>
      </c>
      <c r="O14" s="156">
        <f t="shared" si="5"/>
        <v>8.4123236000000006</v>
      </c>
      <c r="P14" s="160">
        <f t="shared" si="6"/>
        <v>29.443132599999991</v>
      </c>
    </row>
    <row r="15" spans="1:17">
      <c r="A15" s="155">
        <v>13</v>
      </c>
      <c r="B15" s="92" t="s">
        <v>294</v>
      </c>
      <c r="C15" s="153" t="s">
        <v>203</v>
      </c>
      <c r="D15" s="116">
        <v>37773208</v>
      </c>
      <c r="E15" s="35">
        <v>6325269</v>
      </c>
      <c r="F15" s="162">
        <v>491.21</v>
      </c>
      <c r="G15" s="160">
        <f t="shared" si="0"/>
        <v>36.251297999999998</v>
      </c>
      <c r="H15" s="162">
        <v>64.11</v>
      </c>
      <c r="I15" s="161">
        <f t="shared" si="1"/>
        <v>390.84870199999995</v>
      </c>
      <c r="J15" s="154" t="s">
        <v>196</v>
      </c>
      <c r="K15" s="162" t="s">
        <v>37</v>
      </c>
      <c r="L15" s="161">
        <f t="shared" si="2"/>
        <v>58.627305299999989</v>
      </c>
      <c r="M15" s="161">
        <f t="shared" si="3"/>
        <v>15.633948079999998</v>
      </c>
      <c r="N15" s="156">
        <f t="shared" si="4"/>
        <v>7.816974039999999</v>
      </c>
      <c r="O15" s="156">
        <f t="shared" si="5"/>
        <v>7.816974039999999</v>
      </c>
      <c r="P15" s="160">
        <f t="shared" si="6"/>
        <v>27.359409139999997</v>
      </c>
    </row>
    <row r="16" spans="1:17">
      <c r="A16" s="155">
        <v>14</v>
      </c>
      <c r="B16" s="92" t="s">
        <v>295</v>
      </c>
      <c r="C16" s="153" t="s">
        <v>203</v>
      </c>
      <c r="D16" s="116">
        <v>2969003</v>
      </c>
      <c r="E16" s="35">
        <v>6325442</v>
      </c>
      <c r="F16" s="162">
        <v>501.11</v>
      </c>
      <c r="G16" s="160">
        <f t="shared" si="0"/>
        <v>36.981918</v>
      </c>
      <c r="H16" s="162">
        <v>0</v>
      </c>
      <c r="I16" s="161">
        <f t="shared" si="1"/>
        <v>464.12808200000001</v>
      </c>
      <c r="J16" s="154" t="s">
        <v>196</v>
      </c>
      <c r="K16" s="162" t="s">
        <v>78</v>
      </c>
      <c r="L16" s="161">
        <f t="shared" si="2"/>
        <v>69.619212300000001</v>
      </c>
      <c r="M16" s="161">
        <f t="shared" si="3"/>
        <v>18.565123280000002</v>
      </c>
      <c r="N16" s="156">
        <f t="shared" si="4"/>
        <v>9.2825616400000008</v>
      </c>
      <c r="O16" s="156">
        <f t="shared" si="5"/>
        <v>9.2825616400000008</v>
      </c>
      <c r="P16" s="160">
        <f t="shared" si="6"/>
        <v>32.488965739999998</v>
      </c>
    </row>
    <row r="17" spans="1:16">
      <c r="A17" s="155">
        <v>15</v>
      </c>
      <c r="B17" s="92" t="s">
        <v>296</v>
      </c>
      <c r="C17" s="153" t="s">
        <v>29</v>
      </c>
      <c r="D17" s="116">
        <v>2030583406</v>
      </c>
      <c r="E17" s="35">
        <v>6301713</v>
      </c>
      <c r="F17" s="162">
        <v>633.96</v>
      </c>
      <c r="G17" s="160">
        <f t="shared" si="0"/>
        <v>46.786248000000008</v>
      </c>
      <c r="H17" s="162">
        <v>176.11</v>
      </c>
      <c r="I17" s="161">
        <f t="shared" si="1"/>
        <v>411.06375200000002</v>
      </c>
      <c r="J17" s="154" t="s">
        <v>196</v>
      </c>
      <c r="K17" s="162" t="s">
        <v>42</v>
      </c>
      <c r="L17" s="161">
        <f t="shared" si="2"/>
        <v>61.659562800000003</v>
      </c>
      <c r="M17" s="161">
        <f t="shared" si="3"/>
        <v>16.44255008</v>
      </c>
      <c r="N17" s="156">
        <f t="shared" si="4"/>
        <v>8.2212750400000001</v>
      </c>
      <c r="O17" s="156">
        <f t="shared" si="5"/>
        <v>8.2212750400000001</v>
      </c>
      <c r="P17" s="160">
        <f t="shared" si="6"/>
        <v>28.774462639999996</v>
      </c>
    </row>
    <row r="18" spans="1:16">
      <c r="A18" s="155">
        <v>16</v>
      </c>
      <c r="B18" s="92" t="s">
        <v>297</v>
      </c>
      <c r="C18" s="153" t="s">
        <v>29</v>
      </c>
      <c r="D18" s="116">
        <v>100311111697112</v>
      </c>
      <c r="E18" s="35">
        <v>6324322</v>
      </c>
      <c r="F18" s="162">
        <v>803.55</v>
      </c>
      <c r="G18" s="160">
        <f t="shared" si="0"/>
        <v>59.301990000000004</v>
      </c>
      <c r="H18" s="162">
        <v>99.11</v>
      </c>
      <c r="I18" s="161">
        <f t="shared" si="1"/>
        <v>645.13800999999989</v>
      </c>
      <c r="J18" s="154" t="s">
        <v>196</v>
      </c>
      <c r="K18" s="162" t="s">
        <v>176</v>
      </c>
      <c r="L18" s="161">
        <f t="shared" si="2"/>
        <v>96.770701499999987</v>
      </c>
      <c r="M18" s="161">
        <f t="shared" si="3"/>
        <v>25.805520399999995</v>
      </c>
      <c r="N18" s="156">
        <f t="shared" si="4"/>
        <v>12.902760199999998</v>
      </c>
      <c r="O18" s="156">
        <f t="shared" si="5"/>
        <v>12.902760199999998</v>
      </c>
      <c r="P18" s="160">
        <f t="shared" si="6"/>
        <v>45.159660700000003</v>
      </c>
    </row>
    <row r="19" spans="1:16">
      <c r="A19" s="155">
        <v>17</v>
      </c>
      <c r="B19" s="92" t="s">
        <v>298</v>
      </c>
      <c r="C19" s="153" t="s">
        <v>275</v>
      </c>
      <c r="D19" s="116">
        <v>100311111703715</v>
      </c>
      <c r="E19" s="35">
        <v>6328886</v>
      </c>
      <c r="F19" s="162">
        <v>650.53</v>
      </c>
      <c r="G19" s="160">
        <f t="shared" si="0"/>
        <v>48.009114000000004</v>
      </c>
      <c r="H19" s="162">
        <v>0</v>
      </c>
      <c r="I19" s="161">
        <f t="shared" si="1"/>
        <v>602.52088600000002</v>
      </c>
      <c r="J19" s="154" t="s">
        <v>196</v>
      </c>
      <c r="K19" s="162" t="s">
        <v>42</v>
      </c>
      <c r="L19" s="161">
        <f t="shared" si="2"/>
        <v>90.378132899999997</v>
      </c>
      <c r="M19" s="161">
        <f t="shared" si="3"/>
        <v>24.100835440000001</v>
      </c>
      <c r="N19" s="156">
        <f t="shared" si="4"/>
        <v>12.05041772</v>
      </c>
      <c r="O19" s="156">
        <f t="shared" si="5"/>
        <v>12.05041772</v>
      </c>
      <c r="P19" s="160">
        <f t="shared" si="6"/>
        <v>42.176462020000002</v>
      </c>
    </row>
    <row r="20" spans="1:16">
      <c r="A20" s="155">
        <v>18</v>
      </c>
      <c r="B20" s="92" t="s">
        <v>299</v>
      </c>
      <c r="C20" s="153" t="s">
        <v>300</v>
      </c>
      <c r="D20" s="116">
        <v>2030616270</v>
      </c>
      <c r="E20" s="35">
        <v>6329350</v>
      </c>
      <c r="F20" s="162">
        <v>630.96</v>
      </c>
      <c r="G20" s="160">
        <f t="shared" si="0"/>
        <v>46.564848000000005</v>
      </c>
      <c r="H20" s="162">
        <v>0</v>
      </c>
      <c r="I20" s="161">
        <f t="shared" si="1"/>
        <v>584.39515200000005</v>
      </c>
      <c r="J20" s="154" t="s">
        <v>196</v>
      </c>
      <c r="K20" s="162" t="s">
        <v>78</v>
      </c>
      <c r="L20" s="161">
        <f t="shared" si="2"/>
        <v>87.659272800000011</v>
      </c>
      <c r="M20" s="161">
        <f t="shared" si="3"/>
        <v>23.375806080000004</v>
      </c>
      <c r="N20" s="156">
        <f t="shared" si="4"/>
        <v>11.687903040000002</v>
      </c>
      <c r="O20" s="156">
        <f t="shared" si="5"/>
        <v>11.687903040000002</v>
      </c>
      <c r="P20" s="160">
        <f t="shared" si="6"/>
        <v>40.907660640000003</v>
      </c>
    </row>
    <row r="21" spans="1:16">
      <c r="A21" s="155">
        <v>19</v>
      </c>
      <c r="B21" s="92" t="s">
        <v>301</v>
      </c>
      <c r="C21" s="153" t="s">
        <v>300</v>
      </c>
      <c r="D21" s="116"/>
      <c r="E21" s="35">
        <v>6319406</v>
      </c>
      <c r="F21" s="162">
        <v>432.75</v>
      </c>
      <c r="G21" s="160">
        <f t="shared" si="0"/>
        <v>31.936950000000003</v>
      </c>
      <c r="H21" s="162">
        <v>0</v>
      </c>
      <c r="I21" s="161">
        <f t="shared" si="1"/>
        <v>400.81304999999998</v>
      </c>
      <c r="J21" s="154" t="s">
        <v>196</v>
      </c>
      <c r="K21" s="162" t="s">
        <v>148</v>
      </c>
      <c r="L21" s="161">
        <f t="shared" si="2"/>
        <v>60.121957499999994</v>
      </c>
      <c r="M21" s="161">
        <f t="shared" si="3"/>
        <v>16.032522</v>
      </c>
      <c r="N21" s="156">
        <f t="shared" si="4"/>
        <v>8.0162610000000001</v>
      </c>
      <c r="O21" s="156">
        <f t="shared" si="5"/>
        <v>8.0162610000000001</v>
      </c>
      <c r="P21" s="160">
        <f t="shared" si="6"/>
        <v>28.056913499999993</v>
      </c>
    </row>
    <row r="22" spans="1:16">
      <c r="A22" s="155">
        <v>20</v>
      </c>
      <c r="B22" s="92" t="s">
        <v>302</v>
      </c>
      <c r="C22" s="153" t="s">
        <v>275</v>
      </c>
      <c r="D22" s="116">
        <v>37778819</v>
      </c>
      <c r="E22" s="35">
        <v>6328638</v>
      </c>
      <c r="F22" s="162">
        <v>1033.44</v>
      </c>
      <c r="G22" s="160">
        <f t="shared" si="0"/>
        <v>76.267872000000011</v>
      </c>
      <c r="H22" s="162">
        <v>86.07</v>
      </c>
      <c r="I22" s="161">
        <f t="shared" si="1"/>
        <v>871.10212799999999</v>
      </c>
      <c r="J22" s="154" t="s">
        <v>192</v>
      </c>
      <c r="K22" s="162" t="s">
        <v>31</v>
      </c>
      <c r="L22" s="161">
        <f t="shared" si="2"/>
        <v>130.6653192</v>
      </c>
      <c r="M22" s="161">
        <f t="shared" si="3"/>
        <v>34.844085120000003</v>
      </c>
      <c r="N22" s="156">
        <f t="shared" si="4"/>
        <v>17.422042560000001</v>
      </c>
      <c r="O22" s="156">
        <f t="shared" si="5"/>
        <v>17.422042560000001</v>
      </c>
      <c r="P22" s="160">
        <f t="shared" si="6"/>
        <v>60.977148959999987</v>
      </c>
    </row>
    <row r="23" spans="1:16">
      <c r="A23" s="155">
        <v>21</v>
      </c>
      <c r="B23" s="92" t="s">
        <v>303</v>
      </c>
      <c r="C23" s="153" t="s">
        <v>203</v>
      </c>
      <c r="D23" s="116">
        <v>100311111700612</v>
      </c>
      <c r="E23" s="35">
        <v>6326406</v>
      </c>
      <c r="F23" s="162">
        <v>608</v>
      </c>
      <c r="G23" s="160">
        <f t="shared" si="0"/>
        <v>44.870400000000004</v>
      </c>
      <c r="H23" s="162">
        <v>65.2</v>
      </c>
      <c r="I23" s="161">
        <f t="shared" si="1"/>
        <v>497.92959999999999</v>
      </c>
      <c r="J23" s="154" t="s">
        <v>196</v>
      </c>
      <c r="K23" s="162" t="s">
        <v>42</v>
      </c>
      <c r="L23" s="161">
        <f t="shared" si="2"/>
        <v>74.689439999999991</v>
      </c>
      <c r="M23" s="161">
        <f t="shared" si="3"/>
        <v>19.917183999999999</v>
      </c>
      <c r="N23" s="156">
        <f t="shared" si="4"/>
        <v>9.9585919999999994</v>
      </c>
      <c r="O23" s="156">
        <f t="shared" si="5"/>
        <v>9.9585919999999994</v>
      </c>
      <c r="P23" s="160">
        <f t="shared" si="6"/>
        <v>34.855071999999993</v>
      </c>
    </row>
    <row r="24" spans="1:16">
      <c r="A24" s="155">
        <v>22</v>
      </c>
      <c r="B24" s="92" t="s">
        <v>304</v>
      </c>
      <c r="C24" s="153" t="s">
        <v>203</v>
      </c>
      <c r="D24" s="116"/>
      <c r="E24" s="35">
        <v>6318089</v>
      </c>
      <c r="F24" s="162">
        <v>427.72</v>
      </c>
      <c r="G24" s="160">
        <f t="shared" si="0"/>
        <v>31.565736000000005</v>
      </c>
      <c r="H24" s="162">
        <v>52.75</v>
      </c>
      <c r="I24" s="161">
        <f t="shared" si="1"/>
        <v>343.40426400000001</v>
      </c>
      <c r="J24" s="154" t="s">
        <v>196</v>
      </c>
      <c r="K24" s="162" t="s">
        <v>20</v>
      </c>
      <c r="L24" s="161">
        <f t="shared" si="2"/>
        <v>51.510639599999998</v>
      </c>
      <c r="M24" s="161">
        <f t="shared" si="3"/>
        <v>13.736170560000001</v>
      </c>
      <c r="N24" s="156">
        <f t="shared" si="4"/>
        <v>6.8680852800000007</v>
      </c>
      <c r="O24" s="156">
        <f t="shared" si="5"/>
        <v>6.8680852800000007</v>
      </c>
      <c r="P24" s="160">
        <f t="shared" si="6"/>
        <v>24.038298479999995</v>
      </c>
    </row>
    <row r="25" spans="1:16">
      <c r="A25" s="155">
        <v>23</v>
      </c>
      <c r="B25" s="92" t="s">
        <v>305</v>
      </c>
      <c r="C25" s="153" t="s">
        <v>29</v>
      </c>
      <c r="D25" s="116">
        <v>2967841</v>
      </c>
      <c r="E25" s="138" t="s">
        <v>306</v>
      </c>
      <c r="F25" s="162">
        <v>578.74</v>
      </c>
      <c r="G25" s="160">
        <f t="shared" si="0"/>
        <v>42.711012000000004</v>
      </c>
      <c r="H25" s="162">
        <v>57.84</v>
      </c>
      <c r="I25" s="161">
        <f t="shared" si="1"/>
        <v>478.18898799999999</v>
      </c>
      <c r="J25" s="154" t="s">
        <v>192</v>
      </c>
      <c r="K25" s="162" t="s">
        <v>290</v>
      </c>
      <c r="L25" s="161">
        <f t="shared" si="2"/>
        <v>71.728348199999999</v>
      </c>
      <c r="M25" s="161">
        <f t="shared" si="3"/>
        <v>19.127559520000002</v>
      </c>
      <c r="N25" s="156">
        <f t="shared" si="4"/>
        <v>9.563779760000001</v>
      </c>
      <c r="O25" s="156">
        <f t="shared" si="5"/>
        <v>9.563779760000001</v>
      </c>
      <c r="P25" s="160">
        <f t="shared" si="6"/>
        <v>33.473229159999988</v>
      </c>
    </row>
    <row r="26" spans="1:16">
      <c r="A26" s="155">
        <v>24</v>
      </c>
      <c r="B26" s="92" t="s">
        <v>307</v>
      </c>
      <c r="C26" s="153" t="s">
        <v>203</v>
      </c>
      <c r="D26" s="116">
        <v>1003111671894</v>
      </c>
      <c r="E26" s="138" t="s">
        <v>308</v>
      </c>
      <c r="F26" s="162">
        <v>424.97</v>
      </c>
      <c r="G26" s="160">
        <f t="shared" si="0"/>
        <v>31.362786000000003</v>
      </c>
      <c r="H26" s="162">
        <v>49.03</v>
      </c>
      <c r="I26" s="161">
        <f t="shared" si="1"/>
        <v>344.57721400000003</v>
      </c>
      <c r="J26" s="154" t="s">
        <v>196</v>
      </c>
      <c r="K26" s="162" t="s">
        <v>290</v>
      </c>
      <c r="L26" s="161">
        <f t="shared" si="2"/>
        <v>51.686582100000003</v>
      </c>
      <c r="M26" s="161">
        <f t="shared" si="3"/>
        <v>13.783088560000001</v>
      </c>
      <c r="N26" s="156">
        <f t="shared" si="4"/>
        <v>6.8915442800000006</v>
      </c>
      <c r="O26" s="156">
        <f t="shared" si="5"/>
        <v>6.8915442800000006</v>
      </c>
      <c r="P26" s="160">
        <f t="shared" si="6"/>
        <v>24.120404979999996</v>
      </c>
    </row>
    <row r="27" spans="1:16">
      <c r="A27" s="155">
        <v>25</v>
      </c>
      <c r="B27" s="92" t="s">
        <v>309</v>
      </c>
      <c r="C27" s="153" t="s">
        <v>275</v>
      </c>
      <c r="D27" s="116">
        <v>100311111710775</v>
      </c>
      <c r="E27" s="35">
        <v>6334091</v>
      </c>
      <c r="F27" s="162">
        <v>558.37</v>
      </c>
      <c r="G27" s="160">
        <f t="shared" si="0"/>
        <v>41.207706000000002</v>
      </c>
      <c r="H27" s="162">
        <v>186.12</v>
      </c>
      <c r="I27" s="161">
        <f t="shared" si="1"/>
        <v>331.04229399999997</v>
      </c>
      <c r="J27" s="154" t="s">
        <v>196</v>
      </c>
      <c r="K27" s="162" t="s">
        <v>20</v>
      </c>
      <c r="L27" s="161">
        <f t="shared" si="2"/>
        <v>49.656344099999991</v>
      </c>
      <c r="M27" s="161">
        <f t="shared" si="3"/>
        <v>13.241691759999998</v>
      </c>
      <c r="N27" s="156">
        <f t="shared" si="4"/>
        <v>6.6208458799999992</v>
      </c>
      <c r="O27" s="156">
        <f t="shared" si="5"/>
        <v>6.6208458799999992</v>
      </c>
      <c r="P27" s="160">
        <f t="shared" si="6"/>
        <v>23.172960579999994</v>
      </c>
    </row>
    <row r="28" spans="1:16">
      <c r="A28" s="155">
        <v>26</v>
      </c>
      <c r="B28" s="92" t="s">
        <v>310</v>
      </c>
      <c r="C28" s="153" t="s">
        <v>203</v>
      </c>
      <c r="D28" s="116">
        <v>10031111710286</v>
      </c>
      <c r="E28" s="35">
        <v>6334540</v>
      </c>
      <c r="F28" s="162">
        <v>547.23</v>
      </c>
      <c r="G28" s="160">
        <f t="shared" si="0"/>
        <v>40.385574000000005</v>
      </c>
      <c r="H28" s="162">
        <v>58.8</v>
      </c>
      <c r="I28" s="161">
        <f t="shared" si="1"/>
        <v>448.04442599999999</v>
      </c>
      <c r="J28" s="154" t="s">
        <v>196</v>
      </c>
      <c r="K28" s="162" t="s">
        <v>290</v>
      </c>
      <c r="L28" s="161">
        <f t="shared" si="2"/>
        <v>67.206663899999995</v>
      </c>
      <c r="M28" s="161">
        <f t="shared" si="3"/>
        <v>17.921777039999998</v>
      </c>
      <c r="N28" s="156">
        <f t="shared" si="4"/>
        <v>8.9608885199999992</v>
      </c>
      <c r="O28" s="156">
        <f t="shared" si="5"/>
        <v>8.9608885199999992</v>
      </c>
      <c r="P28" s="160">
        <f t="shared" si="6"/>
        <v>31.363109820000005</v>
      </c>
    </row>
    <row r="29" spans="1:16">
      <c r="A29" s="155">
        <v>27</v>
      </c>
      <c r="B29" s="92" t="s">
        <v>311</v>
      </c>
      <c r="C29" s="153" t="s">
        <v>93</v>
      </c>
      <c r="D29" s="116">
        <v>10031111709123</v>
      </c>
      <c r="E29" s="35">
        <v>6333806</v>
      </c>
      <c r="F29" s="162">
        <v>601.39</v>
      </c>
      <c r="G29" s="160">
        <f t="shared" si="0"/>
        <v>44.382581999999999</v>
      </c>
      <c r="H29" s="162">
        <v>158.86000000000001</v>
      </c>
      <c r="I29" s="161">
        <f t="shared" si="1"/>
        <v>398.14741800000002</v>
      </c>
      <c r="J29" s="154" t="s">
        <v>196</v>
      </c>
      <c r="K29" s="162" t="s">
        <v>290</v>
      </c>
      <c r="L29" s="161">
        <f t="shared" si="2"/>
        <v>59.722112699999997</v>
      </c>
      <c r="M29" s="161">
        <f t="shared" si="3"/>
        <v>15.925896720000001</v>
      </c>
      <c r="N29" s="156">
        <f t="shared" si="4"/>
        <v>7.9629483600000004</v>
      </c>
      <c r="O29" s="156">
        <f t="shared" si="5"/>
        <v>7.9629483600000004</v>
      </c>
      <c r="P29" s="160">
        <f t="shared" si="6"/>
        <v>27.870319260000002</v>
      </c>
    </row>
    <row r="30" spans="1:16">
      <c r="A30" s="155">
        <v>28</v>
      </c>
      <c r="B30" s="92" t="s">
        <v>312</v>
      </c>
      <c r="C30" s="153" t="s">
        <v>203</v>
      </c>
      <c r="D30" s="116">
        <v>10031111706869</v>
      </c>
      <c r="E30" s="35">
        <v>6285213</v>
      </c>
      <c r="F30" s="162">
        <v>467.62</v>
      </c>
      <c r="G30" s="160">
        <f t="shared" si="0"/>
        <v>34.510356000000002</v>
      </c>
      <c r="H30" s="162">
        <v>123.96</v>
      </c>
      <c r="I30" s="161">
        <f t="shared" si="1"/>
        <v>309.14964400000002</v>
      </c>
      <c r="J30" s="154" t="s">
        <v>196</v>
      </c>
      <c r="K30" s="162" t="s">
        <v>197</v>
      </c>
      <c r="L30" s="161">
        <f t="shared" si="2"/>
        <v>46.372446600000004</v>
      </c>
      <c r="M30" s="161">
        <f t="shared" si="3"/>
        <v>12.365985760000001</v>
      </c>
      <c r="N30" s="156">
        <f t="shared" si="4"/>
        <v>6.1829928800000005</v>
      </c>
      <c r="O30" s="156">
        <f t="shared" si="5"/>
        <v>6.1829928800000005</v>
      </c>
      <c r="P30" s="160">
        <f t="shared" si="6"/>
        <v>21.640475080000002</v>
      </c>
    </row>
    <row r="31" spans="1:16">
      <c r="A31" s="155">
        <v>29</v>
      </c>
      <c r="B31" s="92" t="s">
        <v>313</v>
      </c>
      <c r="C31" s="153" t="s">
        <v>203</v>
      </c>
      <c r="D31" s="116">
        <v>377801608</v>
      </c>
      <c r="E31" s="138" t="s">
        <v>314</v>
      </c>
      <c r="F31" s="162">
        <v>371.56</v>
      </c>
      <c r="G31" s="160">
        <f t="shared" si="0"/>
        <v>27.421128000000003</v>
      </c>
      <c r="H31" s="162">
        <v>92.89</v>
      </c>
      <c r="I31" s="161">
        <f t="shared" si="1"/>
        <v>251.24887200000001</v>
      </c>
      <c r="J31" s="154" t="s">
        <v>196</v>
      </c>
      <c r="K31" s="162" t="s">
        <v>315</v>
      </c>
      <c r="L31" s="161">
        <f t="shared" si="2"/>
        <v>37.687330799999998</v>
      </c>
      <c r="M31" s="161">
        <f t="shared" si="3"/>
        <v>10.04995488</v>
      </c>
      <c r="N31" s="156">
        <f t="shared" si="4"/>
        <v>5.0249774399999998</v>
      </c>
      <c r="O31" s="156">
        <f t="shared" si="5"/>
        <v>5.0249774399999998</v>
      </c>
      <c r="P31" s="160">
        <f t="shared" si="6"/>
        <v>17.587421039999995</v>
      </c>
    </row>
    <row r="32" spans="1:16">
      <c r="A32" s="155">
        <v>30</v>
      </c>
      <c r="B32" s="92" t="s">
        <v>316</v>
      </c>
      <c r="C32" s="153" t="s">
        <v>203</v>
      </c>
      <c r="D32" s="116">
        <v>10031111715834</v>
      </c>
      <c r="E32" s="35">
        <v>6338117</v>
      </c>
      <c r="F32" s="162">
        <v>517.64</v>
      </c>
      <c r="G32" s="160">
        <f t="shared" si="0"/>
        <v>38.201832000000003</v>
      </c>
      <c r="H32" s="162">
        <v>55.62</v>
      </c>
      <c r="I32" s="161">
        <f t="shared" si="1"/>
        <v>423.81816799999996</v>
      </c>
      <c r="J32" s="154" t="s">
        <v>196</v>
      </c>
      <c r="K32" s="162" t="s">
        <v>200</v>
      </c>
      <c r="L32" s="161">
        <f t="shared" si="2"/>
        <v>63.572725199999994</v>
      </c>
      <c r="M32" s="161">
        <f t="shared" si="3"/>
        <v>16.952726719999998</v>
      </c>
      <c r="N32" s="156">
        <f t="shared" si="4"/>
        <v>8.4763633599999988</v>
      </c>
      <c r="O32" s="156">
        <f t="shared" si="5"/>
        <v>8.4763633599999988</v>
      </c>
      <c r="P32" s="160">
        <f t="shared" si="6"/>
        <v>29.667271759999991</v>
      </c>
    </row>
    <row r="33" spans="1:16">
      <c r="A33" s="155">
        <v>31</v>
      </c>
      <c r="B33" s="123" t="s">
        <v>317</v>
      </c>
      <c r="C33" s="153" t="s">
        <v>318</v>
      </c>
      <c r="D33" s="116">
        <v>37793511</v>
      </c>
      <c r="E33" s="35">
        <v>6316464</v>
      </c>
      <c r="F33" s="162">
        <v>559.71</v>
      </c>
      <c r="G33" s="160">
        <f t="shared" si="0"/>
        <v>41.306598000000008</v>
      </c>
      <c r="H33" s="162">
        <v>0</v>
      </c>
      <c r="I33" s="161">
        <f t="shared" si="1"/>
        <v>518.40340200000003</v>
      </c>
      <c r="J33" s="154" t="s">
        <v>196</v>
      </c>
      <c r="K33" s="162" t="s">
        <v>31</v>
      </c>
      <c r="L33" s="161">
        <f t="shared" si="2"/>
        <v>77.760510300000007</v>
      </c>
      <c r="M33" s="161">
        <f t="shared" si="3"/>
        <v>20.736136080000001</v>
      </c>
      <c r="N33" s="156">
        <f t="shared" si="4"/>
        <v>10.368068040000001</v>
      </c>
      <c r="O33" s="156">
        <f t="shared" si="5"/>
        <v>10.368068040000001</v>
      </c>
      <c r="P33" s="160">
        <f t="shared" si="6"/>
        <v>36.288238140000004</v>
      </c>
    </row>
    <row r="34" spans="1:16">
      <c r="A34" s="155">
        <v>32</v>
      </c>
      <c r="B34" s="92" t="s">
        <v>319</v>
      </c>
      <c r="C34" s="153" t="s">
        <v>29</v>
      </c>
      <c r="D34" s="116">
        <v>377793511</v>
      </c>
      <c r="E34" s="35">
        <v>6302548</v>
      </c>
      <c r="F34" s="162">
        <v>633.87</v>
      </c>
      <c r="G34" s="160">
        <f t="shared" si="0"/>
        <v>46.779606000000001</v>
      </c>
      <c r="H34" s="162">
        <v>211.29</v>
      </c>
      <c r="I34" s="161">
        <f t="shared" si="1"/>
        <v>375.8003940000001</v>
      </c>
      <c r="J34" s="154" t="s">
        <v>196</v>
      </c>
      <c r="K34" s="162" t="s">
        <v>31</v>
      </c>
      <c r="L34" s="161">
        <f t="shared" si="2"/>
        <v>56.370059100000013</v>
      </c>
      <c r="M34" s="161">
        <f t="shared" si="3"/>
        <v>15.032015760000004</v>
      </c>
      <c r="N34" s="156">
        <f t="shared" si="4"/>
        <v>7.5160078800000019</v>
      </c>
      <c r="O34" s="156">
        <f t="shared" si="5"/>
        <v>7.5160078800000019</v>
      </c>
      <c r="P34" s="160">
        <f t="shared" si="6"/>
        <v>26.306027580000006</v>
      </c>
    </row>
    <row r="35" spans="1:16">
      <c r="A35" s="155">
        <v>33</v>
      </c>
      <c r="B35" s="92" t="s">
        <v>320</v>
      </c>
      <c r="C35" s="153" t="s">
        <v>93</v>
      </c>
      <c r="D35" s="116">
        <v>100311111714005</v>
      </c>
      <c r="E35" s="35">
        <v>6337032</v>
      </c>
      <c r="F35" s="162">
        <v>814.07</v>
      </c>
      <c r="G35" s="160">
        <f t="shared" si="0"/>
        <v>60.07836600000001</v>
      </c>
      <c r="H35" s="162">
        <v>87.47</v>
      </c>
      <c r="I35" s="161">
        <f t="shared" si="1"/>
        <v>666.52163400000006</v>
      </c>
      <c r="J35" s="154" t="s">
        <v>196</v>
      </c>
      <c r="K35" s="162" t="s">
        <v>290</v>
      </c>
      <c r="L35" s="161">
        <f t="shared" si="2"/>
        <v>99.978245100000009</v>
      </c>
      <c r="M35" s="161">
        <f t="shared" si="3"/>
        <v>26.660865360000003</v>
      </c>
      <c r="N35" s="156">
        <f t="shared" si="4"/>
        <v>13.330432680000001</v>
      </c>
      <c r="O35" s="156">
        <f t="shared" si="5"/>
        <v>13.330432680000001</v>
      </c>
      <c r="P35" s="160">
        <f t="shared" si="6"/>
        <v>46.656514380000004</v>
      </c>
    </row>
    <row r="36" spans="1:16">
      <c r="A36" s="155">
        <v>34</v>
      </c>
      <c r="B36" s="92" t="s">
        <v>321</v>
      </c>
      <c r="C36" s="153" t="s">
        <v>318</v>
      </c>
      <c r="D36" s="116">
        <v>100311111711768</v>
      </c>
      <c r="E36" s="35">
        <v>6331757</v>
      </c>
      <c r="F36" s="162">
        <v>513.20000000000005</v>
      </c>
      <c r="G36" s="160">
        <f t="shared" si="0"/>
        <v>37.874160000000003</v>
      </c>
      <c r="H36" s="162">
        <v>0</v>
      </c>
      <c r="I36" s="161">
        <f t="shared" si="1"/>
        <v>475.32584000000003</v>
      </c>
      <c r="J36" s="154" t="s">
        <v>196</v>
      </c>
      <c r="K36" s="162" t="s">
        <v>51</v>
      </c>
      <c r="L36" s="161">
        <f t="shared" si="2"/>
        <v>71.298876000000007</v>
      </c>
      <c r="M36" s="161">
        <f t="shared" si="3"/>
        <v>19.0130336</v>
      </c>
      <c r="N36" s="156">
        <f t="shared" si="4"/>
        <v>9.5065168</v>
      </c>
      <c r="O36" s="156">
        <f t="shared" si="5"/>
        <v>9.5065168</v>
      </c>
      <c r="P36" s="160">
        <f t="shared" si="6"/>
        <v>33.272808800000007</v>
      </c>
    </row>
    <row r="37" spans="1:16">
      <c r="A37" s="155">
        <v>35</v>
      </c>
      <c r="B37" s="92" t="s">
        <v>322</v>
      </c>
      <c r="C37" s="153" t="s">
        <v>203</v>
      </c>
      <c r="D37" s="116">
        <v>100311111714950</v>
      </c>
      <c r="E37" s="138" t="s">
        <v>323</v>
      </c>
      <c r="F37" s="162">
        <v>431.55</v>
      </c>
      <c r="G37" s="160">
        <f t="shared" si="0"/>
        <v>31.848390000000002</v>
      </c>
      <c r="H37" s="162">
        <v>46.37</v>
      </c>
      <c r="I37" s="161">
        <f t="shared" si="1"/>
        <v>353.33161000000001</v>
      </c>
      <c r="J37" s="154" t="s">
        <v>196</v>
      </c>
      <c r="K37" s="162" t="s">
        <v>42</v>
      </c>
      <c r="L37" s="161">
        <f t="shared" si="2"/>
        <v>52.999741499999999</v>
      </c>
      <c r="M37" s="161">
        <f t="shared" si="3"/>
        <v>14.133264400000002</v>
      </c>
      <c r="N37" s="156">
        <f t="shared" si="4"/>
        <v>7.0666322000000008</v>
      </c>
      <c r="O37" s="156">
        <f t="shared" si="5"/>
        <v>7.0666322000000008</v>
      </c>
      <c r="P37" s="160">
        <f t="shared" si="6"/>
        <v>24.733212699999996</v>
      </c>
    </row>
    <row r="38" spans="1:16">
      <c r="A38" s="155">
        <v>36</v>
      </c>
      <c r="B38" s="92" t="s">
        <v>324</v>
      </c>
      <c r="C38" s="153" t="s">
        <v>325</v>
      </c>
      <c r="D38" s="116">
        <v>100311111724123</v>
      </c>
      <c r="E38" s="138" t="s">
        <v>326</v>
      </c>
      <c r="F38" s="162">
        <v>441.47</v>
      </c>
      <c r="G38" s="160">
        <f t="shared" si="0"/>
        <v>32.580486000000001</v>
      </c>
      <c r="H38" s="162">
        <v>116.62</v>
      </c>
      <c r="I38" s="161">
        <f t="shared" si="1"/>
        <v>292.26951400000002</v>
      </c>
      <c r="J38" s="154" t="s">
        <v>192</v>
      </c>
      <c r="K38" s="162" t="s">
        <v>290</v>
      </c>
      <c r="L38" s="161">
        <f t="shared" si="2"/>
        <v>43.840427099999999</v>
      </c>
      <c r="M38" s="161">
        <f t="shared" si="3"/>
        <v>11.69078056</v>
      </c>
      <c r="N38" s="156">
        <f t="shared" si="4"/>
        <v>5.8453902800000002</v>
      </c>
      <c r="O38" s="156">
        <f t="shared" si="5"/>
        <v>5.8453902800000002</v>
      </c>
      <c r="P38" s="160">
        <f t="shared" si="6"/>
        <v>20.458865979999999</v>
      </c>
    </row>
    <row r="39" spans="1:16">
      <c r="A39" s="155">
        <v>37</v>
      </c>
      <c r="B39" s="92" t="s">
        <v>327</v>
      </c>
      <c r="C39" s="153" t="s">
        <v>203</v>
      </c>
      <c r="D39" s="116">
        <v>1003111111440390</v>
      </c>
      <c r="E39" s="35">
        <v>6342235</v>
      </c>
      <c r="F39" s="162">
        <v>413.72</v>
      </c>
      <c r="G39" s="160">
        <f t="shared" si="0"/>
        <v>30.532536000000004</v>
      </c>
      <c r="H39" s="162">
        <v>45.97</v>
      </c>
      <c r="I39" s="161">
        <f t="shared" si="1"/>
        <v>337.21746400000006</v>
      </c>
      <c r="J39" s="154" t="s">
        <v>192</v>
      </c>
      <c r="K39" s="162" t="s">
        <v>290</v>
      </c>
      <c r="L39" s="161">
        <f t="shared" si="2"/>
        <v>50.582619600000008</v>
      </c>
      <c r="M39" s="161">
        <f t="shared" si="3"/>
        <v>13.488698560000003</v>
      </c>
      <c r="N39" s="156">
        <f t="shared" si="4"/>
        <v>6.7443492800000016</v>
      </c>
      <c r="O39" s="156">
        <f t="shared" si="5"/>
        <v>6.7443492800000016</v>
      </c>
      <c r="P39" s="160">
        <f t="shared" si="6"/>
        <v>23.605222480000002</v>
      </c>
    </row>
    <row r="40" spans="1:16">
      <c r="A40" s="155">
        <v>38</v>
      </c>
      <c r="B40" s="92" t="s">
        <v>328</v>
      </c>
      <c r="C40" s="153" t="s">
        <v>329</v>
      </c>
      <c r="D40" s="116">
        <v>37799457</v>
      </c>
      <c r="E40" s="35">
        <v>6326467</v>
      </c>
      <c r="F40" s="162">
        <v>532.41</v>
      </c>
      <c r="G40" s="160">
        <f t="shared" si="0"/>
        <v>39.291857999999998</v>
      </c>
      <c r="H40" s="162">
        <v>0</v>
      </c>
      <c r="I40" s="161">
        <f t="shared" si="1"/>
        <v>493.11814199999998</v>
      </c>
      <c r="J40" s="154" t="s">
        <v>196</v>
      </c>
      <c r="K40" s="162" t="s">
        <v>78</v>
      </c>
      <c r="L40" s="161">
        <f t="shared" si="2"/>
        <v>73.967721299999994</v>
      </c>
      <c r="M40" s="161">
        <f t="shared" si="3"/>
        <v>19.724725679999999</v>
      </c>
      <c r="N40" s="156">
        <f t="shared" si="4"/>
        <v>9.8623628399999994</v>
      </c>
      <c r="O40" s="156">
        <f t="shared" si="5"/>
        <v>9.8623628399999994</v>
      </c>
      <c r="P40" s="160">
        <f t="shared" si="6"/>
        <v>34.518269939999996</v>
      </c>
    </row>
    <row r="41" spans="1:16">
      <c r="A41" s="155">
        <v>39</v>
      </c>
      <c r="B41" s="92" t="s">
        <v>330</v>
      </c>
      <c r="C41" s="153" t="s">
        <v>203</v>
      </c>
      <c r="D41" s="116">
        <v>100311111721411</v>
      </c>
      <c r="E41" s="35">
        <v>6341693</v>
      </c>
      <c r="F41" s="162">
        <v>561.29</v>
      </c>
      <c r="G41" s="160">
        <f t="shared" si="0"/>
        <v>41.423201999999996</v>
      </c>
      <c r="H41" s="162">
        <v>60.31</v>
      </c>
      <c r="I41" s="161">
        <f t="shared" si="1"/>
        <v>459.55679800000001</v>
      </c>
      <c r="J41" s="154" t="s">
        <v>196</v>
      </c>
      <c r="K41" s="162" t="s">
        <v>78</v>
      </c>
      <c r="L41" s="161">
        <f t="shared" si="2"/>
        <v>68.933519700000005</v>
      </c>
      <c r="M41" s="161">
        <f t="shared" si="3"/>
        <v>18.382271920000001</v>
      </c>
      <c r="N41" s="156">
        <f t="shared" si="4"/>
        <v>9.1911359600000004</v>
      </c>
      <c r="O41" s="156">
        <f t="shared" si="5"/>
        <v>9.1911359600000004</v>
      </c>
      <c r="P41" s="160">
        <f t="shared" si="6"/>
        <v>32.168975860000003</v>
      </c>
    </row>
    <row r="42" spans="1:16">
      <c r="A42" s="155">
        <v>40</v>
      </c>
      <c r="B42" s="92" t="s">
        <v>331</v>
      </c>
      <c r="C42" s="153" t="s">
        <v>170</v>
      </c>
      <c r="D42" s="116">
        <v>100311111722610</v>
      </c>
      <c r="E42" s="35">
        <v>6340986</v>
      </c>
      <c r="F42" s="162">
        <v>683.29</v>
      </c>
      <c r="G42" s="160">
        <f t="shared" si="0"/>
        <v>50.426802000000002</v>
      </c>
      <c r="H42" s="162">
        <v>73.42</v>
      </c>
      <c r="I42" s="161">
        <f t="shared" si="1"/>
        <v>559.44319800000005</v>
      </c>
      <c r="J42" s="154" t="s">
        <v>196</v>
      </c>
      <c r="K42" s="162" t="s">
        <v>290</v>
      </c>
      <c r="L42" s="161">
        <f t="shared" si="2"/>
        <v>83.916479700000011</v>
      </c>
      <c r="M42" s="161">
        <f t="shared" si="3"/>
        <v>22.377727920000002</v>
      </c>
      <c r="N42" s="156">
        <f t="shared" si="4"/>
        <v>11.188863960000001</v>
      </c>
      <c r="O42" s="156">
        <f t="shared" si="5"/>
        <v>11.188863960000001</v>
      </c>
      <c r="P42" s="160">
        <f t="shared" si="6"/>
        <v>39.161023860000014</v>
      </c>
    </row>
    <row r="43" spans="1:16">
      <c r="A43" s="155">
        <v>41</v>
      </c>
      <c r="B43" s="92" t="s">
        <v>332</v>
      </c>
      <c r="C43" s="153" t="s">
        <v>33</v>
      </c>
      <c r="D43" s="116">
        <v>100311111719234</v>
      </c>
      <c r="E43" s="35">
        <v>6340620</v>
      </c>
      <c r="F43" s="162">
        <v>880.89</v>
      </c>
      <c r="G43" s="160">
        <f t="shared" si="0"/>
        <v>65.009681999999998</v>
      </c>
      <c r="H43" s="162">
        <v>94.65</v>
      </c>
      <c r="I43" s="161">
        <f t="shared" si="1"/>
        <v>721.23031800000001</v>
      </c>
      <c r="J43" s="154" t="s">
        <v>196</v>
      </c>
      <c r="K43" s="162" t="s">
        <v>250</v>
      </c>
      <c r="L43" s="161">
        <f t="shared" si="2"/>
        <v>108.1845477</v>
      </c>
      <c r="M43" s="161">
        <f t="shared" si="3"/>
        <v>28.849212720000001</v>
      </c>
      <c r="N43" s="156">
        <f t="shared" si="4"/>
        <v>14.42460636</v>
      </c>
      <c r="O43" s="156">
        <f t="shared" si="5"/>
        <v>14.42460636</v>
      </c>
      <c r="P43" s="160">
        <f t="shared" si="6"/>
        <v>50.486122260000002</v>
      </c>
    </row>
    <row r="44" spans="1:16">
      <c r="A44" s="155">
        <v>42</v>
      </c>
      <c r="B44" s="92" t="s">
        <v>333</v>
      </c>
      <c r="C44" s="153" t="s">
        <v>93</v>
      </c>
      <c r="D44" s="116">
        <v>100311111728023</v>
      </c>
      <c r="E44" s="35">
        <v>6338709</v>
      </c>
      <c r="F44" s="162">
        <v>530.62</v>
      </c>
      <c r="G44" s="160">
        <f t="shared" si="0"/>
        <v>39.159756000000002</v>
      </c>
      <c r="H44" s="162">
        <v>0</v>
      </c>
      <c r="I44" s="161">
        <f t="shared" si="1"/>
        <v>491.46024399999999</v>
      </c>
      <c r="J44" s="154" t="s">
        <v>196</v>
      </c>
      <c r="K44" s="162" t="s">
        <v>42</v>
      </c>
      <c r="L44" s="161">
        <f t="shared" si="2"/>
        <v>73.719036599999995</v>
      </c>
      <c r="M44" s="161">
        <f t="shared" si="3"/>
        <v>19.658409760000001</v>
      </c>
      <c r="N44" s="156">
        <f t="shared" si="4"/>
        <v>9.8292048800000007</v>
      </c>
      <c r="O44" s="156">
        <f t="shared" si="5"/>
        <v>9.8292048800000007</v>
      </c>
      <c r="P44" s="160">
        <f t="shared" si="6"/>
        <v>34.40221708</v>
      </c>
    </row>
    <row r="45" spans="1:16">
      <c r="A45" s="155">
        <v>43</v>
      </c>
      <c r="B45" s="92" t="s">
        <v>334</v>
      </c>
      <c r="C45" s="153" t="s">
        <v>33</v>
      </c>
      <c r="D45" s="116">
        <v>10031111717942</v>
      </c>
      <c r="E45" s="35">
        <v>6332853</v>
      </c>
      <c r="F45" s="162">
        <v>754.72</v>
      </c>
      <c r="G45" s="160">
        <f t="shared" si="0"/>
        <v>55.698336000000005</v>
      </c>
      <c r="H45" s="162">
        <v>81.099999999999994</v>
      </c>
      <c r="I45" s="161">
        <f t="shared" si="1"/>
        <v>617.92166399999996</v>
      </c>
      <c r="J45" s="154" t="s">
        <v>196</v>
      </c>
      <c r="K45" s="162" t="s">
        <v>335</v>
      </c>
      <c r="L45" s="161">
        <f t="shared" si="2"/>
        <v>92.688249599999992</v>
      </c>
      <c r="M45" s="161">
        <f t="shared" si="3"/>
        <v>24.71686656</v>
      </c>
      <c r="N45" s="156">
        <f t="shared" si="4"/>
        <v>12.35843328</v>
      </c>
      <c r="O45" s="156">
        <f t="shared" si="5"/>
        <v>12.35843328</v>
      </c>
      <c r="P45" s="160">
        <f t="shared" si="6"/>
        <v>43.254516479999992</v>
      </c>
    </row>
    <row r="46" spans="1:16">
      <c r="A46" s="155">
        <v>44</v>
      </c>
      <c r="B46" s="92" t="s">
        <v>336</v>
      </c>
      <c r="C46" s="153" t="s">
        <v>93</v>
      </c>
      <c r="D46" s="116">
        <v>1003111117416890</v>
      </c>
      <c r="E46" s="35">
        <v>6334018</v>
      </c>
      <c r="F46" s="162">
        <v>663.33</v>
      </c>
      <c r="G46" s="160">
        <f t="shared" si="0"/>
        <v>48.953754000000004</v>
      </c>
      <c r="H46" s="162">
        <v>0</v>
      </c>
      <c r="I46" s="161">
        <f t="shared" si="1"/>
        <v>614.37624600000004</v>
      </c>
      <c r="J46" s="154" t="s">
        <v>196</v>
      </c>
      <c r="K46" s="162" t="s">
        <v>290</v>
      </c>
      <c r="L46" s="161">
        <f t="shared" si="2"/>
        <v>92.156436900000003</v>
      </c>
      <c r="M46" s="161">
        <f t="shared" si="3"/>
        <v>24.575049840000002</v>
      </c>
      <c r="N46" s="156">
        <f t="shared" si="4"/>
        <v>12.287524920000001</v>
      </c>
      <c r="O46" s="156">
        <f t="shared" si="5"/>
        <v>12.287524920000001</v>
      </c>
      <c r="P46" s="160">
        <f t="shared" si="6"/>
        <v>43.006337219999992</v>
      </c>
    </row>
    <row r="47" spans="1:16">
      <c r="A47" s="155">
        <v>45</v>
      </c>
      <c r="B47" s="92" t="s">
        <v>337</v>
      </c>
      <c r="C47" s="153" t="s">
        <v>203</v>
      </c>
      <c r="D47" s="116">
        <v>37796402</v>
      </c>
      <c r="E47" s="35">
        <v>6338748</v>
      </c>
      <c r="F47" s="162">
        <v>322.86</v>
      </c>
      <c r="G47" s="160">
        <f t="shared" si="0"/>
        <v>23.827068000000004</v>
      </c>
      <c r="H47" s="162">
        <v>80.67</v>
      </c>
      <c r="I47" s="161">
        <f t="shared" si="1"/>
        <v>218.362932</v>
      </c>
      <c r="J47" s="154" t="s">
        <v>196</v>
      </c>
      <c r="K47" s="162" t="s">
        <v>42</v>
      </c>
      <c r="L47" s="161">
        <f t="shared" si="2"/>
        <v>32.7544398</v>
      </c>
      <c r="M47" s="161">
        <f t="shared" si="3"/>
        <v>8.7345172800000004</v>
      </c>
      <c r="N47" s="156">
        <f t="shared" si="4"/>
        <v>4.3672586400000002</v>
      </c>
      <c r="O47" s="156">
        <f t="shared" si="5"/>
        <v>4.3672586400000002</v>
      </c>
      <c r="P47" s="160">
        <f t="shared" si="6"/>
        <v>15.285405240000003</v>
      </c>
    </row>
    <row r="48" spans="1:16">
      <c r="A48" s="155">
        <v>46</v>
      </c>
      <c r="B48" s="92" t="s">
        <v>338</v>
      </c>
      <c r="C48" s="153" t="s">
        <v>203</v>
      </c>
      <c r="D48" s="116">
        <v>10031111724958</v>
      </c>
      <c r="E48" s="35">
        <v>6344500</v>
      </c>
      <c r="F48" s="162">
        <v>556.01</v>
      </c>
      <c r="G48" s="160">
        <f t="shared" si="0"/>
        <v>41.033538</v>
      </c>
      <c r="H48" s="162">
        <v>59.75</v>
      </c>
      <c r="I48" s="161">
        <f t="shared" si="1"/>
        <v>455.22646199999997</v>
      </c>
      <c r="J48" s="154" t="s">
        <v>196</v>
      </c>
      <c r="K48" s="162" t="s">
        <v>78</v>
      </c>
      <c r="L48" s="161">
        <f t="shared" si="2"/>
        <v>68.283969299999995</v>
      </c>
      <c r="M48" s="161">
        <f t="shared" si="3"/>
        <v>18.209058479999999</v>
      </c>
      <c r="N48" s="156">
        <f t="shared" si="4"/>
        <v>9.1045292399999997</v>
      </c>
      <c r="O48" s="156">
        <f t="shared" si="5"/>
        <v>9.1045292399999997</v>
      </c>
      <c r="P48" s="160">
        <f t="shared" si="6"/>
        <v>31.865852340000004</v>
      </c>
    </row>
    <row r="49" spans="1:16">
      <c r="A49" s="155">
        <v>47</v>
      </c>
      <c r="B49" s="92" t="s">
        <v>339</v>
      </c>
      <c r="C49" s="153" t="s">
        <v>36</v>
      </c>
      <c r="D49" s="116">
        <v>100311111725281</v>
      </c>
      <c r="E49" s="35">
        <v>6340586</v>
      </c>
      <c r="F49" s="162">
        <v>860.82</v>
      </c>
      <c r="G49" s="160">
        <f t="shared" si="0"/>
        <v>63.52851600000001</v>
      </c>
      <c r="H49" s="162">
        <v>92.5</v>
      </c>
      <c r="I49" s="161">
        <f t="shared" si="1"/>
        <v>704.79148400000008</v>
      </c>
      <c r="J49" s="154" t="s">
        <v>196</v>
      </c>
      <c r="K49" s="162" t="s">
        <v>78</v>
      </c>
      <c r="L49" s="161">
        <f t="shared" si="2"/>
        <v>105.71872260000001</v>
      </c>
      <c r="M49" s="161">
        <f t="shared" si="3"/>
        <v>28.191659360000003</v>
      </c>
      <c r="N49" s="156">
        <f t="shared" si="4"/>
        <v>14.095829680000001</v>
      </c>
      <c r="O49" s="156">
        <f t="shared" si="5"/>
        <v>14.095829680000001</v>
      </c>
      <c r="P49" s="160">
        <f t="shared" si="6"/>
        <v>49.335403880000001</v>
      </c>
    </row>
    <row r="50" spans="1:16">
      <c r="A50" s="155">
        <v>48</v>
      </c>
      <c r="B50" s="92" t="s">
        <v>340</v>
      </c>
      <c r="C50" s="153" t="s">
        <v>203</v>
      </c>
      <c r="D50" s="116">
        <v>100311111725637</v>
      </c>
      <c r="E50" s="35">
        <v>6327450</v>
      </c>
      <c r="F50" s="162">
        <v>484.7</v>
      </c>
      <c r="G50" s="160">
        <f t="shared" si="0"/>
        <v>35.770859999999999</v>
      </c>
      <c r="H50" s="162">
        <v>128.04</v>
      </c>
      <c r="I50" s="161">
        <f t="shared" si="1"/>
        <v>320.88914</v>
      </c>
      <c r="J50" s="154" t="s">
        <v>196</v>
      </c>
      <c r="K50" s="162" t="s">
        <v>197</v>
      </c>
      <c r="L50" s="161">
        <f t="shared" si="2"/>
        <v>48.133370999999997</v>
      </c>
      <c r="M50" s="161">
        <f t="shared" si="3"/>
        <v>12.835565600000001</v>
      </c>
      <c r="N50" s="156">
        <f t="shared" si="4"/>
        <v>6.4177828000000003</v>
      </c>
      <c r="O50" s="156">
        <f t="shared" si="5"/>
        <v>6.4177828000000003</v>
      </c>
      <c r="P50" s="160">
        <f t="shared" si="6"/>
        <v>22.462239799999992</v>
      </c>
    </row>
    <row r="51" spans="1:16">
      <c r="A51" s="155">
        <v>49</v>
      </c>
      <c r="B51" s="92" t="s">
        <v>341</v>
      </c>
      <c r="C51" s="153" t="s">
        <v>29</v>
      </c>
      <c r="D51" s="116">
        <v>37802772</v>
      </c>
      <c r="E51" s="35">
        <v>6344879</v>
      </c>
      <c r="F51" s="162">
        <v>765.56</v>
      </c>
      <c r="G51" s="160">
        <f t="shared" si="0"/>
        <v>56.498328000000001</v>
      </c>
      <c r="H51" s="162">
        <v>63.74</v>
      </c>
      <c r="I51" s="161">
        <f t="shared" si="1"/>
        <v>645.32167199999992</v>
      </c>
      <c r="J51" s="154" t="s">
        <v>192</v>
      </c>
      <c r="K51" s="162" t="s">
        <v>250</v>
      </c>
      <c r="L51" s="161">
        <f t="shared" si="2"/>
        <v>96.798250799999991</v>
      </c>
      <c r="M51" s="161">
        <f t="shared" si="3"/>
        <v>25.812866879999998</v>
      </c>
      <c r="N51" s="156">
        <f t="shared" si="4"/>
        <v>12.906433439999999</v>
      </c>
      <c r="O51" s="156">
        <f t="shared" si="5"/>
        <v>12.906433439999999</v>
      </c>
      <c r="P51" s="160">
        <f t="shared" si="6"/>
        <v>45.172517039999988</v>
      </c>
    </row>
    <row r="52" spans="1:16">
      <c r="A52" s="155">
        <v>50</v>
      </c>
      <c r="B52" s="92" t="s">
        <v>342</v>
      </c>
      <c r="C52" s="153" t="s">
        <v>329</v>
      </c>
      <c r="D52" s="116">
        <v>100311111725063</v>
      </c>
      <c r="E52" s="35">
        <v>6344738</v>
      </c>
      <c r="F52" s="162">
        <v>761.61</v>
      </c>
      <c r="G52" s="160">
        <v>0</v>
      </c>
      <c r="H52" s="162">
        <v>0</v>
      </c>
      <c r="I52" s="161">
        <f t="shared" si="1"/>
        <v>761.61</v>
      </c>
      <c r="J52" s="154" t="s">
        <v>196</v>
      </c>
      <c r="K52" s="162" t="s">
        <v>128</v>
      </c>
      <c r="L52" s="161">
        <f t="shared" si="2"/>
        <v>114.2415</v>
      </c>
      <c r="M52" s="161">
        <f t="shared" si="3"/>
        <v>30.464400000000001</v>
      </c>
      <c r="N52" s="156">
        <f t="shared" si="4"/>
        <v>15.232200000000001</v>
      </c>
      <c r="O52" s="156">
        <f t="shared" si="5"/>
        <v>15.232200000000001</v>
      </c>
      <c r="P52" s="160">
        <f t="shared" si="6"/>
        <v>53.3127</v>
      </c>
    </row>
    <row r="53" spans="1:16">
      <c r="A53" s="155">
        <v>51</v>
      </c>
      <c r="B53" s="92" t="s">
        <v>343</v>
      </c>
      <c r="C53" s="153" t="s">
        <v>203</v>
      </c>
      <c r="D53" s="116">
        <v>2979874</v>
      </c>
      <c r="E53" s="35">
        <v>6341623</v>
      </c>
      <c r="F53" s="162">
        <v>707.02</v>
      </c>
      <c r="G53" s="160">
        <f t="shared" si="0"/>
        <v>52.178076000000004</v>
      </c>
      <c r="H53" s="162">
        <v>353.51</v>
      </c>
      <c r="I53" s="161">
        <f t="shared" si="1"/>
        <v>301.33192399999996</v>
      </c>
      <c r="J53" s="154" t="s">
        <v>196</v>
      </c>
      <c r="K53" s="162" t="s">
        <v>31</v>
      </c>
      <c r="L53" s="161">
        <f t="shared" si="2"/>
        <v>45.199788599999991</v>
      </c>
      <c r="M53" s="161">
        <f t="shared" si="3"/>
        <v>12.053276959999998</v>
      </c>
      <c r="N53" s="156">
        <f t="shared" si="4"/>
        <v>6.026638479999999</v>
      </c>
      <c r="O53" s="156">
        <f t="shared" si="5"/>
        <v>6.026638479999999</v>
      </c>
      <c r="P53" s="160">
        <f t="shared" si="6"/>
        <v>21.093234679999995</v>
      </c>
    </row>
    <row r="54" spans="1:16">
      <c r="A54" s="155">
        <v>52</v>
      </c>
      <c r="B54" s="92" t="s">
        <v>344</v>
      </c>
      <c r="C54" s="153" t="s">
        <v>203</v>
      </c>
      <c r="D54" s="116">
        <v>100311111725020</v>
      </c>
      <c r="E54" s="35">
        <v>6319815</v>
      </c>
      <c r="F54" s="162">
        <v>529.76</v>
      </c>
      <c r="G54" s="160">
        <f t="shared" si="0"/>
        <v>39.096288000000001</v>
      </c>
      <c r="H54" s="162">
        <v>65.25</v>
      </c>
      <c r="I54" s="161">
        <f t="shared" si="1"/>
        <v>425.41371199999998</v>
      </c>
      <c r="J54" s="154" t="s">
        <v>196</v>
      </c>
      <c r="K54" s="162" t="s">
        <v>345</v>
      </c>
      <c r="L54" s="161">
        <f t="shared" si="2"/>
        <v>63.812056799999993</v>
      </c>
      <c r="M54" s="161">
        <f t="shared" si="3"/>
        <v>17.016548480000001</v>
      </c>
      <c r="N54" s="156">
        <f t="shared" si="4"/>
        <v>8.5082742400000004</v>
      </c>
      <c r="O54" s="156">
        <f t="shared" si="5"/>
        <v>8.5082742400000004</v>
      </c>
      <c r="P54" s="160">
        <f t="shared" si="6"/>
        <v>29.778959839999999</v>
      </c>
    </row>
    <row r="55" spans="1:16">
      <c r="A55" s="155">
        <v>53</v>
      </c>
      <c r="B55" s="92" t="s">
        <v>346</v>
      </c>
      <c r="C55" s="153" t="s">
        <v>33</v>
      </c>
      <c r="D55" s="116">
        <v>100311111724998</v>
      </c>
      <c r="E55" s="35">
        <v>6319868</v>
      </c>
      <c r="F55" s="162">
        <v>794.78</v>
      </c>
      <c r="G55" s="160">
        <f t="shared" si="0"/>
        <v>58.654764</v>
      </c>
      <c r="H55" s="162">
        <v>0</v>
      </c>
      <c r="I55" s="161">
        <f t="shared" si="1"/>
        <v>736.12523599999997</v>
      </c>
      <c r="J55" s="154" t="s">
        <v>196</v>
      </c>
      <c r="K55" s="162" t="s">
        <v>120</v>
      </c>
      <c r="L55" s="161">
        <f t="shared" si="2"/>
        <v>110.41878539999999</v>
      </c>
      <c r="M55" s="161">
        <f t="shared" si="3"/>
        <v>29.44500944</v>
      </c>
      <c r="N55" s="156">
        <f t="shared" si="4"/>
        <v>14.72250472</v>
      </c>
      <c r="O55" s="156">
        <f t="shared" si="5"/>
        <v>14.72250472</v>
      </c>
      <c r="P55" s="160">
        <f t="shared" si="6"/>
        <v>51.528766519999976</v>
      </c>
    </row>
    <row r="56" spans="1:16">
      <c r="A56" s="155">
        <v>54</v>
      </c>
      <c r="B56" s="92" t="s">
        <v>347</v>
      </c>
      <c r="C56" s="153" t="s">
        <v>203</v>
      </c>
      <c r="D56" s="116">
        <v>100311111726249</v>
      </c>
      <c r="E56" s="35">
        <v>6330589</v>
      </c>
      <c r="F56" s="162">
        <v>602.03</v>
      </c>
      <c r="G56" s="160">
        <f t="shared" si="0"/>
        <v>44.429814</v>
      </c>
      <c r="H56" s="162">
        <v>64.69</v>
      </c>
      <c r="I56" s="161">
        <f t="shared" si="1"/>
        <v>492.91018600000001</v>
      </c>
      <c r="J56" s="154" t="s">
        <v>196</v>
      </c>
      <c r="K56" s="162" t="s">
        <v>57</v>
      </c>
      <c r="L56" s="161">
        <f t="shared" si="2"/>
        <v>73.936527900000002</v>
      </c>
      <c r="M56" s="161">
        <f t="shared" si="3"/>
        <v>19.716407440000001</v>
      </c>
      <c r="N56" s="156">
        <f t="shared" si="4"/>
        <v>9.8582037200000006</v>
      </c>
      <c r="O56" s="156">
        <f t="shared" si="5"/>
        <v>9.8582037200000006</v>
      </c>
      <c r="P56" s="160">
        <f t="shared" si="6"/>
        <v>34.503713020000006</v>
      </c>
    </row>
    <row r="57" spans="1:16">
      <c r="A57" s="155">
        <v>55</v>
      </c>
      <c r="B57" s="92" t="s">
        <v>348</v>
      </c>
      <c r="C57" s="153" t="s">
        <v>203</v>
      </c>
      <c r="D57" s="116">
        <v>100311111724797</v>
      </c>
      <c r="E57" s="35">
        <v>6331004</v>
      </c>
      <c r="F57" s="162">
        <v>510.02</v>
      </c>
      <c r="G57" s="160">
        <f t="shared" si="0"/>
        <v>37.639476000000002</v>
      </c>
      <c r="H57" s="162">
        <v>134.72</v>
      </c>
      <c r="I57" s="161">
        <f t="shared" si="1"/>
        <v>337.66052400000001</v>
      </c>
      <c r="J57" s="154" t="s">
        <v>196</v>
      </c>
      <c r="K57" s="162" t="s">
        <v>284</v>
      </c>
      <c r="L57" s="161">
        <f t="shared" si="2"/>
        <v>50.649078600000003</v>
      </c>
      <c r="M57" s="161">
        <f t="shared" si="3"/>
        <v>13.50642096</v>
      </c>
      <c r="N57" s="156">
        <f t="shared" si="4"/>
        <v>6.7532104799999999</v>
      </c>
      <c r="O57" s="156">
        <f t="shared" si="5"/>
        <v>6.7532104799999999</v>
      </c>
      <c r="P57" s="160">
        <f t="shared" si="6"/>
        <v>23.636236680000003</v>
      </c>
    </row>
    <row r="58" spans="1:16">
      <c r="A58" s="155">
        <v>56</v>
      </c>
      <c r="B58" s="92" t="s">
        <v>349</v>
      </c>
      <c r="C58" s="153" t="s">
        <v>350</v>
      </c>
      <c r="D58" s="116">
        <v>100311111742815</v>
      </c>
      <c r="E58" s="35">
        <v>6304860</v>
      </c>
      <c r="F58" s="162">
        <v>913.31</v>
      </c>
      <c r="G58" s="160">
        <f t="shared" si="0"/>
        <v>67.402277999999995</v>
      </c>
      <c r="H58" s="162">
        <v>0</v>
      </c>
      <c r="I58" s="161">
        <f t="shared" si="1"/>
        <v>845.90772199999992</v>
      </c>
      <c r="J58" s="154" t="s">
        <v>196</v>
      </c>
      <c r="K58" s="162" t="s">
        <v>148</v>
      </c>
      <c r="L58" s="161">
        <f t="shared" si="2"/>
        <v>126.88615829999998</v>
      </c>
      <c r="M58" s="161">
        <f t="shared" si="3"/>
        <v>33.836308879999997</v>
      </c>
      <c r="N58" s="156">
        <f t="shared" si="4"/>
        <v>16.918154439999999</v>
      </c>
      <c r="O58" s="156">
        <f t="shared" si="5"/>
        <v>16.918154439999999</v>
      </c>
      <c r="P58" s="160">
        <f t="shared" si="6"/>
        <v>59.213540539999997</v>
      </c>
    </row>
    <row r="59" spans="1:16">
      <c r="A59" s="155">
        <v>57</v>
      </c>
      <c r="B59" s="92" t="s">
        <v>351</v>
      </c>
      <c r="C59" s="153" t="s">
        <v>203</v>
      </c>
      <c r="D59" s="116">
        <v>100311111724839</v>
      </c>
      <c r="E59" s="35">
        <v>6337818</v>
      </c>
      <c r="F59" s="162">
        <v>576.19000000000005</v>
      </c>
      <c r="G59" s="160">
        <f t="shared" si="0"/>
        <v>42.522822000000005</v>
      </c>
      <c r="H59" s="162">
        <v>61.91</v>
      </c>
      <c r="I59" s="161">
        <f t="shared" si="1"/>
        <v>471.75717800000007</v>
      </c>
      <c r="J59" s="154" t="s">
        <v>196</v>
      </c>
      <c r="K59" s="162" t="s">
        <v>352</v>
      </c>
      <c r="L59" s="160">
        <f t="shared" si="2"/>
        <v>70.763576700000002</v>
      </c>
      <c r="M59" s="161">
        <f t="shared" si="3"/>
        <v>18.870287120000004</v>
      </c>
      <c r="N59" s="156">
        <f t="shared" si="4"/>
        <v>9.435143560000002</v>
      </c>
      <c r="O59" s="156">
        <f t="shared" si="5"/>
        <v>9.435143560000002</v>
      </c>
      <c r="P59" s="160">
        <f t="shared" si="6"/>
        <v>33.023002460000001</v>
      </c>
    </row>
    <row r="60" spans="1:16">
      <c r="A60" s="155">
        <v>58</v>
      </c>
      <c r="B60" s="92" t="s">
        <v>353</v>
      </c>
      <c r="C60" s="153" t="s">
        <v>203</v>
      </c>
      <c r="D60" s="116">
        <v>100311111724887</v>
      </c>
      <c r="E60" s="35">
        <v>6330818</v>
      </c>
      <c r="F60" s="162">
        <v>595.26</v>
      </c>
      <c r="G60" s="160">
        <f t="shared" si="0"/>
        <v>43.930188000000001</v>
      </c>
      <c r="H60" s="162">
        <v>63.96</v>
      </c>
      <c r="I60" s="161">
        <f t="shared" si="1"/>
        <v>487.36981199999997</v>
      </c>
      <c r="J60" s="154" t="s">
        <v>196</v>
      </c>
      <c r="K60" s="162" t="s">
        <v>31</v>
      </c>
      <c r="L60" s="160">
        <f t="shared" si="2"/>
        <v>73.105471799999989</v>
      </c>
      <c r="M60" s="161">
        <f t="shared" si="3"/>
        <v>19.494792479999997</v>
      </c>
      <c r="N60" s="156">
        <f t="shared" si="4"/>
        <v>9.7473962399999987</v>
      </c>
      <c r="O60" s="156">
        <f t="shared" si="5"/>
        <v>9.7473962399999987</v>
      </c>
      <c r="P60" s="160">
        <f t="shared" si="6"/>
        <v>34.115886839999988</v>
      </c>
    </row>
    <row r="61" spans="1:16">
      <c r="A61" s="155">
        <v>59</v>
      </c>
      <c r="B61" s="92" t="s">
        <v>354</v>
      </c>
      <c r="C61" s="153" t="s">
        <v>203</v>
      </c>
      <c r="D61" s="116">
        <v>10031111724906</v>
      </c>
      <c r="E61" s="35">
        <v>6319923</v>
      </c>
      <c r="F61" s="162">
        <v>528.04</v>
      </c>
      <c r="G61" s="160">
        <f t="shared" si="0"/>
        <v>38.969352000000001</v>
      </c>
      <c r="H61" s="162">
        <v>139.18</v>
      </c>
      <c r="I61" s="161">
        <f t="shared" si="1"/>
        <v>349.89064799999994</v>
      </c>
      <c r="J61" s="154" t="s">
        <v>196</v>
      </c>
      <c r="K61" s="162" t="s">
        <v>120</v>
      </c>
      <c r="L61" s="160">
        <f t="shared" si="2"/>
        <v>52.483597199999991</v>
      </c>
      <c r="M61" s="161">
        <f t="shared" si="3"/>
        <v>13.995625919999998</v>
      </c>
      <c r="N61" s="156">
        <f t="shared" si="4"/>
        <v>6.9978129599999992</v>
      </c>
      <c r="O61" s="156">
        <f t="shared" si="5"/>
        <v>6.9978129599999992</v>
      </c>
      <c r="P61" s="160">
        <f t="shared" si="6"/>
        <v>24.492345360000002</v>
      </c>
    </row>
    <row r="62" spans="1:16">
      <c r="A62" s="155">
        <v>60</v>
      </c>
      <c r="B62" s="92" t="s">
        <v>355</v>
      </c>
      <c r="C62" s="153" t="s">
        <v>203</v>
      </c>
      <c r="D62" s="116">
        <v>100311111725365</v>
      </c>
      <c r="E62" s="35">
        <v>6345132</v>
      </c>
      <c r="F62" s="162">
        <v>499.5</v>
      </c>
      <c r="G62" s="160">
        <f t="shared" si="0"/>
        <v>36.863100000000003</v>
      </c>
      <c r="H62" s="162">
        <v>131.94</v>
      </c>
      <c r="I62" s="161">
        <f t="shared" si="1"/>
        <v>330.69689999999997</v>
      </c>
      <c r="J62" s="154" t="s">
        <v>196</v>
      </c>
      <c r="K62" s="162" t="s">
        <v>197</v>
      </c>
      <c r="L62" s="160">
        <f t="shared" si="2"/>
        <v>49.604534999999991</v>
      </c>
      <c r="M62" s="161">
        <f t="shared" si="3"/>
        <v>13.227875999999998</v>
      </c>
      <c r="N62" s="156">
        <f t="shared" si="4"/>
        <v>6.6139379999999992</v>
      </c>
      <c r="O62" s="156">
        <f t="shared" si="5"/>
        <v>6.6139379999999992</v>
      </c>
      <c r="P62" s="160">
        <f t="shared" si="6"/>
        <v>23.148782999999995</v>
      </c>
    </row>
    <row r="63" spans="1:16">
      <c r="A63" s="155"/>
      <c r="B63" s="92"/>
      <c r="C63" s="153"/>
      <c r="D63" s="116"/>
      <c r="E63" s="35"/>
      <c r="F63" s="162"/>
      <c r="G63" s="160">
        <f t="shared" ref="G63" si="7">F63*7.38%</f>
        <v>0</v>
      </c>
      <c r="H63" s="162"/>
      <c r="I63" s="161">
        <f t="shared" ref="I63" si="8">F63-G63-H63</f>
        <v>0</v>
      </c>
      <c r="J63" s="154"/>
      <c r="K63" s="162"/>
      <c r="L63" s="160">
        <f t="shared" ref="L63" si="9">I63*15%</f>
        <v>0</v>
      </c>
      <c r="M63" s="161">
        <f t="shared" ref="M63" si="10">I63*4%</f>
        <v>0</v>
      </c>
      <c r="N63" s="156">
        <f t="shared" ref="N63" si="11">I63*2%</f>
        <v>0</v>
      </c>
      <c r="O63" s="156">
        <f t="shared" ref="O63" si="12">I63*2%</f>
        <v>0</v>
      </c>
      <c r="P63" s="160">
        <f t="shared" ref="P63" si="13">L63-M63-N63-O63</f>
        <v>0</v>
      </c>
    </row>
    <row r="64" spans="1:16">
      <c r="A64" s="43"/>
      <c r="B64" s="143"/>
      <c r="C64" s="158"/>
      <c r="D64" s="145"/>
      <c r="E64" s="158"/>
      <c r="F64" s="166"/>
      <c r="G64" s="166"/>
      <c r="H64" s="166"/>
      <c r="I64" s="166"/>
      <c r="J64" s="158"/>
      <c r="K64" s="159"/>
      <c r="L64" s="159"/>
      <c r="M64" s="159"/>
      <c r="N64" s="44"/>
      <c r="O64" s="44"/>
      <c r="P64" s="45"/>
    </row>
    <row r="65" spans="1:16" ht="15.6">
      <c r="A65" s="43"/>
      <c r="B65" s="148"/>
      <c r="C65" s="46"/>
      <c r="D65" s="149"/>
      <c r="E65" s="48" t="s">
        <v>188</v>
      </c>
      <c r="F65" s="49">
        <f>SUM(F3:F63)</f>
        <v>35187.860000000008</v>
      </c>
      <c r="G65" s="49">
        <f>SUM(G3:G63)</f>
        <v>2540.6551319999999</v>
      </c>
      <c r="H65" s="49">
        <f>SUM(H3:H63)</f>
        <v>4657.6799999999985</v>
      </c>
      <c r="I65" s="49">
        <f>SUM(I3:I63)</f>
        <v>27989.524868000004</v>
      </c>
      <c r="J65" s="46"/>
      <c r="K65" s="50"/>
      <c r="L65" s="49">
        <f>SUM(L3:L63)</f>
        <v>4198.4297301999995</v>
      </c>
      <c r="M65" s="49">
        <f>SUM(M3:M63)</f>
        <v>1119.5845947199998</v>
      </c>
      <c r="N65" s="49">
        <f>SUM(N3:N63)</f>
        <v>559.78729735999991</v>
      </c>
      <c r="O65" s="49">
        <f>SUM(O3:O63)</f>
        <v>559.78729735999991</v>
      </c>
      <c r="P65" s="49">
        <f>SUM(P3:P63)</f>
        <v>1959.2705407599997</v>
      </c>
    </row>
    <row r="66" spans="1:16">
      <c r="B66" s="150"/>
      <c r="D66" s="150"/>
    </row>
    <row r="67" spans="1:16">
      <c r="B67" s="150"/>
      <c r="D67" s="150"/>
    </row>
    <row r="68" spans="1:16">
      <c r="B68" s="150"/>
      <c r="D68" s="150"/>
    </row>
    <row r="69" spans="1:16">
      <c r="B69" s="150"/>
      <c r="D69" s="150"/>
    </row>
    <row r="70" spans="1:16">
      <c r="B70" s="150"/>
      <c r="D70" s="150"/>
    </row>
    <row r="71" spans="1:16">
      <c r="B71" s="150"/>
      <c r="D71" s="150"/>
    </row>
    <row r="72" spans="1:16">
      <c r="B72" s="150"/>
      <c r="D72" s="150"/>
    </row>
    <row r="73" spans="1:16">
      <c r="B73" s="150"/>
      <c r="D73" s="150"/>
    </row>
    <row r="74" spans="1:16">
      <c r="B74" s="150"/>
      <c r="D74" s="150"/>
    </row>
    <row r="75" spans="1:16">
      <c r="B75" s="150"/>
      <c r="D75" s="150"/>
    </row>
  </sheetData>
  <autoFilter ref="B2:P63" xr:uid="{8CE8C7F8-51EC-46AC-8A3B-6424366487ED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3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18DF-0B68-4855-AC5B-F5AFD86A767B}">
  <dimension ref="A1:Q191"/>
  <sheetViews>
    <sheetView tabSelected="1" topLeftCell="A159" workbookViewId="0">
      <selection activeCell="D183" sqref="D183"/>
    </sheetView>
  </sheetViews>
  <sheetFormatPr defaultRowHeight="14.4"/>
  <cols>
    <col min="1" max="1" width="5.21875" customWidth="1"/>
    <col min="2" max="2" width="38.5546875" customWidth="1"/>
    <col min="3" max="3" width="17.77734375" customWidth="1"/>
    <col min="4" max="4" width="20.44140625" customWidth="1"/>
    <col min="5" max="5" width="15.88671875" customWidth="1"/>
    <col min="6" max="6" width="15.77734375" customWidth="1"/>
    <col min="7" max="7" width="15.109375" customWidth="1"/>
    <col min="8" max="8" width="13.5546875" customWidth="1"/>
    <col min="9" max="9" width="13.44140625" customWidth="1"/>
    <col min="10" max="10" width="9.109375" customWidth="1"/>
    <col min="11" max="11" width="16.21875" customWidth="1"/>
    <col min="12" max="12" width="13.5546875" customWidth="1"/>
    <col min="13" max="13" width="13.77734375" customWidth="1"/>
    <col min="14" max="14" width="12.88671875" customWidth="1"/>
    <col min="15" max="15" width="13.5546875" customWidth="1"/>
    <col min="16" max="16" width="14.44140625" customWidth="1"/>
  </cols>
  <sheetData>
    <row r="1" spans="1:17" ht="23.4">
      <c r="B1" s="225" t="s">
        <v>358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7"/>
    </row>
    <row r="2" spans="1:17" ht="17.399999999999999" customHeight="1">
      <c r="A2" s="1" t="s">
        <v>1</v>
      </c>
      <c r="B2" s="89" t="s">
        <v>2</v>
      </c>
      <c r="C2" s="3" t="s">
        <v>3</v>
      </c>
      <c r="D2" s="90" t="s">
        <v>4</v>
      </c>
      <c r="E2" s="5" t="s">
        <v>5</v>
      </c>
      <c r="F2" s="1" t="s">
        <v>6</v>
      </c>
      <c r="G2" s="6" t="s">
        <v>7</v>
      </c>
      <c r="H2" s="1" t="s">
        <v>8</v>
      </c>
      <c r="I2" s="6" t="s">
        <v>9</v>
      </c>
      <c r="J2" s="1" t="s">
        <v>10</v>
      </c>
      <c r="K2" s="1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7">
      <c r="A3" s="187">
        <v>1</v>
      </c>
      <c r="B3" s="92" t="s">
        <v>359</v>
      </c>
      <c r="C3" s="199" t="s">
        <v>360</v>
      </c>
      <c r="D3" s="23">
        <v>100311111730106</v>
      </c>
      <c r="E3" s="200">
        <v>6349366</v>
      </c>
      <c r="F3" s="182">
        <v>496.17</v>
      </c>
      <c r="G3" s="183">
        <f>F3*7.38%</f>
        <v>36.617346000000005</v>
      </c>
      <c r="H3" s="180">
        <v>131.07</v>
      </c>
      <c r="I3" s="183">
        <f>F3-G3-H3</f>
        <v>328.48265400000003</v>
      </c>
      <c r="J3" s="187" t="s">
        <v>23</v>
      </c>
      <c r="K3" s="180" t="s">
        <v>42</v>
      </c>
      <c r="L3" s="181">
        <f>I3*15%</f>
        <v>49.272398100000004</v>
      </c>
      <c r="M3" s="181">
        <f t="shared" ref="M3:M66" si="0">I3*4%</f>
        <v>13.139306160000002</v>
      </c>
      <c r="N3" s="189">
        <f t="shared" ref="N3:N66" si="1">I3*2%</f>
        <v>6.569653080000001</v>
      </c>
      <c r="O3" s="189">
        <f t="shared" ref="O3:O66" si="2">I3*2%</f>
        <v>6.569653080000001</v>
      </c>
      <c r="P3" s="183">
        <f t="shared" ref="P3:P66" si="3">L3-M3-N3-O3</f>
        <v>22.993785779999996</v>
      </c>
    </row>
    <row r="4" spans="1:17">
      <c r="A4" s="187">
        <v>2</v>
      </c>
      <c r="B4" s="92" t="s">
        <v>361</v>
      </c>
      <c r="C4" s="188" t="s">
        <v>93</v>
      </c>
      <c r="D4" s="210">
        <v>100311111728275</v>
      </c>
      <c r="E4" s="200">
        <v>6348249</v>
      </c>
      <c r="F4" s="182">
        <v>708.9</v>
      </c>
      <c r="G4" s="183">
        <f>F4*7.38%</f>
        <v>52.31682</v>
      </c>
      <c r="H4" s="211">
        <v>76.316999999999993</v>
      </c>
      <c r="I4" s="183">
        <f>F4-G4-H4</f>
        <v>580.26617999999996</v>
      </c>
      <c r="J4" s="185" t="s">
        <v>23</v>
      </c>
      <c r="K4" s="211" t="s">
        <v>27</v>
      </c>
      <c r="L4" s="181">
        <f t="shared" ref="L4:L67" si="4">I4*15%</f>
        <v>87.039926999999992</v>
      </c>
      <c r="M4" s="181">
        <f t="shared" si="0"/>
        <v>23.2106472</v>
      </c>
      <c r="N4" s="189">
        <f t="shared" si="1"/>
        <v>11.6053236</v>
      </c>
      <c r="O4" s="189">
        <f t="shared" si="2"/>
        <v>11.6053236</v>
      </c>
      <c r="P4" s="183">
        <f t="shared" si="3"/>
        <v>40.618632599999998</v>
      </c>
    </row>
    <row r="5" spans="1:17">
      <c r="A5" s="187">
        <v>3</v>
      </c>
      <c r="B5" s="105" t="s">
        <v>362</v>
      </c>
      <c r="C5" s="187" t="s">
        <v>360</v>
      </c>
      <c r="D5" s="212">
        <v>37805902</v>
      </c>
      <c r="E5" s="21">
        <v>6348527</v>
      </c>
      <c r="F5" s="191">
        <v>397</v>
      </c>
      <c r="G5" s="183">
        <f t="shared" ref="G5:G68" si="5">F5*7.38%</f>
        <v>29.2986</v>
      </c>
      <c r="H5" s="213">
        <v>198.5</v>
      </c>
      <c r="I5" s="183">
        <f t="shared" ref="I5:I68" si="6">F5-G5-H5</f>
        <v>169.20139999999998</v>
      </c>
      <c r="J5" s="187" t="s">
        <v>19</v>
      </c>
      <c r="K5" s="180" t="s">
        <v>27</v>
      </c>
      <c r="L5" s="181">
        <f t="shared" si="4"/>
        <v>25.380209999999995</v>
      </c>
      <c r="M5" s="181">
        <f t="shared" si="0"/>
        <v>6.7680559999999996</v>
      </c>
      <c r="N5" s="189">
        <f t="shared" si="1"/>
        <v>3.3840279999999998</v>
      </c>
      <c r="O5" s="189">
        <f t="shared" si="2"/>
        <v>3.3840279999999998</v>
      </c>
      <c r="P5" s="183">
        <f t="shared" si="3"/>
        <v>11.844097999999995</v>
      </c>
    </row>
    <row r="6" spans="1:17">
      <c r="A6" s="187">
        <v>4</v>
      </c>
      <c r="B6" s="92" t="s">
        <v>224</v>
      </c>
      <c r="C6" s="187" t="s">
        <v>93</v>
      </c>
      <c r="D6" s="109">
        <v>10031111742619</v>
      </c>
      <c r="E6" s="13">
        <v>6348714</v>
      </c>
      <c r="F6" s="214">
        <v>567.45000000000005</v>
      </c>
      <c r="G6" s="215">
        <f t="shared" si="5"/>
        <v>41.877810000000004</v>
      </c>
      <c r="H6" s="211">
        <v>189.15</v>
      </c>
      <c r="I6" s="215">
        <f t="shared" si="6"/>
        <v>336.42219000000011</v>
      </c>
      <c r="J6" s="185" t="s">
        <v>23</v>
      </c>
      <c r="K6" s="211" t="s">
        <v>20</v>
      </c>
      <c r="L6" s="181">
        <f t="shared" si="4"/>
        <v>50.463328500000017</v>
      </c>
      <c r="M6" s="181">
        <f t="shared" si="0"/>
        <v>13.456887600000005</v>
      </c>
      <c r="N6" s="189">
        <f t="shared" si="1"/>
        <v>6.7284438000000026</v>
      </c>
      <c r="O6" s="189">
        <f t="shared" si="2"/>
        <v>6.7284438000000026</v>
      </c>
      <c r="P6" s="183">
        <f t="shared" si="3"/>
        <v>23.549553300000014</v>
      </c>
    </row>
    <row r="7" spans="1:17">
      <c r="A7" s="187">
        <v>5</v>
      </c>
      <c r="B7" s="105" t="s">
        <v>363</v>
      </c>
      <c r="C7" s="187" t="s">
        <v>364</v>
      </c>
      <c r="D7" s="109">
        <v>100311111737260</v>
      </c>
      <c r="E7" s="13">
        <v>6349515</v>
      </c>
      <c r="F7" s="180">
        <v>520.98</v>
      </c>
      <c r="G7" s="215">
        <f t="shared" si="5"/>
        <v>38.448324000000007</v>
      </c>
      <c r="H7" s="180">
        <v>0</v>
      </c>
      <c r="I7" s="215">
        <f t="shared" si="6"/>
        <v>482.531676</v>
      </c>
      <c r="J7" s="187" t="s">
        <v>23</v>
      </c>
      <c r="K7" s="180" t="s">
        <v>248</v>
      </c>
      <c r="L7" s="181">
        <f t="shared" si="4"/>
        <v>72.379751400000004</v>
      </c>
      <c r="M7" s="181">
        <f t="shared" si="0"/>
        <v>19.301267039999999</v>
      </c>
      <c r="N7" s="189">
        <f t="shared" si="1"/>
        <v>9.6506335199999995</v>
      </c>
      <c r="O7" s="189">
        <f t="shared" si="2"/>
        <v>9.6506335199999995</v>
      </c>
      <c r="P7" s="183">
        <f t="shared" si="3"/>
        <v>33.777217320000005</v>
      </c>
    </row>
    <row r="8" spans="1:17">
      <c r="A8" s="187">
        <v>6</v>
      </c>
      <c r="B8" s="92" t="s">
        <v>365</v>
      </c>
      <c r="C8" s="185" t="s">
        <v>366</v>
      </c>
      <c r="D8" s="112">
        <v>100311111736856</v>
      </c>
      <c r="E8" s="15">
        <v>6352911</v>
      </c>
      <c r="F8" s="211">
        <v>431.06</v>
      </c>
      <c r="G8" s="215">
        <f t="shared" si="5"/>
        <v>31.812228000000001</v>
      </c>
      <c r="H8" s="211">
        <v>46.32</v>
      </c>
      <c r="I8" s="215">
        <f>F8-G8-H8</f>
        <v>352.927772</v>
      </c>
      <c r="J8" s="185" t="s">
        <v>23</v>
      </c>
      <c r="K8" s="211" t="s">
        <v>367</v>
      </c>
      <c r="L8" s="181">
        <f t="shared" si="4"/>
        <v>52.939165799999998</v>
      </c>
      <c r="M8" s="181">
        <f t="shared" si="0"/>
        <v>14.11711088</v>
      </c>
      <c r="N8" s="189">
        <f t="shared" si="1"/>
        <v>7.0585554400000001</v>
      </c>
      <c r="O8" s="189">
        <f t="shared" si="2"/>
        <v>7.0585554400000001</v>
      </c>
      <c r="P8" s="183">
        <f t="shared" si="3"/>
        <v>24.704944040000001</v>
      </c>
    </row>
    <row r="9" spans="1:17">
      <c r="A9" s="187">
        <v>7</v>
      </c>
      <c r="B9" s="105" t="s">
        <v>368</v>
      </c>
      <c r="C9" s="187" t="s">
        <v>360</v>
      </c>
      <c r="D9" s="113">
        <v>2983634</v>
      </c>
      <c r="E9" s="13">
        <v>6353179</v>
      </c>
      <c r="F9" s="216">
        <v>509.73</v>
      </c>
      <c r="G9" s="215">
        <f t="shared" si="5"/>
        <v>37.618074000000007</v>
      </c>
      <c r="H9" s="180">
        <v>70.06</v>
      </c>
      <c r="I9" s="215">
        <f>F9-G9-H9</f>
        <v>402.05192600000004</v>
      </c>
      <c r="J9" s="187" t="s">
        <v>23</v>
      </c>
      <c r="K9" s="180" t="s">
        <v>20</v>
      </c>
      <c r="L9" s="181">
        <f t="shared" si="4"/>
        <v>60.307788900000006</v>
      </c>
      <c r="M9" s="181">
        <f t="shared" si="0"/>
        <v>16.082077040000001</v>
      </c>
      <c r="N9" s="189">
        <f>I9*2%</f>
        <v>8.0410385200000007</v>
      </c>
      <c r="O9" s="189">
        <f t="shared" si="2"/>
        <v>8.0410385200000007</v>
      </c>
      <c r="P9" s="183">
        <f t="shared" si="3"/>
        <v>28.143634820000003</v>
      </c>
    </row>
    <row r="10" spans="1:17">
      <c r="A10" s="187">
        <v>8</v>
      </c>
      <c r="B10" s="115" t="s">
        <v>369</v>
      </c>
      <c r="C10" s="185" t="s">
        <v>360</v>
      </c>
      <c r="D10" s="116">
        <v>100311111732914</v>
      </c>
      <c r="E10" s="18">
        <v>6331107</v>
      </c>
      <c r="F10" s="217">
        <v>515.64</v>
      </c>
      <c r="G10" s="215">
        <f t="shared" si="5"/>
        <v>38.054231999999999</v>
      </c>
      <c r="H10" s="211">
        <v>55.42</v>
      </c>
      <c r="I10" s="215">
        <f t="shared" si="6"/>
        <v>422.16576799999996</v>
      </c>
      <c r="J10" s="186" t="s">
        <v>23</v>
      </c>
      <c r="K10" s="211" t="s">
        <v>37</v>
      </c>
      <c r="L10" s="181">
        <f t="shared" si="4"/>
        <v>63.324865199999991</v>
      </c>
      <c r="M10" s="181">
        <f t="shared" si="0"/>
        <v>16.886630719999999</v>
      </c>
      <c r="N10" s="189">
        <f t="shared" si="1"/>
        <v>8.4433153599999997</v>
      </c>
      <c r="O10" s="189">
        <f t="shared" si="2"/>
        <v>8.4433153599999997</v>
      </c>
      <c r="P10" s="183">
        <f t="shared" si="3"/>
        <v>29.551603759999992</v>
      </c>
    </row>
    <row r="11" spans="1:17">
      <c r="A11" s="187">
        <v>9</v>
      </c>
      <c r="B11" s="115" t="s">
        <v>370</v>
      </c>
      <c r="C11" s="187" t="s">
        <v>371</v>
      </c>
      <c r="D11" s="113">
        <v>100311111735547</v>
      </c>
      <c r="E11" s="205" t="s">
        <v>372</v>
      </c>
      <c r="F11" s="218">
        <v>897.39</v>
      </c>
      <c r="G11" s="215">
        <f t="shared" si="5"/>
        <v>66.227382000000006</v>
      </c>
      <c r="H11" s="180">
        <v>299.13</v>
      </c>
      <c r="I11" s="219">
        <f t="shared" si="6"/>
        <v>532.03261799999996</v>
      </c>
      <c r="J11" s="192" t="s">
        <v>23</v>
      </c>
      <c r="K11" s="180" t="s">
        <v>27</v>
      </c>
      <c r="L11" s="181">
        <f t="shared" si="4"/>
        <v>79.804892699999996</v>
      </c>
      <c r="M11" s="181">
        <f t="shared" si="0"/>
        <v>21.281304719999998</v>
      </c>
      <c r="N11" s="189">
        <f t="shared" si="1"/>
        <v>10.640652359999999</v>
      </c>
      <c r="O11" s="193">
        <f t="shared" si="2"/>
        <v>10.640652359999999</v>
      </c>
      <c r="P11" s="181">
        <f t="shared" si="3"/>
        <v>37.242283260000008</v>
      </c>
    </row>
    <row r="12" spans="1:17">
      <c r="A12" s="187">
        <v>10</v>
      </c>
      <c r="B12" s="123" t="s">
        <v>373</v>
      </c>
      <c r="C12" s="20" t="s">
        <v>29</v>
      </c>
      <c r="D12" s="116">
        <v>2983642</v>
      </c>
      <c r="E12" s="21">
        <v>6356180</v>
      </c>
      <c r="F12" s="220">
        <v>532.21</v>
      </c>
      <c r="G12" s="215">
        <f t="shared" si="5"/>
        <v>39.277098000000002</v>
      </c>
      <c r="H12" s="211">
        <v>0</v>
      </c>
      <c r="I12" s="215">
        <f t="shared" si="6"/>
        <v>492.93290200000001</v>
      </c>
      <c r="J12" s="192" t="s">
        <v>23</v>
      </c>
      <c r="K12" s="211" t="s">
        <v>42</v>
      </c>
      <c r="L12" s="181">
        <f t="shared" si="4"/>
        <v>73.939935300000002</v>
      </c>
      <c r="M12" s="181">
        <f t="shared" si="0"/>
        <v>19.71731608</v>
      </c>
      <c r="N12" s="189">
        <f t="shared" si="1"/>
        <v>9.8586580399999999</v>
      </c>
      <c r="O12" s="189">
        <f t="shared" si="2"/>
        <v>9.8586580399999999</v>
      </c>
      <c r="P12" s="183">
        <f t="shared" si="3"/>
        <v>34.505303139999995</v>
      </c>
    </row>
    <row r="13" spans="1:17">
      <c r="A13" s="187">
        <v>11</v>
      </c>
      <c r="B13" s="115" t="s">
        <v>374</v>
      </c>
      <c r="C13" s="187" t="s">
        <v>93</v>
      </c>
      <c r="D13" s="113">
        <v>100311111742265</v>
      </c>
      <c r="E13" s="13">
        <v>6355168</v>
      </c>
      <c r="F13" s="220">
        <v>591.88</v>
      </c>
      <c r="G13" s="219">
        <f t="shared" si="5"/>
        <v>43.680744000000004</v>
      </c>
      <c r="H13" s="180">
        <v>197.29</v>
      </c>
      <c r="I13" s="219">
        <f t="shared" si="6"/>
        <v>350.90925600000003</v>
      </c>
      <c r="J13" s="192" t="s">
        <v>23</v>
      </c>
      <c r="K13" s="180" t="s">
        <v>20</v>
      </c>
      <c r="L13" s="181">
        <f t="shared" si="4"/>
        <v>52.636388400000001</v>
      </c>
      <c r="M13" s="181">
        <f t="shared" si="0"/>
        <v>14.036370240000002</v>
      </c>
      <c r="N13" s="189">
        <f t="shared" si="1"/>
        <v>7.0181851200000009</v>
      </c>
      <c r="O13" s="193">
        <f t="shared" si="2"/>
        <v>7.0181851200000009</v>
      </c>
      <c r="P13" s="181">
        <f t="shared" si="3"/>
        <v>24.563647919999994</v>
      </c>
    </row>
    <row r="14" spans="1:17">
      <c r="A14" s="187">
        <v>12</v>
      </c>
      <c r="B14" s="126" t="s">
        <v>375</v>
      </c>
      <c r="C14" s="185" t="s">
        <v>29</v>
      </c>
      <c r="D14" s="23">
        <v>37818097</v>
      </c>
      <c r="E14" s="21">
        <v>6355127</v>
      </c>
      <c r="F14" s="220">
        <v>530.07000000000005</v>
      </c>
      <c r="G14" s="215">
        <f t="shared" si="5"/>
        <v>39.119166000000007</v>
      </c>
      <c r="H14" s="211">
        <v>176.69</v>
      </c>
      <c r="I14" s="215">
        <f t="shared" si="6"/>
        <v>314.26083400000005</v>
      </c>
      <c r="J14" s="186" t="s">
        <v>23</v>
      </c>
      <c r="K14" s="211" t="s">
        <v>37</v>
      </c>
      <c r="L14" s="181">
        <f t="shared" si="4"/>
        <v>47.139125100000008</v>
      </c>
      <c r="M14" s="181">
        <f t="shared" si="0"/>
        <v>12.570433360000003</v>
      </c>
      <c r="N14" s="189">
        <f t="shared" si="1"/>
        <v>6.2852166800000013</v>
      </c>
      <c r="O14" s="189">
        <f t="shared" si="2"/>
        <v>6.2852166800000013</v>
      </c>
      <c r="P14" s="183">
        <f t="shared" si="3"/>
        <v>21.998258380000003</v>
      </c>
    </row>
    <row r="15" spans="1:17">
      <c r="A15" s="187">
        <v>13</v>
      </c>
      <c r="B15" s="127" t="s">
        <v>376</v>
      </c>
      <c r="C15" s="187" t="s">
        <v>360</v>
      </c>
      <c r="D15" s="23">
        <v>37818086</v>
      </c>
      <c r="E15" s="21">
        <v>6355350</v>
      </c>
      <c r="F15" s="221">
        <v>319.3</v>
      </c>
      <c r="G15" s="219">
        <f t="shared" si="5"/>
        <v>23.564340000000001</v>
      </c>
      <c r="H15" s="211">
        <v>31.93</v>
      </c>
      <c r="I15" s="219">
        <f t="shared" si="6"/>
        <v>263.80565999999999</v>
      </c>
      <c r="J15" s="192" t="s">
        <v>19</v>
      </c>
      <c r="K15" s="180" t="s">
        <v>20</v>
      </c>
      <c r="L15" s="181">
        <f t="shared" si="4"/>
        <v>39.570848999999995</v>
      </c>
      <c r="M15" s="181">
        <f t="shared" si="0"/>
        <v>10.5522264</v>
      </c>
      <c r="N15" s="189">
        <f t="shared" si="1"/>
        <v>5.2761132000000002</v>
      </c>
      <c r="O15" s="193">
        <f t="shared" si="2"/>
        <v>5.2761132000000002</v>
      </c>
      <c r="P15" s="181">
        <f t="shared" si="3"/>
        <v>18.466396199999991</v>
      </c>
    </row>
    <row r="16" spans="1:17">
      <c r="A16" s="187">
        <v>14</v>
      </c>
      <c r="B16" s="123" t="s">
        <v>377</v>
      </c>
      <c r="C16" s="188" t="s">
        <v>318</v>
      </c>
      <c r="D16" s="113">
        <v>100311111740208</v>
      </c>
      <c r="E16" s="25">
        <v>6354547</v>
      </c>
      <c r="F16" s="220">
        <v>522.6</v>
      </c>
      <c r="G16" s="215">
        <f t="shared" si="5"/>
        <v>38.567880000000002</v>
      </c>
      <c r="H16" s="211">
        <v>138.05000000000001</v>
      </c>
      <c r="I16" s="215">
        <f t="shared" si="6"/>
        <v>345.98212000000001</v>
      </c>
      <c r="J16" s="186" t="s">
        <v>23</v>
      </c>
      <c r="K16" s="211" t="s">
        <v>378</v>
      </c>
      <c r="L16" s="181">
        <f t="shared" si="4"/>
        <v>51.897317999999999</v>
      </c>
      <c r="M16" s="181">
        <f t="shared" si="0"/>
        <v>13.839284800000001</v>
      </c>
      <c r="N16" s="189">
        <f t="shared" si="1"/>
        <v>6.9196424000000007</v>
      </c>
      <c r="O16" s="189">
        <f t="shared" si="2"/>
        <v>6.9196424000000007</v>
      </c>
      <c r="P16" s="183">
        <f t="shared" si="3"/>
        <v>24.218748399999996</v>
      </c>
    </row>
    <row r="17" spans="1:16">
      <c r="A17" s="187">
        <v>15</v>
      </c>
      <c r="B17" s="127" t="s">
        <v>379</v>
      </c>
      <c r="C17" s="190" t="s">
        <v>59</v>
      </c>
      <c r="D17" s="109">
        <v>37844943</v>
      </c>
      <c r="E17" s="206" t="s">
        <v>380</v>
      </c>
      <c r="F17" s="180">
        <v>529.59</v>
      </c>
      <c r="G17" s="219">
        <f t="shared" si="5"/>
        <v>39.083742000000008</v>
      </c>
      <c r="H17" s="211">
        <v>176.53</v>
      </c>
      <c r="I17" s="219">
        <f t="shared" si="6"/>
        <v>313.97625800000003</v>
      </c>
      <c r="J17" s="192" t="s">
        <v>23</v>
      </c>
      <c r="K17" s="180" t="s">
        <v>42</v>
      </c>
      <c r="L17" s="181">
        <f t="shared" si="4"/>
        <v>47.0964387</v>
      </c>
      <c r="M17" s="181">
        <f t="shared" si="0"/>
        <v>12.559050320000001</v>
      </c>
      <c r="N17" s="189">
        <f t="shared" si="1"/>
        <v>6.2795251600000004</v>
      </c>
      <c r="O17" s="193">
        <f t="shared" si="2"/>
        <v>6.2795251600000004</v>
      </c>
      <c r="P17" s="181">
        <f t="shared" si="3"/>
        <v>21.978338059999999</v>
      </c>
    </row>
    <row r="18" spans="1:16">
      <c r="A18" s="187">
        <v>16</v>
      </c>
      <c r="B18" s="123" t="s">
        <v>259</v>
      </c>
      <c r="C18" s="188" t="s">
        <v>18</v>
      </c>
      <c r="D18" s="113">
        <v>37850800</v>
      </c>
      <c r="E18" s="207" t="s">
        <v>381</v>
      </c>
      <c r="F18" s="211">
        <v>966.73</v>
      </c>
      <c r="G18" s="215">
        <f t="shared" si="5"/>
        <v>71.344674000000012</v>
      </c>
      <c r="H18" s="211">
        <v>0</v>
      </c>
      <c r="I18" s="215">
        <f t="shared" si="6"/>
        <v>895.38532599999996</v>
      </c>
      <c r="J18" s="186" t="s">
        <v>23</v>
      </c>
      <c r="K18" s="211" t="s">
        <v>51</v>
      </c>
      <c r="L18" s="181">
        <f t="shared" si="4"/>
        <v>134.30779889999999</v>
      </c>
      <c r="M18" s="181">
        <f t="shared" si="0"/>
        <v>35.815413040000003</v>
      </c>
      <c r="N18" s="189">
        <f t="shared" si="1"/>
        <v>17.907706520000001</v>
      </c>
      <c r="O18" s="189">
        <f t="shared" si="2"/>
        <v>17.907706520000001</v>
      </c>
      <c r="P18" s="183">
        <f t="shared" si="3"/>
        <v>62.676972819999975</v>
      </c>
    </row>
    <row r="19" spans="1:16">
      <c r="A19" s="187">
        <v>17</v>
      </c>
      <c r="B19" s="127" t="s">
        <v>382</v>
      </c>
      <c r="C19" s="190" t="s">
        <v>360</v>
      </c>
      <c r="D19" s="113">
        <v>100311111749898</v>
      </c>
      <c r="E19" s="28">
        <v>6358394</v>
      </c>
      <c r="F19" s="180">
        <v>541.17999999999995</v>
      </c>
      <c r="G19" s="219">
        <f t="shared" si="5"/>
        <v>39.939084000000001</v>
      </c>
      <c r="H19" s="180">
        <v>58.15</v>
      </c>
      <c r="I19" s="219">
        <f t="shared" si="6"/>
        <v>443.09091599999999</v>
      </c>
      <c r="J19" s="192" t="s">
        <v>23</v>
      </c>
      <c r="K19" s="180" t="s">
        <v>20</v>
      </c>
      <c r="L19" s="181">
        <f t="shared" si="4"/>
        <v>66.463637399999996</v>
      </c>
      <c r="M19" s="181">
        <f t="shared" si="0"/>
        <v>17.723636639999999</v>
      </c>
      <c r="N19" s="193">
        <f t="shared" si="1"/>
        <v>8.8618183199999994</v>
      </c>
      <c r="O19" s="193">
        <f t="shared" si="2"/>
        <v>8.8618183199999994</v>
      </c>
      <c r="P19" s="181">
        <f t="shared" si="3"/>
        <v>31.016364120000006</v>
      </c>
    </row>
    <row r="20" spans="1:16">
      <c r="A20" s="187">
        <v>18</v>
      </c>
      <c r="B20" s="123" t="s">
        <v>383</v>
      </c>
      <c r="C20" s="190" t="s">
        <v>29</v>
      </c>
      <c r="D20" s="116">
        <v>2030770001</v>
      </c>
      <c r="E20" s="25">
        <v>6358463</v>
      </c>
      <c r="F20" s="211">
        <v>478.55</v>
      </c>
      <c r="G20" s="215">
        <f t="shared" si="5"/>
        <v>35.316990000000004</v>
      </c>
      <c r="H20" s="211">
        <v>65.78</v>
      </c>
      <c r="I20" s="183">
        <f t="shared" si="6"/>
        <v>377.45301000000006</v>
      </c>
      <c r="J20" s="186" t="s">
        <v>23</v>
      </c>
      <c r="K20" s="211" t="s">
        <v>27</v>
      </c>
      <c r="L20" s="181">
        <f t="shared" si="4"/>
        <v>56.617951500000011</v>
      </c>
      <c r="M20" s="181">
        <f t="shared" si="0"/>
        <v>15.098120400000003</v>
      </c>
      <c r="N20" s="189">
        <f t="shared" si="1"/>
        <v>7.5490602000000013</v>
      </c>
      <c r="O20" s="189">
        <f t="shared" si="2"/>
        <v>7.5490602000000013</v>
      </c>
      <c r="P20" s="183">
        <f t="shared" si="3"/>
        <v>26.421710700000006</v>
      </c>
    </row>
    <row r="21" spans="1:16">
      <c r="A21" s="187">
        <v>19</v>
      </c>
      <c r="B21" s="130" t="s">
        <v>92</v>
      </c>
      <c r="C21" s="187" t="s">
        <v>93</v>
      </c>
      <c r="D21" s="113">
        <v>100311111745251</v>
      </c>
      <c r="E21" s="201">
        <v>6357739</v>
      </c>
      <c r="F21" s="180">
        <v>497.06</v>
      </c>
      <c r="G21" s="219">
        <f>F21*7.38%</f>
        <v>36.683028</v>
      </c>
      <c r="H21" s="180">
        <v>0</v>
      </c>
      <c r="I21" s="183">
        <f t="shared" si="6"/>
        <v>460.37697200000002</v>
      </c>
      <c r="J21" s="192" t="s">
        <v>23</v>
      </c>
      <c r="K21" s="180" t="s">
        <v>42</v>
      </c>
      <c r="L21" s="181">
        <f t="shared" si="4"/>
        <v>69.056545799999995</v>
      </c>
      <c r="M21" s="181">
        <f t="shared" si="0"/>
        <v>18.415078880000003</v>
      </c>
      <c r="N21" s="193">
        <f t="shared" si="1"/>
        <v>9.2075394400000015</v>
      </c>
      <c r="O21" s="193">
        <f t="shared" si="2"/>
        <v>9.2075394400000015</v>
      </c>
      <c r="P21" s="181">
        <f t="shared" si="3"/>
        <v>32.226388039999989</v>
      </c>
    </row>
    <row r="22" spans="1:16">
      <c r="A22" s="187">
        <v>20</v>
      </c>
      <c r="B22" s="123" t="s">
        <v>384</v>
      </c>
      <c r="C22" s="185" t="s">
        <v>360</v>
      </c>
      <c r="D22" s="116">
        <v>100311111744791</v>
      </c>
      <c r="E22" s="132" t="s">
        <v>385</v>
      </c>
      <c r="F22" s="211">
        <v>520.41</v>
      </c>
      <c r="G22" s="215">
        <f t="shared" si="5"/>
        <v>38.406258000000001</v>
      </c>
      <c r="H22" s="211">
        <v>57.89</v>
      </c>
      <c r="I22" s="215">
        <f t="shared" si="6"/>
        <v>424.113742</v>
      </c>
      <c r="J22" s="186" t="s">
        <v>23</v>
      </c>
      <c r="K22" s="211" t="s">
        <v>42</v>
      </c>
      <c r="L22" s="181">
        <f t="shared" si="4"/>
        <v>63.617061299999996</v>
      </c>
      <c r="M22" s="181">
        <f t="shared" si="0"/>
        <v>16.964549680000001</v>
      </c>
      <c r="N22" s="189">
        <f t="shared" si="1"/>
        <v>8.4822748400000005</v>
      </c>
      <c r="O22" s="189">
        <f t="shared" si="2"/>
        <v>8.4822748400000005</v>
      </c>
      <c r="P22" s="183">
        <f t="shared" si="3"/>
        <v>29.687961939999994</v>
      </c>
    </row>
    <row r="23" spans="1:16">
      <c r="A23" s="187">
        <v>21</v>
      </c>
      <c r="B23" s="127" t="s">
        <v>386</v>
      </c>
      <c r="C23" s="187" t="s">
        <v>360</v>
      </c>
      <c r="D23" s="113">
        <v>2030776364</v>
      </c>
      <c r="E23" s="208" t="s">
        <v>387</v>
      </c>
      <c r="F23" s="180">
        <v>454.27</v>
      </c>
      <c r="G23" s="181">
        <f t="shared" si="5"/>
        <v>33.525126</v>
      </c>
      <c r="H23" s="180">
        <v>126.19</v>
      </c>
      <c r="I23" s="181">
        <f t="shared" si="6"/>
        <v>294.55487399999998</v>
      </c>
      <c r="J23" s="192" t="s">
        <v>23</v>
      </c>
      <c r="K23" s="180" t="s">
        <v>27</v>
      </c>
      <c r="L23" s="181">
        <f t="shared" si="4"/>
        <v>44.183231099999993</v>
      </c>
      <c r="M23" s="181">
        <f t="shared" si="0"/>
        <v>11.78219496</v>
      </c>
      <c r="N23" s="193">
        <f t="shared" si="1"/>
        <v>5.89109748</v>
      </c>
      <c r="O23" s="193">
        <f t="shared" si="2"/>
        <v>5.89109748</v>
      </c>
      <c r="P23" s="181">
        <f t="shared" si="3"/>
        <v>20.618841179999997</v>
      </c>
    </row>
    <row r="24" spans="1:16">
      <c r="A24" s="187">
        <v>22</v>
      </c>
      <c r="B24" s="127" t="s">
        <v>388</v>
      </c>
      <c r="C24" s="187" t="s">
        <v>360</v>
      </c>
      <c r="D24" s="113">
        <v>1003111117490250</v>
      </c>
      <c r="E24" s="208" t="s">
        <v>389</v>
      </c>
      <c r="F24" s="180">
        <v>449.41</v>
      </c>
      <c r="G24" s="181">
        <f t="shared" si="5"/>
        <v>33.166458000000006</v>
      </c>
      <c r="H24" s="180">
        <v>48.29</v>
      </c>
      <c r="I24" s="181">
        <f t="shared" si="6"/>
        <v>367.95354200000003</v>
      </c>
      <c r="J24" s="192" t="s">
        <v>23</v>
      </c>
      <c r="K24" s="180" t="s">
        <v>42</v>
      </c>
      <c r="L24" s="181">
        <f t="shared" si="4"/>
        <v>55.193031300000001</v>
      </c>
      <c r="M24" s="181">
        <f t="shared" si="0"/>
        <v>14.718141680000002</v>
      </c>
      <c r="N24" s="193">
        <f t="shared" si="1"/>
        <v>7.3590708400000011</v>
      </c>
      <c r="O24" s="193">
        <f t="shared" si="2"/>
        <v>7.3590708400000011</v>
      </c>
      <c r="P24" s="181">
        <f t="shared" si="3"/>
        <v>25.756747939999997</v>
      </c>
    </row>
    <row r="25" spans="1:16">
      <c r="A25" s="187">
        <v>23</v>
      </c>
      <c r="B25" s="123" t="s">
        <v>390</v>
      </c>
      <c r="C25" s="185" t="s">
        <v>22</v>
      </c>
      <c r="D25" s="116"/>
      <c r="E25" s="25">
        <v>6363527</v>
      </c>
      <c r="F25" s="211">
        <v>1011.97</v>
      </c>
      <c r="G25" s="183">
        <f t="shared" si="5"/>
        <v>74.683386000000013</v>
      </c>
      <c r="H25" s="211">
        <v>93.7</v>
      </c>
      <c r="I25" s="181">
        <f t="shared" si="6"/>
        <v>843.58661399999994</v>
      </c>
      <c r="J25" s="186" t="s">
        <v>19</v>
      </c>
      <c r="K25" s="211" t="s">
        <v>37</v>
      </c>
      <c r="L25" s="181">
        <f t="shared" si="4"/>
        <v>126.53799209999998</v>
      </c>
      <c r="M25" s="181">
        <f t="shared" si="0"/>
        <v>33.74346456</v>
      </c>
      <c r="N25" s="189">
        <f t="shared" si="1"/>
        <v>16.87173228</v>
      </c>
      <c r="O25" s="189">
        <f t="shared" si="2"/>
        <v>16.87173228</v>
      </c>
      <c r="P25" s="183">
        <f t="shared" si="3"/>
        <v>59.051062979999983</v>
      </c>
    </row>
    <row r="26" spans="1:16">
      <c r="A26" s="187">
        <v>24</v>
      </c>
      <c r="B26" s="115" t="s">
        <v>391</v>
      </c>
      <c r="C26" s="194" t="s">
        <v>29</v>
      </c>
      <c r="D26" s="109">
        <v>100311111752671</v>
      </c>
      <c r="E26" s="202">
        <v>6362217</v>
      </c>
      <c r="F26" s="211">
        <v>1023.81</v>
      </c>
      <c r="G26" s="183">
        <f t="shared" si="5"/>
        <v>75.557178000000008</v>
      </c>
      <c r="H26" s="211">
        <v>110.01</v>
      </c>
      <c r="I26" s="181">
        <f t="shared" si="6"/>
        <v>838.24282199999993</v>
      </c>
      <c r="J26" s="194" t="s">
        <v>23</v>
      </c>
      <c r="K26" s="194" t="s">
        <v>378</v>
      </c>
      <c r="L26" s="181">
        <f t="shared" si="4"/>
        <v>125.73642329999998</v>
      </c>
      <c r="M26" s="181">
        <f t="shared" si="0"/>
        <v>33.529712879999998</v>
      </c>
      <c r="N26" s="189">
        <f t="shared" si="1"/>
        <v>16.764856439999999</v>
      </c>
      <c r="O26" s="189">
        <f t="shared" si="2"/>
        <v>16.764856439999999</v>
      </c>
      <c r="P26" s="183">
        <f t="shared" si="3"/>
        <v>58.676997539999974</v>
      </c>
    </row>
    <row r="27" spans="1:16">
      <c r="A27" s="187">
        <v>25</v>
      </c>
      <c r="B27" s="92" t="s">
        <v>392</v>
      </c>
      <c r="C27" s="185" t="s">
        <v>360</v>
      </c>
      <c r="D27" s="135">
        <v>37831179</v>
      </c>
      <c r="E27" s="25">
        <v>6362916</v>
      </c>
      <c r="F27" s="211">
        <v>415.17</v>
      </c>
      <c r="G27" s="183">
        <f t="shared" si="5"/>
        <v>30.639546000000003</v>
      </c>
      <c r="H27" s="211">
        <v>34.549999999999997</v>
      </c>
      <c r="I27" s="181">
        <f t="shared" si="6"/>
        <v>349.98045400000001</v>
      </c>
      <c r="J27" s="186" t="s">
        <v>19</v>
      </c>
      <c r="K27" s="211" t="s">
        <v>37</v>
      </c>
      <c r="L27" s="181">
        <f t="shared" si="4"/>
        <v>52.4970681</v>
      </c>
      <c r="M27" s="181">
        <f t="shared" si="0"/>
        <v>13.99921816</v>
      </c>
      <c r="N27" s="189">
        <f t="shared" si="1"/>
        <v>6.9996090799999999</v>
      </c>
      <c r="O27" s="189">
        <f t="shared" si="2"/>
        <v>6.9996090799999999</v>
      </c>
      <c r="P27" s="183">
        <f t="shared" si="3"/>
        <v>24.498631780000004</v>
      </c>
    </row>
    <row r="28" spans="1:16">
      <c r="A28" s="187">
        <v>26</v>
      </c>
      <c r="B28" s="92" t="s">
        <v>393</v>
      </c>
      <c r="C28" s="185" t="s">
        <v>360</v>
      </c>
      <c r="D28" s="116">
        <v>1003111117551390</v>
      </c>
      <c r="E28" s="132" t="s">
        <v>394</v>
      </c>
      <c r="F28" s="211">
        <v>431.37</v>
      </c>
      <c r="G28" s="183">
        <f t="shared" si="5"/>
        <v>31.835106000000003</v>
      </c>
      <c r="H28" s="211">
        <v>46.36</v>
      </c>
      <c r="I28" s="181">
        <f t="shared" si="6"/>
        <v>353.17489399999999</v>
      </c>
      <c r="J28" s="186" t="s">
        <v>23</v>
      </c>
      <c r="K28" s="211" t="s">
        <v>27</v>
      </c>
      <c r="L28" s="181">
        <f t="shared" si="4"/>
        <v>52.976234099999999</v>
      </c>
      <c r="M28" s="181">
        <f t="shared" si="0"/>
        <v>14.12699576</v>
      </c>
      <c r="N28" s="189">
        <f t="shared" si="1"/>
        <v>7.0634978799999999</v>
      </c>
      <c r="O28" s="189">
        <f t="shared" si="2"/>
        <v>7.0634978799999999</v>
      </c>
      <c r="P28" s="183">
        <f t="shared" si="3"/>
        <v>24.72224258</v>
      </c>
    </row>
    <row r="29" spans="1:16">
      <c r="A29" s="187">
        <v>27</v>
      </c>
      <c r="B29" s="92" t="s">
        <v>395</v>
      </c>
      <c r="C29" s="185" t="s">
        <v>396</v>
      </c>
      <c r="D29" s="116">
        <v>100311111794123</v>
      </c>
      <c r="E29" s="132" t="s">
        <v>397</v>
      </c>
      <c r="F29" s="211">
        <v>601.79999999999995</v>
      </c>
      <c r="G29" s="183">
        <f t="shared" si="5"/>
        <v>44.412840000000003</v>
      </c>
      <c r="H29" s="211">
        <v>64.67</v>
      </c>
      <c r="I29" s="181">
        <f t="shared" si="6"/>
        <v>492.71715999999998</v>
      </c>
      <c r="J29" s="186" t="s">
        <v>23</v>
      </c>
      <c r="K29" s="211" t="s">
        <v>27</v>
      </c>
      <c r="L29" s="181">
        <f t="shared" si="4"/>
        <v>73.907573999999997</v>
      </c>
      <c r="M29" s="181">
        <f t="shared" si="0"/>
        <v>19.708686400000001</v>
      </c>
      <c r="N29" s="189">
        <f t="shared" si="1"/>
        <v>9.8543432000000006</v>
      </c>
      <c r="O29" s="189">
        <f t="shared" si="2"/>
        <v>9.8543432000000006</v>
      </c>
      <c r="P29" s="183">
        <f t="shared" si="3"/>
        <v>34.490201199999987</v>
      </c>
    </row>
    <row r="30" spans="1:16">
      <c r="A30" s="187">
        <v>28</v>
      </c>
      <c r="B30" s="92" t="s">
        <v>398</v>
      </c>
      <c r="C30" s="185" t="s">
        <v>22</v>
      </c>
      <c r="D30" s="116">
        <v>100311111758128</v>
      </c>
      <c r="E30" s="25">
        <v>6363810</v>
      </c>
      <c r="F30" s="211">
        <v>594.29</v>
      </c>
      <c r="G30" s="183">
        <f t="shared" si="5"/>
        <v>43.858601999999998</v>
      </c>
      <c r="H30" s="211">
        <v>63.86</v>
      </c>
      <c r="I30" s="181">
        <f t="shared" si="6"/>
        <v>486.57139799999993</v>
      </c>
      <c r="J30" s="186" t="s">
        <v>23</v>
      </c>
      <c r="K30" s="211" t="s">
        <v>117</v>
      </c>
      <c r="L30" s="181">
        <f t="shared" si="4"/>
        <v>72.985709699999987</v>
      </c>
      <c r="M30" s="181">
        <f t="shared" si="0"/>
        <v>19.462855919999999</v>
      </c>
      <c r="N30" s="189">
        <f t="shared" si="1"/>
        <v>9.7314279599999995</v>
      </c>
      <c r="O30" s="189">
        <f t="shared" si="2"/>
        <v>9.7314279599999995</v>
      </c>
      <c r="P30" s="183">
        <f t="shared" si="3"/>
        <v>34.059997859999996</v>
      </c>
    </row>
    <row r="31" spans="1:16">
      <c r="A31" s="187">
        <v>29</v>
      </c>
      <c r="B31" s="92" t="s">
        <v>399</v>
      </c>
      <c r="C31" s="185" t="s">
        <v>360</v>
      </c>
      <c r="D31" s="116">
        <v>2989683</v>
      </c>
      <c r="E31" s="25">
        <v>6365653</v>
      </c>
      <c r="F31" s="211">
        <v>459.72</v>
      </c>
      <c r="G31" s="183">
        <f t="shared" si="5"/>
        <v>33.927336000000004</v>
      </c>
      <c r="H31" s="211">
        <v>56.87</v>
      </c>
      <c r="I31" s="181">
        <f t="shared" si="6"/>
        <v>368.922664</v>
      </c>
      <c r="J31" s="186" t="s">
        <v>23</v>
      </c>
      <c r="K31" s="211" t="s">
        <v>20</v>
      </c>
      <c r="L31" s="181">
        <f t="shared" si="4"/>
        <v>55.338399599999995</v>
      </c>
      <c r="M31" s="181">
        <f t="shared" si="0"/>
        <v>14.756906560000001</v>
      </c>
      <c r="N31" s="189">
        <f t="shared" si="1"/>
        <v>7.3784532800000004</v>
      </c>
      <c r="O31" s="189">
        <f t="shared" si="2"/>
        <v>7.3784532800000004</v>
      </c>
      <c r="P31" s="183">
        <f t="shared" si="3"/>
        <v>25.824586479999994</v>
      </c>
    </row>
    <row r="32" spans="1:16">
      <c r="A32" s="187">
        <v>30</v>
      </c>
      <c r="B32" s="92" t="s">
        <v>400</v>
      </c>
      <c r="C32" s="185" t="s">
        <v>360</v>
      </c>
      <c r="D32" s="116">
        <v>100311111758010</v>
      </c>
      <c r="E32" s="35">
        <v>6365415</v>
      </c>
      <c r="F32" s="211">
        <v>478.9</v>
      </c>
      <c r="G32" s="183">
        <f t="shared" si="5"/>
        <v>35.342820000000003</v>
      </c>
      <c r="H32" s="211">
        <v>51.46</v>
      </c>
      <c r="I32" s="181">
        <f t="shared" si="6"/>
        <v>392.09717999999998</v>
      </c>
      <c r="J32" s="186" t="s">
        <v>23</v>
      </c>
      <c r="K32" s="211" t="s">
        <v>401</v>
      </c>
      <c r="L32" s="181">
        <f t="shared" si="4"/>
        <v>58.814576999999993</v>
      </c>
      <c r="M32" s="181">
        <f t="shared" si="0"/>
        <v>15.683887199999999</v>
      </c>
      <c r="N32" s="189">
        <f t="shared" si="1"/>
        <v>7.8419435999999996</v>
      </c>
      <c r="O32" s="189">
        <f t="shared" si="2"/>
        <v>7.8419435999999996</v>
      </c>
      <c r="P32" s="183">
        <f t="shared" si="3"/>
        <v>27.446802599999991</v>
      </c>
    </row>
    <row r="33" spans="1:16">
      <c r="A33" s="187">
        <v>31</v>
      </c>
      <c r="B33" s="92" t="s">
        <v>402</v>
      </c>
      <c r="C33" s="185" t="s">
        <v>360</v>
      </c>
      <c r="D33" s="116">
        <v>100311111757991</v>
      </c>
      <c r="E33" s="35">
        <v>6365319</v>
      </c>
      <c r="F33" s="211">
        <v>575.65</v>
      </c>
      <c r="G33" s="183">
        <f t="shared" si="5"/>
        <v>42.482970000000002</v>
      </c>
      <c r="H33" s="211">
        <v>71</v>
      </c>
      <c r="I33" s="181">
        <f t="shared" si="6"/>
        <v>462.16702999999995</v>
      </c>
      <c r="J33" s="186" t="s">
        <v>23</v>
      </c>
      <c r="K33" s="211" t="s">
        <v>20</v>
      </c>
      <c r="L33" s="181">
        <f t="shared" si="4"/>
        <v>69.325054499999993</v>
      </c>
      <c r="M33" s="181">
        <f t="shared" si="0"/>
        <v>18.4866812</v>
      </c>
      <c r="N33" s="189">
        <f t="shared" si="1"/>
        <v>9.2433405999999998</v>
      </c>
      <c r="O33" s="189">
        <f t="shared" si="2"/>
        <v>9.2433405999999998</v>
      </c>
      <c r="P33" s="183">
        <f t="shared" si="3"/>
        <v>32.351692099999994</v>
      </c>
    </row>
    <row r="34" spans="1:16">
      <c r="A34" s="187">
        <v>32</v>
      </c>
      <c r="B34" s="92" t="s">
        <v>403</v>
      </c>
      <c r="C34" s="185" t="s">
        <v>93</v>
      </c>
      <c r="D34" s="136">
        <v>100311111757960</v>
      </c>
      <c r="E34" s="35">
        <v>6363195</v>
      </c>
      <c r="F34" s="211">
        <v>602.55999999999995</v>
      </c>
      <c r="G34" s="183">
        <f t="shared" si="5"/>
        <v>44.468927999999998</v>
      </c>
      <c r="H34" s="211">
        <v>97.85</v>
      </c>
      <c r="I34" s="181">
        <f t="shared" si="6"/>
        <v>460.24107199999992</v>
      </c>
      <c r="J34" s="186" t="s">
        <v>23</v>
      </c>
      <c r="K34" s="211" t="s">
        <v>20</v>
      </c>
      <c r="L34" s="181">
        <f t="shared" si="4"/>
        <v>69.03616079999999</v>
      </c>
      <c r="M34" s="181">
        <f t="shared" si="0"/>
        <v>18.409642879999996</v>
      </c>
      <c r="N34" s="189">
        <f t="shared" si="1"/>
        <v>9.2048214399999981</v>
      </c>
      <c r="O34" s="189">
        <f t="shared" si="2"/>
        <v>9.2048214399999981</v>
      </c>
      <c r="P34" s="183">
        <f t="shared" si="3"/>
        <v>32.216875040000005</v>
      </c>
    </row>
    <row r="35" spans="1:16">
      <c r="A35" s="187">
        <v>33</v>
      </c>
      <c r="B35" s="92" t="s">
        <v>404</v>
      </c>
      <c r="C35" s="185" t="s">
        <v>36</v>
      </c>
      <c r="D35" s="136">
        <v>100311111757715</v>
      </c>
      <c r="E35" s="35">
        <v>6365059</v>
      </c>
      <c r="F35" s="211">
        <v>550.23</v>
      </c>
      <c r="G35" s="183">
        <f t="shared" si="5"/>
        <v>40.606974000000001</v>
      </c>
      <c r="H35" s="211">
        <v>67.86</v>
      </c>
      <c r="I35" s="181">
        <f t="shared" si="6"/>
        <v>441.76302600000002</v>
      </c>
      <c r="J35" s="186" t="s">
        <v>23</v>
      </c>
      <c r="K35" s="211" t="s">
        <v>405</v>
      </c>
      <c r="L35" s="181">
        <f t="shared" si="4"/>
        <v>66.264453900000007</v>
      </c>
      <c r="M35" s="181">
        <f t="shared" si="0"/>
        <v>17.670521040000001</v>
      </c>
      <c r="N35" s="189">
        <f t="shared" si="1"/>
        <v>8.8352605200000003</v>
      </c>
      <c r="O35" s="189">
        <f t="shared" si="2"/>
        <v>8.8352605200000003</v>
      </c>
      <c r="P35" s="183">
        <f t="shared" si="3"/>
        <v>30.923411820000013</v>
      </c>
    </row>
    <row r="36" spans="1:16">
      <c r="A36" s="187">
        <v>34</v>
      </c>
      <c r="B36" s="92" t="s">
        <v>406</v>
      </c>
      <c r="C36" s="185" t="s">
        <v>29</v>
      </c>
      <c r="D36" s="116">
        <v>100311111757891</v>
      </c>
      <c r="E36" s="35">
        <v>6362094</v>
      </c>
      <c r="F36" s="211">
        <v>1114.05</v>
      </c>
      <c r="G36" s="183">
        <f t="shared" si="5"/>
        <v>82.216890000000006</v>
      </c>
      <c r="H36" s="211">
        <v>119.71</v>
      </c>
      <c r="I36" s="181">
        <f t="shared" si="6"/>
        <v>912.12311</v>
      </c>
      <c r="J36" s="186" t="s">
        <v>23</v>
      </c>
      <c r="K36" s="211" t="s">
        <v>250</v>
      </c>
      <c r="L36" s="181">
        <f t="shared" si="4"/>
        <v>136.8184665</v>
      </c>
      <c r="M36" s="181">
        <f t="shared" si="0"/>
        <v>36.484924400000004</v>
      </c>
      <c r="N36" s="189">
        <f t="shared" si="1"/>
        <v>18.242462200000002</v>
      </c>
      <c r="O36" s="189">
        <f t="shared" si="2"/>
        <v>18.242462200000002</v>
      </c>
      <c r="P36" s="183">
        <f t="shared" si="3"/>
        <v>63.848617699999977</v>
      </c>
    </row>
    <row r="37" spans="1:16">
      <c r="A37" s="187">
        <v>35</v>
      </c>
      <c r="B37" s="92" t="s">
        <v>407</v>
      </c>
      <c r="C37" s="185" t="s">
        <v>360</v>
      </c>
      <c r="D37" s="136">
        <v>10031111777861</v>
      </c>
      <c r="E37" s="138" t="s">
        <v>408</v>
      </c>
      <c r="F37" s="211">
        <v>522.76</v>
      </c>
      <c r="G37" s="183">
        <f t="shared" si="5"/>
        <v>38.579688000000004</v>
      </c>
      <c r="H37" s="211">
        <v>130.69</v>
      </c>
      <c r="I37" s="181">
        <f t="shared" si="6"/>
        <v>353.49031199999996</v>
      </c>
      <c r="J37" s="186" t="s">
        <v>23</v>
      </c>
      <c r="K37" s="211" t="s">
        <v>27</v>
      </c>
      <c r="L37" s="181">
        <f t="shared" si="4"/>
        <v>53.023546799999991</v>
      </c>
      <c r="M37" s="181">
        <f t="shared" si="0"/>
        <v>14.139612479999998</v>
      </c>
      <c r="N37" s="189">
        <f t="shared" si="1"/>
        <v>7.0698062399999992</v>
      </c>
      <c r="O37" s="189">
        <f t="shared" si="2"/>
        <v>7.0698062399999992</v>
      </c>
      <c r="P37" s="183">
        <f t="shared" si="3"/>
        <v>24.744321839999998</v>
      </c>
    </row>
    <row r="38" spans="1:16">
      <c r="A38" s="187">
        <v>36</v>
      </c>
      <c r="B38" s="92" t="s">
        <v>409</v>
      </c>
      <c r="C38" s="185" t="s">
        <v>360</v>
      </c>
      <c r="D38" s="116">
        <v>3001452</v>
      </c>
      <c r="E38" s="35">
        <v>6368300</v>
      </c>
      <c r="F38" s="211">
        <v>413.72</v>
      </c>
      <c r="G38" s="183">
        <f t="shared" si="5"/>
        <v>30.532536000000004</v>
      </c>
      <c r="H38" s="211">
        <v>114.93</v>
      </c>
      <c r="I38" s="181">
        <f t="shared" si="6"/>
        <v>268.25746400000003</v>
      </c>
      <c r="J38" s="186" t="s">
        <v>19</v>
      </c>
      <c r="K38" s="211" t="s">
        <v>24</v>
      </c>
      <c r="L38" s="181">
        <f t="shared" si="4"/>
        <v>40.2386196</v>
      </c>
      <c r="M38" s="181">
        <f t="shared" si="0"/>
        <v>10.730298560000001</v>
      </c>
      <c r="N38" s="189">
        <f t="shared" si="1"/>
        <v>5.3651492800000007</v>
      </c>
      <c r="O38" s="189">
        <f t="shared" si="2"/>
        <v>5.3651492800000007</v>
      </c>
      <c r="P38" s="183">
        <f t="shared" si="3"/>
        <v>18.778022479999997</v>
      </c>
    </row>
    <row r="39" spans="1:16">
      <c r="A39" s="187">
        <v>37</v>
      </c>
      <c r="B39" s="92" t="s">
        <v>410</v>
      </c>
      <c r="C39" s="185" t="s">
        <v>360</v>
      </c>
      <c r="D39" s="116">
        <v>100311111759607</v>
      </c>
      <c r="E39" s="35">
        <v>6367996</v>
      </c>
      <c r="F39" s="211">
        <v>534.83000000000004</v>
      </c>
      <c r="G39" s="183">
        <f t="shared" si="5"/>
        <v>39.470454000000004</v>
      </c>
      <c r="H39" s="211">
        <v>57.47</v>
      </c>
      <c r="I39" s="181">
        <f t="shared" si="6"/>
        <v>437.889546</v>
      </c>
      <c r="J39" s="186" t="s">
        <v>23</v>
      </c>
      <c r="K39" s="211" t="s">
        <v>78</v>
      </c>
      <c r="L39" s="181">
        <f t="shared" si="4"/>
        <v>65.683431900000002</v>
      </c>
      <c r="M39" s="181">
        <f t="shared" si="0"/>
        <v>17.515581839999999</v>
      </c>
      <c r="N39" s="189">
        <f t="shared" si="1"/>
        <v>8.7577909199999997</v>
      </c>
      <c r="O39" s="189">
        <f t="shared" si="2"/>
        <v>8.7577909199999997</v>
      </c>
      <c r="P39" s="183">
        <f t="shared" si="3"/>
        <v>30.652268220000011</v>
      </c>
    </row>
    <row r="40" spans="1:16">
      <c r="A40" s="187">
        <v>38</v>
      </c>
      <c r="B40" s="92" t="s">
        <v>411</v>
      </c>
      <c r="C40" s="185" t="s">
        <v>93</v>
      </c>
      <c r="D40" s="116">
        <v>100311111759492</v>
      </c>
      <c r="E40" s="35">
        <v>6367762</v>
      </c>
      <c r="F40" s="211">
        <v>623.59</v>
      </c>
      <c r="G40" s="183">
        <f t="shared" si="5"/>
        <v>46.020942000000005</v>
      </c>
      <c r="H40" s="211">
        <v>67.010000000000005</v>
      </c>
      <c r="I40" s="181">
        <f t="shared" si="6"/>
        <v>510.55905800000005</v>
      </c>
      <c r="J40" s="186" t="s">
        <v>23</v>
      </c>
      <c r="K40" s="211" t="s">
        <v>27</v>
      </c>
      <c r="L40" s="181">
        <f t="shared" si="4"/>
        <v>76.583858700000008</v>
      </c>
      <c r="M40" s="181">
        <f t="shared" si="0"/>
        <v>20.422362320000001</v>
      </c>
      <c r="N40" s="189">
        <f t="shared" si="1"/>
        <v>10.211181160000001</v>
      </c>
      <c r="O40" s="189">
        <f t="shared" si="2"/>
        <v>10.211181160000001</v>
      </c>
      <c r="P40" s="183">
        <f t="shared" si="3"/>
        <v>35.739134059999998</v>
      </c>
    </row>
    <row r="41" spans="1:16">
      <c r="A41" s="187">
        <v>39</v>
      </c>
      <c r="B41" s="92" t="s">
        <v>412</v>
      </c>
      <c r="C41" s="185" t="s">
        <v>413</v>
      </c>
      <c r="D41" s="116">
        <v>100311111761872</v>
      </c>
      <c r="E41" s="138" t="s">
        <v>414</v>
      </c>
      <c r="F41" s="211">
        <v>701.06</v>
      </c>
      <c r="G41" s="183">
        <f t="shared" si="5"/>
        <v>51.738227999999999</v>
      </c>
      <c r="H41" s="211">
        <v>185.19</v>
      </c>
      <c r="I41" s="181">
        <f>F41-G41-H41</f>
        <v>464.1317719999999</v>
      </c>
      <c r="J41" s="186" t="s">
        <v>23</v>
      </c>
      <c r="K41" s="211" t="s">
        <v>27</v>
      </c>
      <c r="L41" s="181">
        <f t="shared" si="4"/>
        <v>69.619765799999982</v>
      </c>
      <c r="M41" s="181">
        <f t="shared" si="0"/>
        <v>18.565270879999996</v>
      </c>
      <c r="N41" s="189">
        <f t="shared" si="1"/>
        <v>9.2826354399999982</v>
      </c>
      <c r="O41" s="189">
        <f t="shared" si="2"/>
        <v>9.2826354399999982</v>
      </c>
      <c r="P41" s="183">
        <f t="shared" si="3"/>
        <v>32.489224039999982</v>
      </c>
    </row>
    <row r="42" spans="1:16">
      <c r="A42" s="187">
        <v>40</v>
      </c>
      <c r="B42" s="92" t="s">
        <v>415</v>
      </c>
      <c r="C42" s="185" t="s">
        <v>93</v>
      </c>
      <c r="D42" s="116">
        <v>2987109</v>
      </c>
      <c r="E42" s="138" t="s">
        <v>416</v>
      </c>
      <c r="F42" s="211">
        <v>472.87</v>
      </c>
      <c r="G42" s="183">
        <f t="shared" si="5"/>
        <v>34.897806000000003</v>
      </c>
      <c r="H42" s="211">
        <v>53</v>
      </c>
      <c r="I42" s="181">
        <f>F42-G42-H42</f>
        <v>384.972194</v>
      </c>
      <c r="J42" s="186" t="s">
        <v>19</v>
      </c>
      <c r="K42" s="211" t="s">
        <v>42</v>
      </c>
      <c r="L42" s="181">
        <f t="shared" si="4"/>
        <v>57.745829099999995</v>
      </c>
      <c r="M42" s="181">
        <f t="shared" si="0"/>
        <v>15.398887760000001</v>
      </c>
      <c r="N42" s="189">
        <f t="shared" si="1"/>
        <v>7.6994438800000005</v>
      </c>
      <c r="O42" s="189">
        <f t="shared" si="2"/>
        <v>7.6994438800000005</v>
      </c>
      <c r="P42" s="183">
        <f t="shared" si="3"/>
        <v>26.948053579999996</v>
      </c>
    </row>
    <row r="43" spans="1:16">
      <c r="A43" s="187">
        <v>41</v>
      </c>
      <c r="B43" s="92" t="s">
        <v>417</v>
      </c>
      <c r="C43" s="185" t="s">
        <v>156</v>
      </c>
      <c r="D43" s="116">
        <v>2986412</v>
      </c>
      <c r="E43" s="138" t="s">
        <v>418</v>
      </c>
      <c r="F43" s="211">
        <v>459</v>
      </c>
      <c r="G43" s="183">
        <f t="shared" si="5"/>
        <v>33.874200000000002</v>
      </c>
      <c r="H43" s="211">
        <v>45.9</v>
      </c>
      <c r="I43" s="181">
        <f t="shared" si="6"/>
        <v>379.22580000000005</v>
      </c>
      <c r="J43" s="186" t="s">
        <v>19</v>
      </c>
      <c r="K43" s="211" t="s">
        <v>27</v>
      </c>
      <c r="L43" s="181">
        <f t="shared" si="4"/>
        <v>56.883870000000009</v>
      </c>
      <c r="M43" s="181">
        <f t="shared" si="0"/>
        <v>15.169032000000001</v>
      </c>
      <c r="N43" s="189">
        <f t="shared" si="1"/>
        <v>7.5845160000000007</v>
      </c>
      <c r="O43" s="189">
        <f t="shared" si="2"/>
        <v>7.5845160000000007</v>
      </c>
      <c r="P43" s="183">
        <f t="shared" si="3"/>
        <v>26.545806000000006</v>
      </c>
    </row>
    <row r="44" spans="1:16">
      <c r="A44" s="187">
        <v>42</v>
      </c>
      <c r="B44" s="92" t="s">
        <v>419</v>
      </c>
      <c r="C44" s="185" t="s">
        <v>360</v>
      </c>
      <c r="D44" s="116">
        <v>100311111763508</v>
      </c>
      <c r="E44" s="138" t="s">
        <v>420</v>
      </c>
      <c r="F44" s="211">
        <v>440.32</v>
      </c>
      <c r="G44" s="183">
        <f t="shared" si="5"/>
        <v>32.495615999999998</v>
      </c>
      <c r="H44" s="211">
        <v>47.31</v>
      </c>
      <c r="I44" s="181">
        <f t="shared" si="6"/>
        <v>360.51438400000001</v>
      </c>
      <c r="J44" s="186" t="s">
        <v>23</v>
      </c>
      <c r="K44" s="211" t="s">
        <v>20</v>
      </c>
      <c r="L44" s="181">
        <f t="shared" si="4"/>
        <v>54.0771576</v>
      </c>
      <c r="M44" s="181">
        <f t="shared" si="0"/>
        <v>14.420575360000001</v>
      </c>
      <c r="N44" s="189">
        <f t="shared" si="1"/>
        <v>7.2102876800000004</v>
      </c>
      <c r="O44" s="189">
        <f t="shared" si="2"/>
        <v>7.2102876800000004</v>
      </c>
      <c r="P44" s="183">
        <f t="shared" si="3"/>
        <v>25.236006879999998</v>
      </c>
    </row>
    <row r="45" spans="1:16">
      <c r="A45" s="187">
        <v>43</v>
      </c>
      <c r="B45" s="92" t="s">
        <v>421</v>
      </c>
      <c r="C45" s="185" t="s">
        <v>93</v>
      </c>
      <c r="D45" s="116">
        <v>37844639</v>
      </c>
      <c r="E45" s="138" t="s">
        <v>422</v>
      </c>
      <c r="F45" s="211">
        <v>595.49</v>
      </c>
      <c r="G45" s="183">
        <f t="shared" si="5"/>
        <v>43.947162000000006</v>
      </c>
      <c r="H45" s="211">
        <v>52.19</v>
      </c>
      <c r="I45" s="181">
        <f t="shared" si="6"/>
        <v>499.35283799999996</v>
      </c>
      <c r="J45" s="186" t="s">
        <v>19</v>
      </c>
      <c r="K45" s="211" t="s">
        <v>27</v>
      </c>
      <c r="L45" s="181">
        <f t="shared" si="4"/>
        <v>74.902925699999997</v>
      </c>
      <c r="M45" s="181">
        <f t="shared" si="0"/>
        <v>19.97411352</v>
      </c>
      <c r="N45" s="189">
        <f t="shared" si="1"/>
        <v>9.9870567599999998</v>
      </c>
      <c r="O45" s="189">
        <f t="shared" si="2"/>
        <v>9.9870567599999998</v>
      </c>
      <c r="P45" s="183">
        <f t="shared" si="3"/>
        <v>34.954698659999991</v>
      </c>
    </row>
    <row r="46" spans="1:16">
      <c r="A46" s="187">
        <v>44</v>
      </c>
      <c r="B46" s="92" t="s">
        <v>423</v>
      </c>
      <c r="C46" s="185" t="s">
        <v>360</v>
      </c>
      <c r="D46" s="137">
        <v>1003111117767650</v>
      </c>
      <c r="E46" s="138" t="s">
        <v>424</v>
      </c>
      <c r="F46" s="211">
        <v>436.53</v>
      </c>
      <c r="G46" s="183">
        <f t="shared" si="5"/>
        <v>32.215913999999998</v>
      </c>
      <c r="H46" s="211">
        <v>53.84</v>
      </c>
      <c r="I46" s="181">
        <f t="shared" si="6"/>
        <v>350.47408599999994</v>
      </c>
      <c r="J46" s="186" t="s">
        <v>19</v>
      </c>
      <c r="K46" s="211" t="s">
        <v>367</v>
      </c>
      <c r="L46" s="181">
        <f t="shared" si="4"/>
        <v>52.571112899999989</v>
      </c>
      <c r="M46" s="181">
        <f t="shared" si="0"/>
        <v>14.018963439999998</v>
      </c>
      <c r="N46" s="189">
        <f t="shared" si="1"/>
        <v>7.0094817199999992</v>
      </c>
      <c r="O46" s="189">
        <f t="shared" si="2"/>
        <v>7.0094817199999992</v>
      </c>
      <c r="P46" s="183">
        <f t="shared" si="3"/>
        <v>24.533186019999988</v>
      </c>
    </row>
    <row r="47" spans="1:16">
      <c r="A47" s="187">
        <v>45</v>
      </c>
      <c r="B47" s="92" t="s">
        <v>425</v>
      </c>
      <c r="C47" s="185" t="s">
        <v>360</v>
      </c>
      <c r="D47" s="116">
        <v>100311111765598</v>
      </c>
      <c r="E47" s="35">
        <v>6370447</v>
      </c>
      <c r="F47" s="211">
        <v>574.86</v>
      </c>
      <c r="G47" s="183">
        <f t="shared" si="5"/>
        <v>42.424668000000004</v>
      </c>
      <c r="H47" s="211">
        <v>151.85</v>
      </c>
      <c r="I47" s="181">
        <f t="shared" si="6"/>
        <v>380.58533199999999</v>
      </c>
      <c r="J47" s="186" t="s">
        <v>23</v>
      </c>
      <c r="K47" s="211" t="s">
        <v>42</v>
      </c>
      <c r="L47" s="181">
        <f t="shared" si="4"/>
        <v>57.087799799999999</v>
      </c>
      <c r="M47" s="181">
        <f t="shared" si="0"/>
        <v>15.223413280000001</v>
      </c>
      <c r="N47" s="189">
        <f t="shared" si="1"/>
        <v>7.6117066400000004</v>
      </c>
      <c r="O47" s="189">
        <f t="shared" si="2"/>
        <v>7.6117066400000004</v>
      </c>
      <c r="P47" s="183">
        <f t="shared" si="3"/>
        <v>26.640973239999994</v>
      </c>
    </row>
    <row r="48" spans="1:16">
      <c r="A48" s="187">
        <v>46</v>
      </c>
      <c r="B48" s="92" t="s">
        <v>426</v>
      </c>
      <c r="C48" s="185" t="s">
        <v>29</v>
      </c>
      <c r="D48" s="116">
        <v>100311111776932</v>
      </c>
      <c r="E48" s="35">
        <v>6373102</v>
      </c>
      <c r="F48" s="211">
        <v>761.26</v>
      </c>
      <c r="G48" s="183">
        <f t="shared" si="5"/>
        <v>56.180987999999999</v>
      </c>
      <c r="H48" s="211">
        <v>81.8</v>
      </c>
      <c r="I48" s="181">
        <f t="shared" si="6"/>
        <v>623.27901200000008</v>
      </c>
      <c r="J48" s="186" t="s">
        <v>23</v>
      </c>
      <c r="K48" s="211" t="s">
        <v>20</v>
      </c>
      <c r="L48" s="181">
        <f t="shared" si="4"/>
        <v>93.491851800000006</v>
      </c>
      <c r="M48" s="181">
        <f t="shared" si="0"/>
        <v>24.931160480000003</v>
      </c>
      <c r="N48" s="189">
        <f t="shared" si="1"/>
        <v>12.465580240000001</v>
      </c>
      <c r="O48" s="189">
        <f t="shared" si="2"/>
        <v>12.465580240000001</v>
      </c>
      <c r="P48" s="183">
        <f t="shared" si="3"/>
        <v>43.629530840000001</v>
      </c>
    </row>
    <row r="49" spans="1:16">
      <c r="A49" s="187">
        <v>47</v>
      </c>
      <c r="B49" s="92" t="s">
        <v>427</v>
      </c>
      <c r="C49" s="185" t="s">
        <v>18</v>
      </c>
      <c r="D49" s="116">
        <v>2030873208</v>
      </c>
      <c r="E49" s="35">
        <v>6369679</v>
      </c>
      <c r="F49" s="211">
        <v>749.42</v>
      </c>
      <c r="G49" s="183">
        <f t="shared" si="5"/>
        <v>55.307195999999998</v>
      </c>
      <c r="H49" s="211">
        <v>103</v>
      </c>
      <c r="I49" s="181">
        <f t="shared" si="6"/>
        <v>591.11280399999998</v>
      </c>
      <c r="J49" s="186" t="s">
        <v>23</v>
      </c>
      <c r="K49" s="211" t="s">
        <v>20</v>
      </c>
      <c r="L49" s="181">
        <f t="shared" si="4"/>
        <v>88.666920599999997</v>
      </c>
      <c r="M49" s="181">
        <f t="shared" si="0"/>
        <v>23.644512160000001</v>
      </c>
      <c r="N49" s="189">
        <f t="shared" si="1"/>
        <v>11.822256080000001</v>
      </c>
      <c r="O49" s="189">
        <f t="shared" si="2"/>
        <v>11.822256080000001</v>
      </c>
      <c r="P49" s="183">
        <f t="shared" si="3"/>
        <v>41.377896279999987</v>
      </c>
    </row>
    <row r="50" spans="1:16">
      <c r="A50" s="187">
        <v>48</v>
      </c>
      <c r="B50" s="92" t="s">
        <v>428</v>
      </c>
      <c r="C50" s="185" t="s">
        <v>22</v>
      </c>
      <c r="D50" s="116">
        <v>100311111773296</v>
      </c>
      <c r="E50" s="35">
        <v>6375364</v>
      </c>
      <c r="F50" s="211">
        <v>604.51</v>
      </c>
      <c r="G50" s="183">
        <f t="shared" si="5"/>
        <v>44.612838000000004</v>
      </c>
      <c r="H50" s="211">
        <v>64.959999999999994</v>
      </c>
      <c r="I50" s="181">
        <f t="shared" si="6"/>
        <v>494.937162</v>
      </c>
      <c r="J50" s="186" t="s">
        <v>23</v>
      </c>
      <c r="K50" s="211" t="s">
        <v>352</v>
      </c>
      <c r="L50" s="181">
        <f t="shared" si="4"/>
        <v>74.240574299999992</v>
      </c>
      <c r="M50" s="181">
        <f t="shared" si="0"/>
        <v>19.79748648</v>
      </c>
      <c r="N50" s="189">
        <f t="shared" si="1"/>
        <v>9.8987432399999999</v>
      </c>
      <c r="O50" s="189">
        <f t="shared" si="2"/>
        <v>9.8987432399999999</v>
      </c>
      <c r="P50" s="183">
        <f t="shared" si="3"/>
        <v>34.645601339999985</v>
      </c>
    </row>
    <row r="51" spans="1:16">
      <c r="A51" s="187">
        <v>49</v>
      </c>
      <c r="B51" s="92" t="s">
        <v>429</v>
      </c>
      <c r="C51" s="185" t="s">
        <v>413</v>
      </c>
      <c r="D51" s="116">
        <v>100311111772840</v>
      </c>
      <c r="E51" s="35">
        <v>6374444</v>
      </c>
      <c r="F51" s="211">
        <v>657.98</v>
      </c>
      <c r="G51" s="183">
        <f t="shared" si="5"/>
        <v>48.558924000000005</v>
      </c>
      <c r="H51" s="211">
        <v>70.7</v>
      </c>
      <c r="I51" s="181">
        <f t="shared" si="6"/>
        <v>538.72107599999993</v>
      </c>
      <c r="J51" s="186" t="s">
        <v>23</v>
      </c>
      <c r="K51" s="211" t="s">
        <v>176</v>
      </c>
      <c r="L51" s="181">
        <f t="shared" si="4"/>
        <v>80.808161399999989</v>
      </c>
      <c r="M51" s="181">
        <f t="shared" si="0"/>
        <v>21.548843039999998</v>
      </c>
      <c r="N51" s="189">
        <f t="shared" si="1"/>
        <v>10.774421519999999</v>
      </c>
      <c r="O51" s="189">
        <f t="shared" si="2"/>
        <v>10.774421519999999</v>
      </c>
      <c r="P51" s="183">
        <f t="shared" si="3"/>
        <v>37.71047532</v>
      </c>
    </row>
    <row r="52" spans="1:16">
      <c r="A52" s="187">
        <v>50</v>
      </c>
      <c r="B52" s="92" t="s">
        <v>430</v>
      </c>
      <c r="C52" s="185" t="s">
        <v>22</v>
      </c>
      <c r="D52" s="137">
        <v>100311111772715</v>
      </c>
      <c r="E52" s="35">
        <v>6349153</v>
      </c>
      <c r="F52" s="211">
        <v>616.16</v>
      </c>
      <c r="G52" s="183">
        <f t="shared" si="5"/>
        <v>45.472608000000001</v>
      </c>
      <c r="H52" s="211">
        <v>0</v>
      </c>
      <c r="I52" s="181">
        <f t="shared" si="6"/>
        <v>570.68739199999993</v>
      </c>
      <c r="J52" s="186" t="s">
        <v>23</v>
      </c>
      <c r="K52" s="211" t="s">
        <v>24</v>
      </c>
      <c r="L52" s="181">
        <f t="shared" si="4"/>
        <v>85.603108799999987</v>
      </c>
      <c r="M52" s="181">
        <f t="shared" si="0"/>
        <v>22.827495679999998</v>
      </c>
      <c r="N52" s="189">
        <f t="shared" si="1"/>
        <v>11.413747839999999</v>
      </c>
      <c r="O52" s="189">
        <f t="shared" si="2"/>
        <v>11.413747839999999</v>
      </c>
      <c r="P52" s="183">
        <f t="shared" si="3"/>
        <v>39.94811743999999</v>
      </c>
    </row>
    <row r="53" spans="1:16">
      <c r="A53" s="187">
        <v>51</v>
      </c>
      <c r="B53" s="92" t="s">
        <v>431</v>
      </c>
      <c r="C53" s="185" t="s">
        <v>22</v>
      </c>
      <c r="D53" s="116">
        <v>100311111772639</v>
      </c>
      <c r="E53" s="35">
        <v>6349242</v>
      </c>
      <c r="F53" s="211">
        <v>786.67</v>
      </c>
      <c r="G53" s="183">
        <f t="shared" si="5"/>
        <v>58.056246000000002</v>
      </c>
      <c r="H53" s="211">
        <v>0</v>
      </c>
      <c r="I53" s="181">
        <f t="shared" si="6"/>
        <v>728.61375399999997</v>
      </c>
      <c r="J53" s="186" t="s">
        <v>23</v>
      </c>
      <c r="K53" s="211" t="s">
        <v>68</v>
      </c>
      <c r="L53" s="181">
        <f t="shared" si="4"/>
        <v>109.29206309999999</v>
      </c>
      <c r="M53" s="181">
        <f t="shared" si="0"/>
        <v>29.144550159999998</v>
      </c>
      <c r="N53" s="189">
        <f t="shared" si="1"/>
        <v>14.572275079999999</v>
      </c>
      <c r="O53" s="189">
        <f t="shared" si="2"/>
        <v>14.572275079999999</v>
      </c>
      <c r="P53" s="183">
        <f t="shared" si="3"/>
        <v>51.002962780000004</v>
      </c>
    </row>
    <row r="54" spans="1:16">
      <c r="A54" s="187">
        <v>52</v>
      </c>
      <c r="B54" s="92" t="s">
        <v>432</v>
      </c>
      <c r="C54" s="185" t="s">
        <v>18</v>
      </c>
      <c r="D54" s="116">
        <v>100311111772562</v>
      </c>
      <c r="E54" s="35">
        <v>6349197</v>
      </c>
      <c r="F54" s="211">
        <v>993</v>
      </c>
      <c r="G54" s="183">
        <f t="shared" si="5"/>
        <v>73.2834</v>
      </c>
      <c r="H54" s="211">
        <v>0</v>
      </c>
      <c r="I54" s="181">
        <f t="shared" si="6"/>
        <v>919.71659999999997</v>
      </c>
      <c r="J54" s="186" t="s">
        <v>23</v>
      </c>
      <c r="K54" s="211" t="s">
        <v>352</v>
      </c>
      <c r="L54" s="181">
        <f t="shared" si="4"/>
        <v>137.95748999999998</v>
      </c>
      <c r="M54" s="181">
        <f t="shared" si="0"/>
        <v>36.788663999999997</v>
      </c>
      <c r="N54" s="189">
        <f t="shared" si="1"/>
        <v>18.394331999999999</v>
      </c>
      <c r="O54" s="189">
        <f t="shared" si="2"/>
        <v>18.394331999999999</v>
      </c>
      <c r="P54" s="183">
        <f t="shared" si="3"/>
        <v>64.380161999999984</v>
      </c>
    </row>
    <row r="55" spans="1:16">
      <c r="A55" s="187">
        <v>53</v>
      </c>
      <c r="B55" s="92" t="s">
        <v>433</v>
      </c>
      <c r="C55" s="185" t="s">
        <v>18</v>
      </c>
      <c r="D55" s="184">
        <v>100311111772495</v>
      </c>
      <c r="E55" s="35">
        <v>6330697</v>
      </c>
      <c r="F55" s="211">
        <v>1058.5999999999999</v>
      </c>
      <c r="G55" s="183">
        <f t="shared" si="5"/>
        <v>78.124679999999998</v>
      </c>
      <c r="H55" s="211">
        <v>0</v>
      </c>
      <c r="I55" s="181">
        <f t="shared" si="6"/>
        <v>980.4753199999999</v>
      </c>
      <c r="J55" s="186" t="s">
        <v>23</v>
      </c>
      <c r="K55" s="211" t="s">
        <v>125</v>
      </c>
      <c r="L55" s="181">
        <f t="shared" si="4"/>
        <v>147.07129799999998</v>
      </c>
      <c r="M55" s="181">
        <f t="shared" si="0"/>
        <v>39.219012799999994</v>
      </c>
      <c r="N55" s="189">
        <f t="shared" si="1"/>
        <v>19.609506399999997</v>
      </c>
      <c r="O55" s="189">
        <f t="shared" si="2"/>
        <v>19.609506399999997</v>
      </c>
      <c r="P55" s="183">
        <f t="shared" si="3"/>
        <v>68.633272399999981</v>
      </c>
    </row>
    <row r="56" spans="1:16">
      <c r="A56" s="187">
        <v>54</v>
      </c>
      <c r="B56" s="92" t="s">
        <v>434</v>
      </c>
      <c r="C56" s="185" t="s">
        <v>18</v>
      </c>
      <c r="D56" s="116">
        <v>100311111772320</v>
      </c>
      <c r="E56" s="35">
        <v>6330195</v>
      </c>
      <c r="F56" s="211">
        <v>921.8</v>
      </c>
      <c r="G56" s="183">
        <f t="shared" si="5"/>
        <v>68.028840000000002</v>
      </c>
      <c r="H56" s="211">
        <v>0</v>
      </c>
      <c r="I56" s="181">
        <f t="shared" si="6"/>
        <v>853.77116000000001</v>
      </c>
      <c r="J56" s="186" t="s">
        <v>23</v>
      </c>
      <c r="K56" s="211" t="s">
        <v>42</v>
      </c>
      <c r="L56" s="181">
        <f t="shared" si="4"/>
        <v>128.065674</v>
      </c>
      <c r="M56" s="181">
        <f t="shared" si="0"/>
        <v>34.150846399999999</v>
      </c>
      <c r="N56" s="189">
        <f t="shared" si="1"/>
        <v>17.075423199999999</v>
      </c>
      <c r="O56" s="189">
        <f t="shared" si="2"/>
        <v>17.075423199999999</v>
      </c>
      <c r="P56" s="183">
        <f t="shared" si="3"/>
        <v>59.763981199999989</v>
      </c>
    </row>
    <row r="57" spans="1:16">
      <c r="A57" s="187">
        <v>55</v>
      </c>
      <c r="B57" s="92" t="s">
        <v>435</v>
      </c>
      <c r="C57" s="185" t="s">
        <v>18</v>
      </c>
      <c r="D57" s="116">
        <v>10031111772182</v>
      </c>
      <c r="E57" s="35">
        <v>6330755</v>
      </c>
      <c r="F57" s="211">
        <v>702.04</v>
      </c>
      <c r="G57" s="183">
        <f t="shared" si="5"/>
        <v>51.810552000000001</v>
      </c>
      <c r="H57" s="211">
        <v>0</v>
      </c>
      <c r="I57" s="181">
        <f t="shared" si="6"/>
        <v>650.22944799999993</v>
      </c>
      <c r="J57" s="186" t="s">
        <v>23</v>
      </c>
      <c r="K57" s="211" t="s">
        <v>120</v>
      </c>
      <c r="L57" s="181">
        <f t="shared" si="4"/>
        <v>97.534417199999993</v>
      </c>
      <c r="M57" s="181">
        <f t="shared" si="0"/>
        <v>26.009177919999999</v>
      </c>
      <c r="N57" s="189">
        <f t="shared" si="1"/>
        <v>13.00458896</v>
      </c>
      <c r="O57" s="189">
        <f t="shared" si="2"/>
        <v>13.00458896</v>
      </c>
      <c r="P57" s="183">
        <f t="shared" si="3"/>
        <v>45.516061359999995</v>
      </c>
    </row>
    <row r="58" spans="1:16">
      <c r="A58" s="187">
        <v>56</v>
      </c>
      <c r="B58" s="92" t="s">
        <v>436</v>
      </c>
      <c r="C58" s="185" t="s">
        <v>360</v>
      </c>
      <c r="D58" s="116">
        <v>100311111772073</v>
      </c>
      <c r="E58" s="35">
        <v>6374496</v>
      </c>
      <c r="F58" s="211">
        <v>522.33000000000004</v>
      </c>
      <c r="G58" s="183">
        <f t="shared" si="5"/>
        <v>38.547954000000004</v>
      </c>
      <c r="H58" s="211">
        <v>64.42</v>
      </c>
      <c r="I58" s="181">
        <f t="shared" si="6"/>
        <v>419.36204600000002</v>
      </c>
      <c r="J58" s="186" t="s">
        <v>23</v>
      </c>
      <c r="K58" s="211" t="s">
        <v>117</v>
      </c>
      <c r="L58" s="181">
        <f t="shared" si="4"/>
        <v>62.904306900000002</v>
      </c>
      <c r="M58" s="181">
        <f t="shared" si="0"/>
        <v>16.77448184</v>
      </c>
      <c r="N58" s="189">
        <f t="shared" si="1"/>
        <v>8.38724092</v>
      </c>
      <c r="O58" s="189">
        <f t="shared" si="2"/>
        <v>8.38724092</v>
      </c>
      <c r="P58" s="183">
        <f t="shared" si="3"/>
        <v>29.355343220000005</v>
      </c>
    </row>
    <row r="59" spans="1:16">
      <c r="A59" s="187">
        <v>57</v>
      </c>
      <c r="B59" s="92" t="s">
        <v>437</v>
      </c>
      <c r="C59" s="185" t="s">
        <v>360</v>
      </c>
      <c r="D59" s="140">
        <v>100311111771813</v>
      </c>
      <c r="E59" s="35">
        <v>6371851</v>
      </c>
      <c r="F59" s="211">
        <v>575.47</v>
      </c>
      <c r="G59" s="183">
        <f t="shared" si="5"/>
        <v>42.469686000000003</v>
      </c>
      <c r="H59" s="211">
        <v>61.84</v>
      </c>
      <c r="I59" s="181">
        <f t="shared" si="6"/>
        <v>471.16031399999997</v>
      </c>
      <c r="J59" s="186" t="s">
        <v>23</v>
      </c>
      <c r="K59" s="211" t="s">
        <v>42</v>
      </c>
      <c r="L59" s="181">
        <f t="shared" si="4"/>
        <v>70.674047099999996</v>
      </c>
      <c r="M59" s="181">
        <f t="shared" si="0"/>
        <v>18.846412560000001</v>
      </c>
      <c r="N59" s="189">
        <f t="shared" si="1"/>
        <v>9.4232062800000005</v>
      </c>
      <c r="O59" s="189">
        <f t="shared" si="2"/>
        <v>9.4232062800000005</v>
      </c>
      <c r="P59" s="183">
        <f t="shared" si="3"/>
        <v>32.981221979999987</v>
      </c>
    </row>
    <row r="60" spans="1:16">
      <c r="A60" s="187">
        <v>58</v>
      </c>
      <c r="B60" s="92" t="s">
        <v>438</v>
      </c>
      <c r="C60" s="185" t="s">
        <v>360</v>
      </c>
      <c r="D60" s="204">
        <v>10031111774816</v>
      </c>
      <c r="E60" s="35">
        <v>6375578</v>
      </c>
      <c r="F60" s="211">
        <v>577.39</v>
      </c>
      <c r="G60" s="183">
        <f t="shared" si="5"/>
        <v>42.611381999999999</v>
      </c>
      <c r="H60" s="211">
        <v>71.209999999999994</v>
      </c>
      <c r="I60" s="181">
        <f t="shared" si="6"/>
        <v>463.56861799999996</v>
      </c>
      <c r="J60" s="186" t="s">
        <v>23</v>
      </c>
      <c r="K60" s="211" t="s">
        <v>42</v>
      </c>
      <c r="L60" s="181">
        <f t="shared" si="4"/>
        <v>69.535292699999985</v>
      </c>
      <c r="M60" s="181">
        <f t="shared" si="0"/>
        <v>18.542744719999998</v>
      </c>
      <c r="N60" s="189">
        <f t="shared" si="1"/>
        <v>9.2713723599999991</v>
      </c>
      <c r="O60" s="189">
        <f t="shared" si="2"/>
        <v>9.2713723599999991</v>
      </c>
      <c r="P60" s="183">
        <f t="shared" si="3"/>
        <v>32.449803259999982</v>
      </c>
    </row>
    <row r="61" spans="1:16">
      <c r="A61" s="187">
        <v>59</v>
      </c>
      <c r="B61" s="92" t="s">
        <v>439</v>
      </c>
      <c r="C61" s="185" t="s">
        <v>360</v>
      </c>
      <c r="D61" s="116">
        <v>37850460</v>
      </c>
      <c r="E61" s="35">
        <v>6375498</v>
      </c>
      <c r="F61" s="211">
        <v>474.25</v>
      </c>
      <c r="G61" s="183">
        <f t="shared" si="5"/>
        <v>34.999650000000003</v>
      </c>
      <c r="H61" s="211">
        <v>118.52</v>
      </c>
      <c r="I61" s="181">
        <f t="shared" si="6"/>
        <v>320.73035000000004</v>
      </c>
      <c r="J61" s="186" t="s">
        <v>23</v>
      </c>
      <c r="K61" s="211" t="s">
        <v>42</v>
      </c>
      <c r="L61" s="181">
        <f t="shared" si="4"/>
        <v>48.109552500000007</v>
      </c>
      <c r="M61" s="181">
        <f t="shared" si="0"/>
        <v>12.829214000000002</v>
      </c>
      <c r="N61" s="189">
        <f t="shared" si="1"/>
        <v>6.4146070000000011</v>
      </c>
      <c r="O61" s="189">
        <f t="shared" si="2"/>
        <v>6.4146070000000011</v>
      </c>
      <c r="P61" s="183">
        <f t="shared" si="3"/>
        <v>22.451124500000006</v>
      </c>
    </row>
    <row r="62" spans="1:16">
      <c r="A62" s="187">
        <v>60</v>
      </c>
      <c r="B62" s="92" t="s">
        <v>440</v>
      </c>
      <c r="C62" s="185" t="s">
        <v>441</v>
      </c>
      <c r="D62" s="116">
        <v>10031111775048</v>
      </c>
      <c r="E62" s="138" t="s">
        <v>442</v>
      </c>
      <c r="F62" s="211">
        <v>676.79</v>
      </c>
      <c r="G62" s="183">
        <f t="shared" si="5"/>
        <v>49.947102000000001</v>
      </c>
      <c r="H62" s="211">
        <v>71.95</v>
      </c>
      <c r="I62" s="181">
        <f t="shared" si="6"/>
        <v>554.89289799999995</v>
      </c>
      <c r="J62" s="186" t="s">
        <v>23</v>
      </c>
      <c r="K62" s="211" t="s">
        <v>42</v>
      </c>
      <c r="L62" s="181">
        <f t="shared" si="4"/>
        <v>83.233934699999992</v>
      </c>
      <c r="M62" s="181">
        <f t="shared" si="0"/>
        <v>22.195715919999998</v>
      </c>
      <c r="N62" s="189">
        <f t="shared" si="1"/>
        <v>11.097857959999999</v>
      </c>
      <c r="O62" s="189">
        <f t="shared" si="2"/>
        <v>11.097857959999999</v>
      </c>
      <c r="P62" s="183">
        <f t="shared" si="3"/>
        <v>38.842502859999996</v>
      </c>
    </row>
    <row r="63" spans="1:16">
      <c r="A63" s="187">
        <v>61</v>
      </c>
      <c r="B63" s="92" t="s">
        <v>443</v>
      </c>
      <c r="C63" s="185" t="s">
        <v>360</v>
      </c>
      <c r="D63" s="116">
        <v>10031111783010</v>
      </c>
      <c r="E63" s="35">
        <v>6380510</v>
      </c>
      <c r="F63" s="211">
        <v>547.03</v>
      </c>
      <c r="G63" s="183">
        <f t="shared" si="5"/>
        <v>40.370814000000003</v>
      </c>
      <c r="H63" s="211">
        <v>58.78</v>
      </c>
      <c r="I63" s="181">
        <f t="shared" si="6"/>
        <v>447.879186</v>
      </c>
      <c r="J63" s="186" t="s">
        <v>23</v>
      </c>
      <c r="K63" s="211" t="s">
        <v>78</v>
      </c>
      <c r="L63" s="181">
        <f t="shared" si="4"/>
        <v>67.181877900000003</v>
      </c>
      <c r="M63" s="181">
        <f t="shared" si="0"/>
        <v>17.915167440000001</v>
      </c>
      <c r="N63" s="189">
        <f t="shared" si="1"/>
        <v>8.9575837200000006</v>
      </c>
      <c r="O63" s="189">
        <f t="shared" si="2"/>
        <v>8.9575837200000006</v>
      </c>
      <c r="P63" s="183">
        <f t="shared" si="3"/>
        <v>31.351543019999994</v>
      </c>
    </row>
    <row r="64" spans="1:16">
      <c r="A64" s="187">
        <v>62</v>
      </c>
      <c r="B64" s="196" t="s">
        <v>444</v>
      </c>
      <c r="C64" s="185" t="s">
        <v>360</v>
      </c>
      <c r="D64" s="116">
        <v>37857483</v>
      </c>
      <c r="E64" s="35">
        <v>6379911</v>
      </c>
      <c r="F64" s="211">
        <v>535.48</v>
      </c>
      <c r="G64" s="183">
        <f t="shared" si="5"/>
        <v>39.518424000000003</v>
      </c>
      <c r="H64" s="211">
        <v>69.98</v>
      </c>
      <c r="I64" s="181">
        <f t="shared" si="6"/>
        <v>425.98157600000002</v>
      </c>
      <c r="J64" s="186" t="s">
        <v>23</v>
      </c>
      <c r="K64" s="211" t="s">
        <v>20</v>
      </c>
      <c r="L64" s="181">
        <f t="shared" si="4"/>
        <v>63.897236399999997</v>
      </c>
      <c r="M64" s="181">
        <f t="shared" si="0"/>
        <v>17.039263040000002</v>
      </c>
      <c r="N64" s="189">
        <f t="shared" si="1"/>
        <v>8.5196315200000008</v>
      </c>
      <c r="O64" s="189">
        <f t="shared" si="2"/>
        <v>8.5196315200000008</v>
      </c>
      <c r="P64" s="183">
        <f t="shared" si="3"/>
        <v>29.818710319999997</v>
      </c>
    </row>
    <row r="65" spans="1:16">
      <c r="A65" s="187">
        <v>63</v>
      </c>
      <c r="B65" s="92" t="s">
        <v>445</v>
      </c>
      <c r="C65" s="185" t="s">
        <v>275</v>
      </c>
      <c r="D65" s="165">
        <v>100311111781999</v>
      </c>
      <c r="E65" s="35">
        <v>6337879</v>
      </c>
      <c r="F65" s="211">
        <v>629.11</v>
      </c>
      <c r="G65" s="183">
        <f t="shared" si="5"/>
        <v>46.428318000000004</v>
      </c>
      <c r="H65" s="211">
        <v>165.86</v>
      </c>
      <c r="I65" s="181">
        <f t="shared" si="6"/>
        <v>416.82168200000001</v>
      </c>
      <c r="J65" s="186" t="s">
        <v>23</v>
      </c>
      <c r="K65" s="211" t="s">
        <v>78</v>
      </c>
      <c r="L65" s="181">
        <f t="shared" si="4"/>
        <v>62.523252299999996</v>
      </c>
      <c r="M65" s="181">
        <f t="shared" si="0"/>
        <v>16.672867280000002</v>
      </c>
      <c r="N65" s="189">
        <f t="shared" si="1"/>
        <v>8.336433640000001</v>
      </c>
      <c r="O65" s="189">
        <f t="shared" si="2"/>
        <v>8.336433640000001</v>
      </c>
      <c r="P65" s="183">
        <f t="shared" si="3"/>
        <v>29.177517739999985</v>
      </c>
    </row>
    <row r="66" spans="1:16">
      <c r="A66" s="187">
        <v>64</v>
      </c>
      <c r="B66" s="92" t="s">
        <v>446</v>
      </c>
      <c r="C66" s="185" t="s">
        <v>29</v>
      </c>
      <c r="D66" s="136">
        <v>2993451</v>
      </c>
      <c r="E66" s="35">
        <v>6379747</v>
      </c>
      <c r="F66" s="211">
        <v>470.02</v>
      </c>
      <c r="G66" s="183">
        <f t="shared" si="5"/>
        <v>34.687476000000004</v>
      </c>
      <c r="H66" s="211">
        <v>174.09</v>
      </c>
      <c r="I66" s="181">
        <f t="shared" si="6"/>
        <v>261.242524</v>
      </c>
      <c r="J66" s="186" t="s">
        <v>19</v>
      </c>
      <c r="K66" s="211" t="s">
        <v>78</v>
      </c>
      <c r="L66" s="181">
        <f t="shared" si="4"/>
        <v>39.186378599999998</v>
      </c>
      <c r="M66" s="181">
        <f t="shared" si="0"/>
        <v>10.449700959999999</v>
      </c>
      <c r="N66" s="189">
        <f t="shared" si="1"/>
        <v>5.2248504799999997</v>
      </c>
      <c r="O66" s="189">
        <f t="shared" si="2"/>
        <v>5.2248504799999997</v>
      </c>
      <c r="P66" s="183">
        <f t="shared" si="3"/>
        <v>18.286976679999995</v>
      </c>
    </row>
    <row r="67" spans="1:16">
      <c r="A67" s="187">
        <v>65</v>
      </c>
      <c r="B67" s="92" t="s">
        <v>447</v>
      </c>
      <c r="C67" s="185" t="s">
        <v>275</v>
      </c>
      <c r="D67" s="116">
        <v>10031111780253</v>
      </c>
      <c r="E67" s="35">
        <v>6330941</v>
      </c>
      <c r="F67" s="211">
        <v>732.9</v>
      </c>
      <c r="G67" s="183">
        <f t="shared" si="5"/>
        <v>54.08802</v>
      </c>
      <c r="H67" s="211">
        <v>193.18</v>
      </c>
      <c r="I67" s="181">
        <f t="shared" si="6"/>
        <v>485.63197999999994</v>
      </c>
      <c r="J67" s="186" t="s">
        <v>23</v>
      </c>
      <c r="K67" s="211" t="s">
        <v>31</v>
      </c>
      <c r="L67" s="181">
        <f t="shared" si="4"/>
        <v>72.844796999999986</v>
      </c>
      <c r="M67" s="181">
        <f t="shared" ref="M67:M179" si="7">I67*4%</f>
        <v>19.425279199999999</v>
      </c>
      <c r="N67" s="189">
        <f t="shared" ref="N67:N179" si="8">I67*2%</f>
        <v>9.7126395999999993</v>
      </c>
      <c r="O67" s="189">
        <f t="shared" ref="O67:O179" si="9">I67*2%</f>
        <v>9.7126395999999993</v>
      </c>
      <c r="P67" s="183">
        <f t="shared" ref="P67:P179" si="10">L67-M67-N67-O67</f>
        <v>33.994238599999989</v>
      </c>
    </row>
    <row r="68" spans="1:16">
      <c r="A68" s="187">
        <v>66</v>
      </c>
      <c r="B68" s="92" t="s">
        <v>448</v>
      </c>
      <c r="C68" s="185" t="s">
        <v>29</v>
      </c>
      <c r="D68" s="116">
        <v>100311111780179</v>
      </c>
      <c r="E68" s="35">
        <v>6331235</v>
      </c>
      <c r="F68" s="211">
        <v>1003.79</v>
      </c>
      <c r="G68" s="183">
        <f t="shared" si="5"/>
        <v>74.079701999999997</v>
      </c>
      <c r="H68" s="211">
        <v>0</v>
      </c>
      <c r="I68" s="181">
        <f t="shared" si="6"/>
        <v>929.71029799999997</v>
      </c>
      <c r="J68" s="186" t="s">
        <v>23</v>
      </c>
      <c r="K68" s="211" t="s">
        <v>57</v>
      </c>
      <c r="L68" s="181">
        <f t="shared" ref="L68:L179" si="11">I68*15%</f>
        <v>139.45654469999999</v>
      </c>
      <c r="M68" s="181">
        <f t="shared" si="7"/>
        <v>37.18841192</v>
      </c>
      <c r="N68" s="195">
        <f t="shared" si="8"/>
        <v>18.59420596</v>
      </c>
      <c r="O68" s="195">
        <f t="shared" si="9"/>
        <v>18.59420596</v>
      </c>
      <c r="P68" s="222">
        <f t="shared" si="10"/>
        <v>65.079720860000009</v>
      </c>
    </row>
    <row r="69" spans="1:16">
      <c r="A69" s="187">
        <v>67</v>
      </c>
      <c r="B69" s="92" t="s">
        <v>449</v>
      </c>
      <c r="C69" s="185" t="s">
        <v>29</v>
      </c>
      <c r="D69" s="116">
        <v>100311111780006</v>
      </c>
      <c r="E69" s="35">
        <v>6330639</v>
      </c>
      <c r="F69" s="211">
        <v>831.39</v>
      </c>
      <c r="G69" s="222">
        <f t="shared" ref="G69:G179" si="12">F69*7.38%</f>
        <v>61.356582000000003</v>
      </c>
      <c r="H69" s="211">
        <v>0</v>
      </c>
      <c r="I69" s="223">
        <f t="shared" ref="I69:I179" si="13">F69-G69-H69</f>
        <v>770.03341799999998</v>
      </c>
      <c r="J69" s="186" t="s">
        <v>23</v>
      </c>
      <c r="K69" s="211" t="s">
        <v>78</v>
      </c>
      <c r="L69" s="181">
        <f t="shared" si="11"/>
        <v>115.50501269999999</v>
      </c>
      <c r="M69" s="181">
        <f t="shared" si="7"/>
        <v>30.801336719999998</v>
      </c>
      <c r="N69" s="195">
        <f t="shared" si="8"/>
        <v>15.400668359999999</v>
      </c>
      <c r="O69" s="195">
        <f t="shared" si="9"/>
        <v>15.400668359999999</v>
      </c>
      <c r="P69" s="222">
        <f t="shared" si="10"/>
        <v>53.902339260000005</v>
      </c>
    </row>
    <row r="70" spans="1:16">
      <c r="A70" s="187">
        <v>68</v>
      </c>
      <c r="B70" s="92" t="s">
        <v>450</v>
      </c>
      <c r="C70" s="185" t="s">
        <v>360</v>
      </c>
      <c r="D70" s="116">
        <v>100311111839154</v>
      </c>
      <c r="E70" s="35">
        <v>6378967</v>
      </c>
      <c r="F70" s="211">
        <v>439.56</v>
      </c>
      <c r="G70" s="183">
        <f t="shared" si="12"/>
        <v>32.439528000000003</v>
      </c>
      <c r="H70" s="211">
        <v>146.52000000000001</v>
      </c>
      <c r="I70" s="181">
        <f t="shared" si="13"/>
        <v>260.60047199999997</v>
      </c>
      <c r="J70" s="186" t="s">
        <v>23</v>
      </c>
      <c r="K70" s="211" t="s">
        <v>20</v>
      </c>
      <c r="L70" s="181">
        <f t="shared" si="11"/>
        <v>39.090070799999992</v>
      </c>
      <c r="M70" s="181">
        <f t="shared" si="7"/>
        <v>10.424018879999998</v>
      </c>
      <c r="N70" s="189">
        <f t="shared" si="8"/>
        <v>5.2120094399999992</v>
      </c>
      <c r="O70" s="189">
        <f t="shared" si="9"/>
        <v>5.2120094399999992</v>
      </c>
      <c r="P70" s="183">
        <f t="shared" si="10"/>
        <v>18.242033039999995</v>
      </c>
    </row>
    <row r="71" spans="1:16">
      <c r="A71" s="187">
        <v>69</v>
      </c>
      <c r="B71" s="92" t="s">
        <v>451</v>
      </c>
      <c r="C71" s="185" t="s">
        <v>360</v>
      </c>
      <c r="D71" s="116">
        <v>100311111779439</v>
      </c>
      <c r="E71" s="35">
        <v>6378319</v>
      </c>
      <c r="F71" s="211">
        <v>529.28</v>
      </c>
      <c r="G71" s="183">
        <f t="shared" si="12"/>
        <v>39.060864000000002</v>
      </c>
      <c r="H71" s="211">
        <v>56.87</v>
      </c>
      <c r="I71" s="181">
        <f t="shared" si="13"/>
        <v>433.34913599999999</v>
      </c>
      <c r="J71" s="186" t="s">
        <v>23</v>
      </c>
      <c r="K71" s="211" t="s">
        <v>401</v>
      </c>
      <c r="L71" s="181">
        <f t="shared" si="11"/>
        <v>65.00237039999999</v>
      </c>
      <c r="M71" s="181">
        <f t="shared" si="7"/>
        <v>17.33396544</v>
      </c>
      <c r="N71" s="189">
        <f t="shared" si="8"/>
        <v>8.66698272</v>
      </c>
      <c r="O71" s="189">
        <f t="shared" si="9"/>
        <v>8.66698272</v>
      </c>
      <c r="P71" s="183">
        <f t="shared" si="10"/>
        <v>30.334439519999989</v>
      </c>
    </row>
    <row r="72" spans="1:16">
      <c r="A72" s="187">
        <v>70</v>
      </c>
      <c r="B72" s="92" t="s">
        <v>452</v>
      </c>
      <c r="C72" s="185" t="s">
        <v>93</v>
      </c>
      <c r="D72" s="116">
        <v>37868516</v>
      </c>
      <c r="E72" s="35">
        <v>6381799</v>
      </c>
      <c r="F72" s="211">
        <v>496.92</v>
      </c>
      <c r="G72" s="183">
        <f t="shared" si="12"/>
        <v>36.672696000000002</v>
      </c>
      <c r="H72" s="211">
        <v>64.849999999999994</v>
      </c>
      <c r="I72" s="181">
        <f t="shared" si="13"/>
        <v>395.39730399999996</v>
      </c>
      <c r="J72" s="186" t="s">
        <v>23</v>
      </c>
      <c r="K72" s="211" t="s">
        <v>27</v>
      </c>
      <c r="L72" s="181">
        <f t="shared" si="11"/>
        <v>59.309595599999994</v>
      </c>
      <c r="M72" s="181">
        <f t="shared" si="7"/>
        <v>15.815892159999999</v>
      </c>
      <c r="N72" s="189">
        <f t="shared" si="8"/>
        <v>7.9079460799999994</v>
      </c>
      <c r="O72" s="189">
        <f t="shared" si="9"/>
        <v>7.9079460799999994</v>
      </c>
      <c r="P72" s="183">
        <f t="shared" si="10"/>
        <v>27.677811279999997</v>
      </c>
    </row>
    <row r="73" spans="1:16">
      <c r="A73" s="187">
        <v>71</v>
      </c>
      <c r="B73" s="92" t="s">
        <v>453</v>
      </c>
      <c r="C73" s="185" t="s">
        <v>29</v>
      </c>
      <c r="D73" s="116">
        <v>37872073</v>
      </c>
      <c r="E73" s="35">
        <v>6383400</v>
      </c>
      <c r="F73" s="211">
        <v>407.46</v>
      </c>
      <c r="G73" s="183">
        <f t="shared" si="12"/>
        <v>30.070547999999999</v>
      </c>
      <c r="H73" s="211">
        <v>0</v>
      </c>
      <c r="I73" s="181">
        <f t="shared" si="13"/>
        <v>377.38945200000001</v>
      </c>
      <c r="J73" s="186" t="s">
        <v>23</v>
      </c>
      <c r="K73" s="211" t="s">
        <v>27</v>
      </c>
      <c r="L73" s="181">
        <f t="shared" si="11"/>
        <v>56.608417799999998</v>
      </c>
      <c r="M73" s="181">
        <f t="shared" si="7"/>
        <v>15.095578080000001</v>
      </c>
      <c r="N73" s="189">
        <f t="shared" si="8"/>
        <v>7.5477890400000005</v>
      </c>
      <c r="O73" s="189">
        <f t="shared" si="9"/>
        <v>7.5477890400000005</v>
      </c>
      <c r="P73" s="183">
        <f t="shared" si="10"/>
        <v>26.417261639999996</v>
      </c>
    </row>
    <row r="74" spans="1:16">
      <c r="A74" s="187">
        <v>72</v>
      </c>
      <c r="B74" s="92" t="s">
        <v>454</v>
      </c>
      <c r="C74" s="185" t="s">
        <v>364</v>
      </c>
      <c r="D74" s="116">
        <v>100311111786921</v>
      </c>
      <c r="E74" s="35">
        <v>6380162</v>
      </c>
      <c r="F74" s="211">
        <v>517.42999999999995</v>
      </c>
      <c r="G74" s="183">
        <f t="shared" si="12"/>
        <v>38.186333999999995</v>
      </c>
      <c r="H74" s="211">
        <v>136.68</v>
      </c>
      <c r="I74" s="181">
        <f t="shared" si="13"/>
        <v>342.56366599999996</v>
      </c>
      <c r="J74" s="186" t="s">
        <v>19</v>
      </c>
      <c r="K74" s="211" t="s">
        <v>120</v>
      </c>
      <c r="L74" s="181">
        <f t="shared" si="11"/>
        <v>51.384549899999989</v>
      </c>
      <c r="M74" s="181">
        <f t="shared" si="7"/>
        <v>13.702546639999998</v>
      </c>
      <c r="N74" s="189">
        <f t="shared" si="8"/>
        <v>6.8512733199999989</v>
      </c>
      <c r="O74" s="189">
        <f t="shared" si="9"/>
        <v>6.8512733199999989</v>
      </c>
      <c r="P74" s="183">
        <f t="shared" si="10"/>
        <v>23.979456619999993</v>
      </c>
    </row>
    <row r="75" spans="1:16">
      <c r="A75" s="187">
        <v>73</v>
      </c>
      <c r="B75" s="92" t="s">
        <v>455</v>
      </c>
      <c r="C75" s="185" t="s">
        <v>456</v>
      </c>
      <c r="D75" s="116">
        <v>37860408</v>
      </c>
      <c r="E75" s="35">
        <v>6381153</v>
      </c>
      <c r="F75" s="211">
        <v>879.92</v>
      </c>
      <c r="G75" s="183">
        <f t="shared" si="12"/>
        <v>64.938096000000002</v>
      </c>
      <c r="H75" s="211">
        <v>219.98</v>
      </c>
      <c r="I75" s="181">
        <f t="shared" si="13"/>
        <v>595.00190399999997</v>
      </c>
      <c r="J75" s="186" t="s">
        <v>23</v>
      </c>
      <c r="K75" s="211" t="s">
        <v>42</v>
      </c>
      <c r="L75" s="181">
        <f t="shared" si="11"/>
        <v>89.250285599999998</v>
      </c>
      <c r="M75" s="181">
        <f t="shared" si="7"/>
        <v>23.80007616</v>
      </c>
      <c r="N75" s="189">
        <f t="shared" si="8"/>
        <v>11.90003808</v>
      </c>
      <c r="O75" s="189">
        <f t="shared" si="9"/>
        <v>11.90003808</v>
      </c>
      <c r="P75" s="183">
        <f t="shared" si="10"/>
        <v>41.650133279999991</v>
      </c>
    </row>
    <row r="76" spans="1:16">
      <c r="A76" s="187">
        <v>74</v>
      </c>
      <c r="B76" s="92" t="s">
        <v>457</v>
      </c>
      <c r="C76" s="185" t="s">
        <v>360</v>
      </c>
      <c r="D76" s="165">
        <v>100311111791466</v>
      </c>
      <c r="E76" s="35">
        <v>6386251</v>
      </c>
      <c r="F76" s="211">
        <v>523.97</v>
      </c>
      <c r="G76" s="183">
        <f t="shared" si="12"/>
        <v>38.668986000000004</v>
      </c>
      <c r="H76" s="211">
        <v>138.41</v>
      </c>
      <c r="I76" s="181">
        <f t="shared" si="13"/>
        <v>346.89101400000004</v>
      </c>
      <c r="J76" s="186" t="s">
        <v>23</v>
      </c>
      <c r="K76" s="211" t="s">
        <v>27</v>
      </c>
      <c r="L76" s="181">
        <f t="shared" si="11"/>
        <v>52.033652100000005</v>
      </c>
      <c r="M76" s="181">
        <f t="shared" si="7"/>
        <v>13.875640560000003</v>
      </c>
      <c r="N76" s="189">
        <f t="shared" si="8"/>
        <v>6.9378202800000013</v>
      </c>
      <c r="O76" s="189">
        <f t="shared" si="9"/>
        <v>6.9378202800000013</v>
      </c>
      <c r="P76" s="183">
        <f t="shared" si="10"/>
        <v>24.282370980000003</v>
      </c>
    </row>
    <row r="77" spans="1:16">
      <c r="A77" s="187">
        <v>75</v>
      </c>
      <c r="B77" s="92" t="s">
        <v>458</v>
      </c>
      <c r="C77" s="185" t="s">
        <v>29</v>
      </c>
      <c r="D77" s="116">
        <v>100311111791208</v>
      </c>
      <c r="E77" s="35">
        <v>6384368</v>
      </c>
      <c r="F77" s="211">
        <v>788.01</v>
      </c>
      <c r="G77" s="183">
        <f t="shared" si="12"/>
        <v>58.155138000000001</v>
      </c>
      <c r="H77" s="211">
        <v>97.19</v>
      </c>
      <c r="I77" s="181">
        <f t="shared" si="13"/>
        <v>632.66486200000008</v>
      </c>
      <c r="J77" s="186" t="s">
        <v>23</v>
      </c>
      <c r="K77" s="211" t="s">
        <v>42</v>
      </c>
      <c r="L77" s="181">
        <f t="shared" si="11"/>
        <v>94.899729300000004</v>
      </c>
      <c r="M77" s="181">
        <f t="shared" si="7"/>
        <v>25.306594480000005</v>
      </c>
      <c r="N77" s="189">
        <f t="shared" si="8"/>
        <v>12.653297240000002</v>
      </c>
      <c r="O77" s="189">
        <f t="shared" si="9"/>
        <v>12.653297240000002</v>
      </c>
      <c r="P77" s="183">
        <f t="shared" si="10"/>
        <v>44.286540340000002</v>
      </c>
    </row>
    <row r="78" spans="1:16">
      <c r="A78" s="187">
        <v>76</v>
      </c>
      <c r="B78" s="92" t="s">
        <v>459</v>
      </c>
      <c r="C78" s="185" t="s">
        <v>360</v>
      </c>
      <c r="D78" s="116">
        <v>100311111791119</v>
      </c>
      <c r="E78" s="35">
        <v>6385739</v>
      </c>
      <c r="F78" s="211">
        <v>469.5</v>
      </c>
      <c r="G78" s="183">
        <f t="shared" si="12"/>
        <v>34.649100000000004</v>
      </c>
      <c r="H78" s="211">
        <v>124.02</v>
      </c>
      <c r="I78" s="181">
        <f t="shared" si="13"/>
        <v>310.83090000000004</v>
      </c>
      <c r="J78" s="186" t="s">
        <v>23</v>
      </c>
      <c r="K78" s="211" t="s">
        <v>20</v>
      </c>
      <c r="L78" s="181">
        <f t="shared" si="11"/>
        <v>46.624635000000005</v>
      </c>
      <c r="M78" s="181">
        <f t="shared" si="7"/>
        <v>12.433236000000003</v>
      </c>
      <c r="N78" s="189">
        <f t="shared" si="8"/>
        <v>6.2166180000000013</v>
      </c>
      <c r="O78" s="189">
        <f t="shared" si="9"/>
        <v>6.2166180000000013</v>
      </c>
      <c r="P78" s="183">
        <f t="shared" si="10"/>
        <v>21.758163000000003</v>
      </c>
    </row>
    <row r="79" spans="1:16">
      <c r="A79" s="187">
        <v>77</v>
      </c>
      <c r="B79" s="92" t="s">
        <v>460</v>
      </c>
      <c r="C79" s="185" t="s">
        <v>29</v>
      </c>
      <c r="D79" s="116">
        <v>37807086</v>
      </c>
      <c r="E79" s="35">
        <v>6385596</v>
      </c>
      <c r="F79" s="211">
        <v>799.94</v>
      </c>
      <c r="G79" s="183">
        <f t="shared" si="12"/>
        <v>59.035572000000009</v>
      </c>
      <c r="H79" s="211">
        <v>266.60000000000002</v>
      </c>
      <c r="I79" s="181">
        <f t="shared" si="13"/>
        <v>474.30442800000003</v>
      </c>
      <c r="J79" s="186" t="s">
        <v>23</v>
      </c>
      <c r="K79" s="211" t="s">
        <v>27</v>
      </c>
      <c r="L79" s="181">
        <f t="shared" si="11"/>
        <v>71.145664199999999</v>
      </c>
      <c r="M79" s="181">
        <f t="shared" si="7"/>
        <v>18.972177120000001</v>
      </c>
      <c r="N79" s="189">
        <f t="shared" si="8"/>
        <v>9.4860885600000007</v>
      </c>
      <c r="O79" s="189">
        <f t="shared" si="9"/>
        <v>9.4860885600000007</v>
      </c>
      <c r="P79" s="183">
        <f t="shared" si="10"/>
        <v>33.201309960000003</v>
      </c>
    </row>
    <row r="80" spans="1:16">
      <c r="A80" s="187">
        <v>78</v>
      </c>
      <c r="B80" s="92" t="s">
        <v>461</v>
      </c>
      <c r="C80" s="185" t="s">
        <v>29</v>
      </c>
      <c r="D80" s="116">
        <v>100311111791688</v>
      </c>
      <c r="E80" s="35">
        <v>6358697</v>
      </c>
      <c r="F80" s="211">
        <v>747.01</v>
      </c>
      <c r="G80" s="183">
        <f t="shared" si="12"/>
        <v>55.129338000000004</v>
      </c>
      <c r="H80" s="211">
        <v>249.01</v>
      </c>
      <c r="I80" s="181">
        <f t="shared" si="13"/>
        <v>442.87066200000004</v>
      </c>
      <c r="J80" s="186" t="s">
        <v>23</v>
      </c>
      <c r="K80" s="211" t="s">
        <v>27</v>
      </c>
      <c r="L80" s="181">
        <f t="shared" si="11"/>
        <v>66.430599299999997</v>
      </c>
      <c r="M80" s="181">
        <f t="shared" si="7"/>
        <v>17.714826480000003</v>
      </c>
      <c r="N80" s="189">
        <f t="shared" si="8"/>
        <v>8.8574132400000014</v>
      </c>
      <c r="O80" s="189">
        <f t="shared" si="9"/>
        <v>8.8574132400000014</v>
      </c>
      <c r="P80" s="183">
        <f t="shared" si="10"/>
        <v>31.000946339999999</v>
      </c>
    </row>
    <row r="81" spans="1:16">
      <c r="A81" s="187">
        <v>79</v>
      </c>
      <c r="B81" s="92" t="s">
        <v>462</v>
      </c>
      <c r="C81" s="185" t="s">
        <v>360</v>
      </c>
      <c r="D81" s="116">
        <v>37867010</v>
      </c>
      <c r="E81" s="35">
        <v>6385192</v>
      </c>
      <c r="F81" s="211">
        <v>311.79000000000002</v>
      </c>
      <c r="G81" s="183">
        <f t="shared" si="12"/>
        <v>23.010102000000003</v>
      </c>
      <c r="H81" s="211">
        <v>0</v>
      </c>
      <c r="I81" s="181">
        <f t="shared" si="13"/>
        <v>288.779898</v>
      </c>
      <c r="J81" s="186" t="s">
        <v>23</v>
      </c>
      <c r="K81" s="211" t="s">
        <v>20</v>
      </c>
      <c r="L81" s="181">
        <f t="shared" si="11"/>
        <v>43.316984699999999</v>
      </c>
      <c r="M81" s="181">
        <f t="shared" si="7"/>
        <v>11.55119592</v>
      </c>
      <c r="N81" s="189">
        <f t="shared" si="8"/>
        <v>5.7755979599999998</v>
      </c>
      <c r="O81" s="189">
        <f t="shared" si="9"/>
        <v>5.7755979599999998</v>
      </c>
      <c r="P81" s="183">
        <f t="shared" si="10"/>
        <v>20.214592860000003</v>
      </c>
    </row>
    <row r="82" spans="1:16">
      <c r="A82" s="187">
        <v>80</v>
      </c>
      <c r="B82" s="92" t="s">
        <v>463</v>
      </c>
      <c r="C82" s="185" t="s">
        <v>59</v>
      </c>
      <c r="D82" s="116">
        <v>37873073</v>
      </c>
      <c r="E82" s="35">
        <v>6368707</v>
      </c>
      <c r="F82" s="211">
        <v>450.3</v>
      </c>
      <c r="G82" s="183">
        <f t="shared" si="12"/>
        <v>33.232140000000001</v>
      </c>
      <c r="H82" s="211">
        <v>45.03</v>
      </c>
      <c r="I82" s="181">
        <f t="shared" si="13"/>
        <v>372.03786000000002</v>
      </c>
      <c r="J82" s="186" t="s">
        <v>19</v>
      </c>
      <c r="K82" s="211" t="s">
        <v>57</v>
      </c>
      <c r="L82" s="181">
        <f t="shared" si="11"/>
        <v>55.805679000000005</v>
      </c>
      <c r="M82" s="181">
        <f t="shared" si="7"/>
        <v>14.8815144</v>
      </c>
      <c r="N82" s="189">
        <f t="shared" si="8"/>
        <v>7.4407572000000002</v>
      </c>
      <c r="O82" s="189">
        <f t="shared" si="9"/>
        <v>7.4407572000000002</v>
      </c>
      <c r="P82" s="183">
        <f t="shared" si="10"/>
        <v>26.042650200000004</v>
      </c>
    </row>
    <row r="83" spans="1:16">
      <c r="A83" s="187">
        <v>81</v>
      </c>
      <c r="B83" s="92" t="s">
        <v>464</v>
      </c>
      <c r="C83" s="185" t="s">
        <v>360</v>
      </c>
      <c r="D83" s="116">
        <v>100311111794565</v>
      </c>
      <c r="E83" s="35">
        <v>6389601</v>
      </c>
      <c r="F83" s="211">
        <v>522.85</v>
      </c>
      <c r="G83" s="183">
        <f t="shared" si="12"/>
        <v>38.586330000000004</v>
      </c>
      <c r="H83" s="211">
        <v>138.11000000000001</v>
      </c>
      <c r="I83" s="181">
        <f t="shared" si="13"/>
        <v>346.15367000000003</v>
      </c>
      <c r="J83" s="186" t="s">
        <v>23</v>
      </c>
      <c r="K83" s="211" t="s">
        <v>176</v>
      </c>
      <c r="L83" s="181">
        <f t="shared" si="11"/>
        <v>51.923050500000002</v>
      </c>
      <c r="M83" s="181">
        <f t="shared" si="7"/>
        <v>13.846146800000001</v>
      </c>
      <c r="N83" s="189">
        <f t="shared" si="8"/>
        <v>6.9230734000000007</v>
      </c>
      <c r="O83" s="189">
        <f t="shared" si="9"/>
        <v>6.9230734000000007</v>
      </c>
      <c r="P83" s="183">
        <f t="shared" si="10"/>
        <v>24.230756900000003</v>
      </c>
    </row>
    <row r="84" spans="1:16">
      <c r="A84" s="187">
        <v>82</v>
      </c>
      <c r="B84" s="92" t="s">
        <v>465</v>
      </c>
      <c r="C84" s="185" t="s">
        <v>360</v>
      </c>
      <c r="D84" s="116">
        <v>100311111794160</v>
      </c>
      <c r="E84" s="35">
        <v>6389381</v>
      </c>
      <c r="F84" s="211">
        <v>555.61</v>
      </c>
      <c r="G84" s="183">
        <f t="shared" si="12"/>
        <v>41.004018000000002</v>
      </c>
      <c r="H84" s="211">
        <v>59.7</v>
      </c>
      <c r="I84" s="181">
        <f t="shared" si="13"/>
        <v>454.90598200000005</v>
      </c>
      <c r="J84" s="186" t="s">
        <v>23</v>
      </c>
      <c r="K84" s="211" t="s">
        <v>27</v>
      </c>
      <c r="L84" s="181">
        <f t="shared" si="11"/>
        <v>68.235897300000005</v>
      </c>
      <c r="M84" s="181">
        <f t="shared" si="7"/>
        <v>18.196239280000004</v>
      </c>
      <c r="N84" s="189">
        <f t="shared" si="8"/>
        <v>9.098119640000002</v>
      </c>
      <c r="O84" s="189">
        <f t="shared" si="9"/>
        <v>9.098119640000002</v>
      </c>
      <c r="P84" s="183">
        <f t="shared" si="10"/>
        <v>31.843418740000004</v>
      </c>
    </row>
    <row r="85" spans="1:16">
      <c r="A85" s="187">
        <v>83</v>
      </c>
      <c r="B85" s="92" t="s">
        <v>466</v>
      </c>
      <c r="C85" s="185" t="s">
        <v>59</v>
      </c>
      <c r="D85" s="116">
        <v>37868819</v>
      </c>
      <c r="E85" s="35">
        <v>6382280</v>
      </c>
      <c r="F85" s="211">
        <v>669.28</v>
      </c>
      <c r="G85" s="183">
        <f t="shared" si="12"/>
        <v>49.392864000000003</v>
      </c>
      <c r="H85" s="211">
        <v>167.32</v>
      </c>
      <c r="I85" s="181">
        <f t="shared" si="13"/>
        <v>452.56713599999995</v>
      </c>
      <c r="J85" s="186" t="s">
        <v>23</v>
      </c>
      <c r="K85" s="211" t="s">
        <v>248</v>
      </c>
      <c r="L85" s="181">
        <f t="shared" si="11"/>
        <v>67.885070399999989</v>
      </c>
      <c r="M85" s="181">
        <f t="shared" si="7"/>
        <v>18.102685439999998</v>
      </c>
      <c r="N85" s="189">
        <f t="shared" si="8"/>
        <v>9.0513427199999992</v>
      </c>
      <c r="O85" s="189">
        <f t="shared" si="9"/>
        <v>9.0513427199999992</v>
      </c>
      <c r="P85" s="183">
        <f t="shared" si="10"/>
        <v>31.679699519999986</v>
      </c>
    </row>
    <row r="86" spans="1:16">
      <c r="A86" s="187">
        <v>84</v>
      </c>
      <c r="B86" s="92" t="s">
        <v>467</v>
      </c>
      <c r="C86" s="185" t="s">
        <v>18</v>
      </c>
      <c r="D86" s="116">
        <v>37868680</v>
      </c>
      <c r="E86" s="35">
        <v>6379211</v>
      </c>
      <c r="F86" s="211">
        <v>496.5</v>
      </c>
      <c r="G86" s="183">
        <f t="shared" si="12"/>
        <v>36.6417</v>
      </c>
      <c r="H86" s="211">
        <v>0</v>
      </c>
      <c r="I86" s="181">
        <f t="shared" si="13"/>
        <v>459.85829999999999</v>
      </c>
      <c r="J86" s="186" t="s">
        <v>23</v>
      </c>
      <c r="K86" s="211" t="s">
        <v>42</v>
      </c>
      <c r="L86" s="181">
        <f t="shared" si="11"/>
        <v>68.978744999999989</v>
      </c>
      <c r="M86" s="181">
        <f t="shared" si="7"/>
        <v>18.394331999999999</v>
      </c>
      <c r="N86" s="189">
        <f t="shared" si="8"/>
        <v>9.1971659999999993</v>
      </c>
      <c r="O86" s="189">
        <f t="shared" si="9"/>
        <v>9.1971659999999993</v>
      </c>
      <c r="P86" s="183">
        <f t="shared" si="10"/>
        <v>32.190080999999992</v>
      </c>
    </row>
    <row r="87" spans="1:16">
      <c r="A87" s="187">
        <v>85</v>
      </c>
      <c r="B87" s="92" t="s">
        <v>468</v>
      </c>
      <c r="C87" s="185" t="s">
        <v>360</v>
      </c>
      <c r="D87" s="116">
        <v>100311111832933</v>
      </c>
      <c r="E87" s="35">
        <v>6386984</v>
      </c>
      <c r="F87" s="211">
        <v>500.38</v>
      </c>
      <c r="G87" s="183">
        <f t="shared" si="12"/>
        <v>36.928044</v>
      </c>
      <c r="H87" s="211">
        <v>53.77</v>
      </c>
      <c r="I87" s="181">
        <f t="shared" si="13"/>
        <v>409.68195600000001</v>
      </c>
      <c r="J87" s="186" t="s">
        <v>23</v>
      </c>
      <c r="K87" s="211" t="s">
        <v>20</v>
      </c>
      <c r="L87" s="181">
        <f t="shared" si="11"/>
        <v>61.452293400000002</v>
      </c>
      <c r="M87" s="181">
        <f t="shared" si="7"/>
        <v>16.387278240000001</v>
      </c>
      <c r="N87" s="189">
        <f t="shared" si="8"/>
        <v>8.1936391200000003</v>
      </c>
      <c r="O87" s="189">
        <f t="shared" si="9"/>
        <v>8.1936391200000003</v>
      </c>
      <c r="P87" s="183">
        <f t="shared" si="10"/>
        <v>28.677736920000001</v>
      </c>
    </row>
    <row r="88" spans="1:16">
      <c r="A88" s="187">
        <v>86</v>
      </c>
      <c r="B88" s="92" t="s">
        <v>469</v>
      </c>
      <c r="C88" s="185" t="s">
        <v>93</v>
      </c>
      <c r="D88" s="116">
        <v>100311111801578</v>
      </c>
      <c r="E88" s="35">
        <v>6392363</v>
      </c>
      <c r="F88" s="211">
        <v>612.09</v>
      </c>
      <c r="G88" s="183">
        <f t="shared" si="12"/>
        <v>45.172242000000004</v>
      </c>
      <c r="H88" s="211">
        <v>0</v>
      </c>
      <c r="I88" s="181">
        <f t="shared" si="13"/>
        <v>566.91775800000005</v>
      </c>
      <c r="J88" s="186" t="s">
        <v>23</v>
      </c>
      <c r="K88" s="211" t="s">
        <v>42</v>
      </c>
      <c r="L88" s="181">
        <f t="shared" si="11"/>
        <v>85.03766370000001</v>
      </c>
      <c r="M88" s="181">
        <f t="shared" si="7"/>
        <v>22.676710320000002</v>
      </c>
      <c r="N88" s="189">
        <f t="shared" si="8"/>
        <v>11.338355160000001</v>
      </c>
      <c r="O88" s="189">
        <f t="shared" si="9"/>
        <v>11.338355160000001</v>
      </c>
      <c r="P88" s="183">
        <f t="shared" si="10"/>
        <v>39.684243060000014</v>
      </c>
    </row>
    <row r="89" spans="1:16">
      <c r="A89" s="187">
        <v>87</v>
      </c>
      <c r="B89" s="92" t="s">
        <v>470</v>
      </c>
      <c r="C89" s="185" t="s">
        <v>18</v>
      </c>
      <c r="D89" s="116">
        <v>100311111799061</v>
      </c>
      <c r="E89" s="35">
        <v>6391394</v>
      </c>
      <c r="F89" s="211">
        <v>932.91</v>
      </c>
      <c r="G89" s="183">
        <f t="shared" si="12"/>
        <v>68.848758000000004</v>
      </c>
      <c r="H89" s="211">
        <v>98.23</v>
      </c>
      <c r="I89" s="181">
        <f t="shared" si="13"/>
        <v>765.83124199999997</v>
      </c>
      <c r="J89" s="186" t="s">
        <v>23</v>
      </c>
      <c r="K89" s="211" t="s">
        <v>40</v>
      </c>
      <c r="L89" s="181">
        <f t="shared" si="11"/>
        <v>114.87468629999999</v>
      </c>
      <c r="M89" s="181">
        <f t="shared" si="7"/>
        <v>30.633249679999999</v>
      </c>
      <c r="N89" s="189">
        <f t="shared" si="8"/>
        <v>15.316624839999999</v>
      </c>
      <c r="O89" s="189">
        <f t="shared" si="9"/>
        <v>15.316624839999999</v>
      </c>
      <c r="P89" s="183">
        <f t="shared" si="10"/>
        <v>53.608186939999996</v>
      </c>
    </row>
    <row r="90" spans="1:16">
      <c r="A90" s="187">
        <v>88</v>
      </c>
      <c r="B90" s="92" t="s">
        <v>471</v>
      </c>
      <c r="C90" s="185" t="s">
        <v>170</v>
      </c>
      <c r="D90" s="116">
        <v>37874152</v>
      </c>
      <c r="E90" s="35">
        <v>6391570</v>
      </c>
      <c r="F90" s="211">
        <v>929.18</v>
      </c>
      <c r="G90" s="183">
        <f t="shared" si="12"/>
        <v>68.573483999999993</v>
      </c>
      <c r="H90" s="211">
        <v>0</v>
      </c>
      <c r="I90" s="181">
        <f t="shared" si="13"/>
        <v>860.60651599999994</v>
      </c>
      <c r="J90" s="186" t="s">
        <v>23</v>
      </c>
      <c r="K90" s="211" t="s">
        <v>31</v>
      </c>
      <c r="L90" s="181">
        <f t="shared" si="11"/>
        <v>129.09097739999999</v>
      </c>
      <c r="M90" s="181">
        <f t="shared" si="7"/>
        <v>34.42426064</v>
      </c>
      <c r="N90" s="189">
        <f t="shared" si="8"/>
        <v>17.21213032</v>
      </c>
      <c r="O90" s="189">
        <f t="shared" si="9"/>
        <v>17.21213032</v>
      </c>
      <c r="P90" s="183">
        <f t="shared" si="10"/>
        <v>60.242456119999986</v>
      </c>
    </row>
    <row r="91" spans="1:16">
      <c r="A91" s="187">
        <v>89</v>
      </c>
      <c r="B91" s="92" t="s">
        <v>461</v>
      </c>
      <c r="C91" s="185" t="s">
        <v>29</v>
      </c>
      <c r="D91" s="116">
        <v>10031111803276</v>
      </c>
      <c r="E91" s="35">
        <v>6394714</v>
      </c>
      <c r="F91" s="211">
        <v>779.94</v>
      </c>
      <c r="G91" s="183">
        <f t="shared" si="12"/>
        <v>57.55957200000001</v>
      </c>
      <c r="H91" s="211">
        <v>83.81</v>
      </c>
      <c r="I91" s="181">
        <f t="shared" si="13"/>
        <v>638.57042799999999</v>
      </c>
      <c r="J91" s="186" t="s">
        <v>23</v>
      </c>
      <c r="K91" s="211" t="s">
        <v>78</v>
      </c>
      <c r="L91" s="181">
        <f t="shared" si="11"/>
        <v>95.785564199999996</v>
      </c>
      <c r="M91" s="181">
        <f t="shared" si="7"/>
        <v>25.542817119999999</v>
      </c>
      <c r="N91" s="189">
        <f t="shared" si="8"/>
        <v>12.771408559999999</v>
      </c>
      <c r="O91" s="189">
        <f t="shared" si="9"/>
        <v>12.771408559999999</v>
      </c>
      <c r="P91" s="183">
        <f t="shared" si="10"/>
        <v>44.699929960000006</v>
      </c>
    </row>
    <row r="92" spans="1:16">
      <c r="A92" s="187">
        <v>90</v>
      </c>
      <c r="B92" s="92" t="s">
        <v>472</v>
      </c>
      <c r="C92" s="185" t="s">
        <v>360</v>
      </c>
      <c r="D92" s="116">
        <v>10031111803150</v>
      </c>
      <c r="E92" s="35">
        <v>6364057</v>
      </c>
      <c r="F92" s="211">
        <v>471.07</v>
      </c>
      <c r="G92" s="183">
        <f t="shared" si="12"/>
        <v>34.764966000000001</v>
      </c>
      <c r="H92" s="211">
        <v>0</v>
      </c>
      <c r="I92" s="181">
        <f t="shared" si="13"/>
        <v>436.30503399999998</v>
      </c>
      <c r="J92" s="186" t="s">
        <v>23</v>
      </c>
      <c r="K92" s="211" t="s">
        <v>78</v>
      </c>
      <c r="L92" s="181">
        <f t="shared" si="11"/>
        <v>65.4457551</v>
      </c>
      <c r="M92" s="181">
        <f t="shared" si="7"/>
        <v>17.45220136</v>
      </c>
      <c r="N92" s="189">
        <f t="shared" si="8"/>
        <v>8.7261006800000001</v>
      </c>
      <c r="O92" s="189">
        <f t="shared" si="9"/>
        <v>8.7261006800000001</v>
      </c>
      <c r="P92" s="183">
        <f t="shared" si="10"/>
        <v>30.541352379999992</v>
      </c>
    </row>
    <row r="93" spans="1:16">
      <c r="A93" s="187">
        <v>91</v>
      </c>
      <c r="B93" s="92" t="s">
        <v>473</v>
      </c>
      <c r="C93" s="185" t="s">
        <v>456</v>
      </c>
      <c r="D93" s="116">
        <v>100311111802558</v>
      </c>
      <c r="E93" s="35">
        <v>6349128</v>
      </c>
      <c r="F93" s="211">
        <v>637.54999999999995</v>
      </c>
      <c r="G93" s="183">
        <f t="shared" si="12"/>
        <v>47.051189999999998</v>
      </c>
      <c r="H93" s="211">
        <v>168.41</v>
      </c>
      <c r="I93" s="181">
        <f t="shared" si="13"/>
        <v>422.08880999999997</v>
      </c>
      <c r="J93" s="186" t="s">
        <v>23</v>
      </c>
      <c r="K93" s="211" t="s">
        <v>20</v>
      </c>
      <c r="L93" s="181">
        <f t="shared" si="11"/>
        <v>63.313321499999994</v>
      </c>
      <c r="M93" s="181">
        <f t="shared" si="7"/>
        <v>16.883552399999999</v>
      </c>
      <c r="N93" s="189">
        <f t="shared" si="8"/>
        <v>8.4417761999999996</v>
      </c>
      <c r="O93" s="189">
        <f t="shared" si="9"/>
        <v>8.4417761999999996</v>
      </c>
      <c r="P93" s="183">
        <f t="shared" si="10"/>
        <v>29.546216699999995</v>
      </c>
    </row>
    <row r="94" spans="1:16">
      <c r="A94" s="187">
        <v>92</v>
      </c>
      <c r="B94" s="92" t="s">
        <v>474</v>
      </c>
      <c r="C94" s="185" t="s">
        <v>29</v>
      </c>
      <c r="D94" s="116">
        <v>100311111802448</v>
      </c>
      <c r="E94" s="35">
        <v>6390611</v>
      </c>
      <c r="F94" s="211">
        <v>912.36</v>
      </c>
      <c r="G94" s="183">
        <f t="shared" si="12"/>
        <v>67.33216800000001</v>
      </c>
      <c r="H94" s="211">
        <v>0</v>
      </c>
      <c r="I94" s="181">
        <f t="shared" si="13"/>
        <v>845.02783199999999</v>
      </c>
      <c r="J94" s="186" t="s">
        <v>23</v>
      </c>
      <c r="K94" s="211" t="s">
        <v>57</v>
      </c>
      <c r="L94" s="181">
        <f t="shared" si="11"/>
        <v>126.75417479999999</v>
      </c>
      <c r="M94" s="181">
        <f t="shared" si="7"/>
        <v>33.801113280000003</v>
      </c>
      <c r="N94" s="189">
        <f t="shared" si="8"/>
        <v>16.900556640000001</v>
      </c>
      <c r="O94" s="189">
        <f t="shared" si="9"/>
        <v>16.900556640000001</v>
      </c>
      <c r="P94" s="183">
        <f t="shared" si="10"/>
        <v>59.151948239999967</v>
      </c>
    </row>
    <row r="95" spans="1:16">
      <c r="A95" s="187">
        <v>93</v>
      </c>
      <c r="B95" s="123" t="s">
        <v>475</v>
      </c>
      <c r="C95" s="185" t="s">
        <v>29</v>
      </c>
      <c r="D95" s="116"/>
      <c r="E95" s="35">
        <v>6394158</v>
      </c>
      <c r="F95" s="211">
        <v>563.85</v>
      </c>
      <c r="G95" s="183">
        <f t="shared" si="12"/>
        <v>41.612130000000008</v>
      </c>
      <c r="H95" s="211">
        <v>0</v>
      </c>
      <c r="I95" s="181">
        <f t="shared" si="13"/>
        <v>522.23787000000004</v>
      </c>
      <c r="J95" s="186" t="s">
        <v>23</v>
      </c>
      <c r="K95" s="211" t="s">
        <v>27</v>
      </c>
      <c r="L95" s="181">
        <f t="shared" si="11"/>
        <v>78.335680500000009</v>
      </c>
      <c r="M95" s="181">
        <f t="shared" si="7"/>
        <v>20.889514800000001</v>
      </c>
      <c r="N95" s="189">
        <f t="shared" si="8"/>
        <v>10.4447574</v>
      </c>
      <c r="O95" s="189">
        <f t="shared" si="9"/>
        <v>10.4447574</v>
      </c>
      <c r="P95" s="183">
        <f t="shared" si="10"/>
        <v>36.556650900000008</v>
      </c>
    </row>
    <row r="96" spans="1:16">
      <c r="A96" s="187">
        <v>94</v>
      </c>
      <c r="B96" s="92" t="s">
        <v>476</v>
      </c>
      <c r="C96" s="185" t="s">
        <v>360</v>
      </c>
      <c r="D96" s="116">
        <v>10031111802169</v>
      </c>
      <c r="E96" s="138" t="s">
        <v>477</v>
      </c>
      <c r="F96" s="211">
        <v>455.31</v>
      </c>
      <c r="G96" s="183">
        <f t="shared" si="12"/>
        <v>33.601877999999999</v>
      </c>
      <c r="H96" s="211">
        <v>120.27</v>
      </c>
      <c r="I96" s="181">
        <f t="shared" si="13"/>
        <v>301.43812200000002</v>
      </c>
      <c r="J96" s="186" t="s">
        <v>19</v>
      </c>
      <c r="K96" s="211" t="s">
        <v>42</v>
      </c>
      <c r="L96" s="181">
        <f t="shared" si="11"/>
        <v>45.215718299999999</v>
      </c>
      <c r="M96" s="181">
        <f t="shared" si="7"/>
        <v>12.057524880000001</v>
      </c>
      <c r="N96" s="189">
        <f t="shared" si="8"/>
        <v>6.0287624400000004</v>
      </c>
      <c r="O96" s="189">
        <f t="shared" si="9"/>
        <v>6.0287624400000004</v>
      </c>
      <c r="P96" s="183">
        <f t="shared" si="10"/>
        <v>21.100668539999994</v>
      </c>
    </row>
    <row r="97" spans="1:16">
      <c r="A97" s="187">
        <v>95</v>
      </c>
      <c r="B97" s="92" t="s">
        <v>478</v>
      </c>
      <c r="C97" s="185" t="s">
        <v>29</v>
      </c>
      <c r="D97" s="116">
        <v>100311111795165</v>
      </c>
      <c r="E97" s="138" t="s">
        <v>479</v>
      </c>
      <c r="F97" s="211">
        <v>672.01</v>
      </c>
      <c r="G97" s="183">
        <f t="shared" si="12"/>
        <v>49.594338</v>
      </c>
      <c r="H97" s="211">
        <v>224</v>
      </c>
      <c r="I97" s="181">
        <f t="shared" si="13"/>
        <v>398.415662</v>
      </c>
      <c r="J97" s="186" t="s">
        <v>23</v>
      </c>
      <c r="K97" s="211" t="s">
        <v>27</v>
      </c>
      <c r="L97" s="181">
        <f t="shared" si="11"/>
        <v>59.762349299999997</v>
      </c>
      <c r="M97" s="181">
        <f t="shared" si="7"/>
        <v>15.936626480000001</v>
      </c>
      <c r="N97" s="189">
        <f t="shared" si="8"/>
        <v>7.9683132400000005</v>
      </c>
      <c r="O97" s="189">
        <f t="shared" si="9"/>
        <v>7.9683132400000005</v>
      </c>
      <c r="P97" s="183">
        <f t="shared" si="10"/>
        <v>27.889096339999995</v>
      </c>
    </row>
    <row r="98" spans="1:16">
      <c r="A98" s="187">
        <v>96</v>
      </c>
      <c r="B98" s="92" t="s">
        <v>480</v>
      </c>
      <c r="C98" s="185" t="s">
        <v>360</v>
      </c>
      <c r="D98" s="116">
        <v>1003111111799430</v>
      </c>
      <c r="E98" s="138" t="s">
        <v>481</v>
      </c>
      <c r="F98" s="211">
        <v>475.47</v>
      </c>
      <c r="G98" s="183">
        <f t="shared" si="12"/>
        <v>35.089686000000007</v>
      </c>
      <c r="H98" s="211">
        <v>0</v>
      </c>
      <c r="I98" s="181">
        <f t="shared" si="13"/>
        <v>440.380314</v>
      </c>
      <c r="J98" s="186" t="s">
        <v>23</v>
      </c>
      <c r="K98" s="211" t="s">
        <v>78</v>
      </c>
      <c r="L98" s="181">
        <f t="shared" si="11"/>
        <v>66.057047099999991</v>
      </c>
      <c r="M98" s="181">
        <f t="shared" si="7"/>
        <v>17.61521256</v>
      </c>
      <c r="N98" s="189">
        <f t="shared" si="8"/>
        <v>8.8076062799999999</v>
      </c>
      <c r="O98" s="189">
        <f t="shared" si="9"/>
        <v>8.8076062799999999</v>
      </c>
      <c r="P98" s="183">
        <f t="shared" si="10"/>
        <v>30.826621979999985</v>
      </c>
    </row>
    <row r="99" spans="1:16">
      <c r="A99" s="187">
        <v>97</v>
      </c>
      <c r="B99" s="92" t="s">
        <v>482</v>
      </c>
      <c r="C99" s="185" t="s">
        <v>156</v>
      </c>
      <c r="D99" s="116">
        <v>100311111802923</v>
      </c>
      <c r="E99" s="138" t="s">
        <v>483</v>
      </c>
      <c r="F99" s="211">
        <v>484.62</v>
      </c>
      <c r="G99" s="183">
        <f t="shared" si="12"/>
        <v>35.764956000000005</v>
      </c>
      <c r="H99" s="211">
        <v>0</v>
      </c>
      <c r="I99" s="181">
        <f t="shared" si="13"/>
        <v>448.85504400000002</v>
      </c>
      <c r="J99" s="186" t="s">
        <v>23</v>
      </c>
      <c r="K99" s="211" t="s">
        <v>27</v>
      </c>
      <c r="L99" s="181">
        <f t="shared" si="11"/>
        <v>67.328256600000003</v>
      </c>
      <c r="M99" s="181">
        <f t="shared" si="7"/>
        <v>17.95420176</v>
      </c>
      <c r="N99" s="189">
        <f t="shared" si="8"/>
        <v>8.9771008800000001</v>
      </c>
      <c r="O99" s="189">
        <f t="shared" si="9"/>
        <v>8.9771008800000001</v>
      </c>
      <c r="P99" s="183">
        <f t="shared" si="10"/>
        <v>31.419853079999996</v>
      </c>
    </row>
    <row r="100" spans="1:16">
      <c r="A100" s="187">
        <v>98</v>
      </c>
      <c r="B100" s="92" t="s">
        <v>484</v>
      </c>
      <c r="C100" s="185" t="s">
        <v>18</v>
      </c>
      <c r="D100" s="116">
        <v>3002025</v>
      </c>
      <c r="E100" s="35">
        <v>6397370</v>
      </c>
      <c r="F100" s="211">
        <v>548.29999999999995</v>
      </c>
      <c r="G100" s="183">
        <f t="shared" si="12"/>
        <v>40.46454</v>
      </c>
      <c r="H100" s="211">
        <v>50.77</v>
      </c>
      <c r="I100" s="181">
        <f t="shared" si="13"/>
        <v>457.06545999999997</v>
      </c>
      <c r="J100" s="186" t="s">
        <v>19</v>
      </c>
      <c r="K100" s="211" t="s">
        <v>27</v>
      </c>
      <c r="L100" s="181">
        <f t="shared" si="11"/>
        <v>68.55981899999999</v>
      </c>
      <c r="M100" s="181">
        <f t="shared" si="7"/>
        <v>18.2826184</v>
      </c>
      <c r="N100" s="189">
        <f t="shared" si="8"/>
        <v>9.1413092000000002</v>
      </c>
      <c r="O100" s="189">
        <f t="shared" si="9"/>
        <v>9.1413092000000002</v>
      </c>
      <c r="P100" s="183">
        <f t="shared" si="10"/>
        <v>31.994582199999982</v>
      </c>
    </row>
    <row r="101" spans="1:16">
      <c r="A101" s="187">
        <v>99</v>
      </c>
      <c r="B101" s="92" t="s">
        <v>485</v>
      </c>
      <c r="C101" s="185" t="s">
        <v>22</v>
      </c>
      <c r="D101" s="116">
        <v>100311111805910</v>
      </c>
      <c r="E101" s="35">
        <v>6390471</v>
      </c>
      <c r="F101" s="211">
        <v>705.21</v>
      </c>
      <c r="G101" s="183">
        <f t="shared" si="12"/>
        <v>52.044498000000004</v>
      </c>
      <c r="H101" s="211">
        <v>0</v>
      </c>
      <c r="I101" s="181">
        <f t="shared" si="13"/>
        <v>653.16550200000006</v>
      </c>
      <c r="J101" s="186" t="s">
        <v>23</v>
      </c>
      <c r="K101" s="211" t="s">
        <v>40</v>
      </c>
      <c r="L101" s="181">
        <f t="shared" si="11"/>
        <v>97.974825300000006</v>
      </c>
      <c r="M101" s="181">
        <f t="shared" si="7"/>
        <v>26.126620080000002</v>
      </c>
      <c r="N101" s="189">
        <f t="shared" si="8"/>
        <v>13.063310040000001</v>
      </c>
      <c r="O101" s="189">
        <f t="shared" si="9"/>
        <v>13.063310040000001</v>
      </c>
      <c r="P101" s="183">
        <f t="shared" si="10"/>
        <v>45.721585140000002</v>
      </c>
    </row>
    <row r="102" spans="1:16">
      <c r="A102" s="187">
        <v>100</v>
      </c>
      <c r="B102" s="92" t="s">
        <v>486</v>
      </c>
      <c r="C102" s="185" t="s">
        <v>29</v>
      </c>
      <c r="D102" s="116">
        <v>37886479</v>
      </c>
      <c r="E102" s="138" t="s">
        <v>487</v>
      </c>
      <c r="F102" s="211">
        <v>526.5</v>
      </c>
      <c r="G102" s="183">
        <f t="shared" si="12"/>
        <v>38.855700000000006</v>
      </c>
      <c r="H102" s="211">
        <v>52.65</v>
      </c>
      <c r="I102" s="181">
        <f t="shared" si="13"/>
        <v>434.99430000000001</v>
      </c>
      <c r="J102" s="186" t="s">
        <v>19</v>
      </c>
      <c r="K102" s="211" t="s">
        <v>68</v>
      </c>
      <c r="L102" s="181">
        <f t="shared" si="11"/>
        <v>65.249144999999999</v>
      </c>
      <c r="M102" s="181">
        <f t="shared" si="7"/>
        <v>17.399772000000002</v>
      </c>
      <c r="N102" s="189">
        <f t="shared" si="8"/>
        <v>8.6998860000000011</v>
      </c>
      <c r="O102" s="189">
        <f t="shared" si="9"/>
        <v>8.6998860000000011</v>
      </c>
      <c r="P102" s="183">
        <f t="shared" si="10"/>
        <v>30.449601000000001</v>
      </c>
    </row>
    <row r="103" spans="1:16">
      <c r="A103" s="187">
        <v>101</v>
      </c>
      <c r="B103" s="92" t="s">
        <v>488</v>
      </c>
      <c r="C103" s="185" t="s">
        <v>93</v>
      </c>
      <c r="D103" s="116">
        <v>37880833</v>
      </c>
      <c r="E103" s="138" t="s">
        <v>489</v>
      </c>
      <c r="F103" s="211">
        <v>692.52</v>
      </c>
      <c r="G103" s="183">
        <f t="shared" si="12"/>
        <v>51.107976000000001</v>
      </c>
      <c r="H103" s="211">
        <v>57.71</v>
      </c>
      <c r="I103" s="181">
        <f t="shared" si="13"/>
        <v>583.70202399999994</v>
      </c>
      <c r="J103" s="186" t="s">
        <v>19</v>
      </c>
      <c r="K103" s="211" t="s">
        <v>27</v>
      </c>
      <c r="L103" s="181">
        <f t="shared" si="11"/>
        <v>87.555303599999988</v>
      </c>
      <c r="M103" s="181">
        <f t="shared" si="7"/>
        <v>23.348080959999997</v>
      </c>
      <c r="N103" s="189">
        <f t="shared" si="8"/>
        <v>11.674040479999999</v>
      </c>
      <c r="O103" s="189">
        <f t="shared" si="9"/>
        <v>11.674040479999999</v>
      </c>
      <c r="P103" s="183">
        <f t="shared" si="10"/>
        <v>40.859141679999993</v>
      </c>
    </row>
    <row r="104" spans="1:16">
      <c r="A104" s="187">
        <v>102</v>
      </c>
      <c r="B104" s="92" t="s">
        <v>490</v>
      </c>
      <c r="C104" s="185" t="s">
        <v>491</v>
      </c>
      <c r="D104" s="116">
        <v>1003111111816130</v>
      </c>
      <c r="E104" s="35">
        <v>6378066</v>
      </c>
      <c r="F104" s="211">
        <v>686.85</v>
      </c>
      <c r="G104" s="183">
        <f t="shared" si="12"/>
        <v>50.689530000000005</v>
      </c>
      <c r="H104" s="211">
        <v>181.8</v>
      </c>
      <c r="I104" s="181">
        <f t="shared" si="13"/>
        <v>454.36047000000002</v>
      </c>
      <c r="J104" s="186" t="s">
        <v>23</v>
      </c>
      <c r="K104" s="211" t="s">
        <v>31</v>
      </c>
      <c r="L104" s="181">
        <f t="shared" si="11"/>
        <v>68.154070500000003</v>
      </c>
      <c r="M104" s="181">
        <f t="shared" si="7"/>
        <v>18.174418800000002</v>
      </c>
      <c r="N104" s="189">
        <f t="shared" si="8"/>
        <v>9.0872094000000008</v>
      </c>
      <c r="O104" s="189">
        <f t="shared" si="9"/>
        <v>9.0872094000000008</v>
      </c>
      <c r="P104" s="183">
        <f t="shared" si="10"/>
        <v>31.805232900000007</v>
      </c>
    </row>
    <row r="105" spans="1:16">
      <c r="A105" s="187">
        <v>103</v>
      </c>
      <c r="B105" s="92" t="s">
        <v>492</v>
      </c>
      <c r="C105" s="185" t="s">
        <v>22</v>
      </c>
      <c r="D105" s="116">
        <v>100311111816077</v>
      </c>
      <c r="E105" s="35">
        <v>6378212</v>
      </c>
      <c r="F105" s="211">
        <v>694.02</v>
      </c>
      <c r="G105" s="183">
        <f t="shared" si="12"/>
        <v>51.218676000000002</v>
      </c>
      <c r="H105" s="211">
        <v>0</v>
      </c>
      <c r="I105" s="181">
        <f t="shared" si="13"/>
        <v>642.80132400000002</v>
      </c>
      <c r="J105" s="186" t="s">
        <v>23</v>
      </c>
      <c r="K105" s="211" t="s">
        <v>20</v>
      </c>
      <c r="L105" s="181">
        <f t="shared" si="11"/>
        <v>96.420198600000006</v>
      </c>
      <c r="M105" s="181">
        <f t="shared" si="7"/>
        <v>25.712052960000001</v>
      </c>
      <c r="N105" s="189">
        <f t="shared" si="8"/>
        <v>12.856026480000001</v>
      </c>
      <c r="O105" s="189">
        <f t="shared" si="9"/>
        <v>12.856026480000001</v>
      </c>
      <c r="P105" s="183">
        <f t="shared" si="10"/>
        <v>44.996092680000004</v>
      </c>
    </row>
    <row r="106" spans="1:16">
      <c r="A106" s="187">
        <v>104</v>
      </c>
      <c r="B106" s="92" t="s">
        <v>493</v>
      </c>
      <c r="C106" s="185" t="s">
        <v>59</v>
      </c>
      <c r="D106" s="116">
        <v>3004427</v>
      </c>
      <c r="E106" s="35">
        <v>6401649</v>
      </c>
      <c r="F106" s="211">
        <v>608.04999999999995</v>
      </c>
      <c r="G106" s="183">
        <f t="shared" si="12"/>
        <v>44.874090000000002</v>
      </c>
      <c r="H106" s="211">
        <v>56.3</v>
      </c>
      <c r="I106" s="181">
        <f t="shared" si="13"/>
        <v>506.87590999999992</v>
      </c>
      <c r="J106" s="186" t="s">
        <v>19</v>
      </c>
      <c r="K106" s="211" t="s">
        <v>378</v>
      </c>
      <c r="L106" s="181">
        <f t="shared" si="11"/>
        <v>76.031386499999982</v>
      </c>
      <c r="M106" s="181">
        <f t="shared" si="7"/>
        <v>20.275036399999998</v>
      </c>
      <c r="N106" s="189">
        <f t="shared" si="8"/>
        <v>10.137518199999999</v>
      </c>
      <c r="O106" s="189">
        <f t="shared" si="9"/>
        <v>10.137518199999999</v>
      </c>
      <c r="P106" s="183">
        <f t="shared" si="10"/>
        <v>35.481313699999987</v>
      </c>
    </row>
    <row r="107" spans="1:16">
      <c r="A107" s="187">
        <v>105</v>
      </c>
      <c r="B107" s="92" t="s">
        <v>494</v>
      </c>
      <c r="C107" s="185" t="s">
        <v>18</v>
      </c>
      <c r="D107" s="116">
        <v>100311111812301</v>
      </c>
      <c r="E107" s="35">
        <v>6399914</v>
      </c>
      <c r="F107" s="211">
        <v>657.93</v>
      </c>
      <c r="G107" s="183">
        <f t="shared" si="12"/>
        <v>48.555233999999999</v>
      </c>
      <c r="H107" s="211">
        <v>70.7</v>
      </c>
      <c r="I107" s="181">
        <f t="shared" si="13"/>
        <v>538.67476599999986</v>
      </c>
      <c r="J107" s="186" t="s">
        <v>23</v>
      </c>
      <c r="K107" s="211" t="s">
        <v>125</v>
      </c>
      <c r="L107" s="181">
        <f t="shared" si="11"/>
        <v>80.801214899999977</v>
      </c>
      <c r="M107" s="181">
        <f t="shared" si="7"/>
        <v>21.546990639999994</v>
      </c>
      <c r="N107" s="189">
        <f t="shared" si="8"/>
        <v>10.773495319999997</v>
      </c>
      <c r="O107" s="189">
        <f t="shared" si="9"/>
        <v>10.773495319999997</v>
      </c>
      <c r="P107" s="183">
        <f t="shared" si="10"/>
        <v>37.707233619999997</v>
      </c>
    </row>
    <row r="108" spans="1:16">
      <c r="A108" s="187">
        <v>106</v>
      </c>
      <c r="B108" s="92" t="s">
        <v>495</v>
      </c>
      <c r="C108" s="185" t="s">
        <v>413</v>
      </c>
      <c r="D108" s="116">
        <v>100311111812106</v>
      </c>
      <c r="E108" s="35">
        <v>6399798</v>
      </c>
      <c r="F108" s="211">
        <v>850.14</v>
      </c>
      <c r="G108" s="183">
        <f t="shared" si="12"/>
        <v>62.740332000000002</v>
      </c>
      <c r="H108" s="211">
        <v>91.35</v>
      </c>
      <c r="I108" s="181">
        <f t="shared" si="13"/>
        <v>696.049668</v>
      </c>
      <c r="J108" s="186" t="s">
        <v>23</v>
      </c>
      <c r="K108" s="211" t="s">
        <v>378</v>
      </c>
      <c r="L108" s="181">
        <f t="shared" si="11"/>
        <v>104.4074502</v>
      </c>
      <c r="M108" s="181">
        <f t="shared" si="7"/>
        <v>27.841986720000001</v>
      </c>
      <c r="N108" s="189">
        <f t="shared" si="8"/>
        <v>13.920993360000001</v>
      </c>
      <c r="O108" s="189">
        <f t="shared" si="9"/>
        <v>13.920993360000001</v>
      </c>
      <c r="P108" s="183">
        <f t="shared" si="10"/>
        <v>48.723476760000011</v>
      </c>
    </row>
    <row r="109" spans="1:16">
      <c r="A109" s="187">
        <v>107</v>
      </c>
      <c r="B109" s="92" t="s">
        <v>496</v>
      </c>
      <c r="C109" s="185" t="s">
        <v>93</v>
      </c>
      <c r="D109" s="116">
        <v>100311111811928</v>
      </c>
      <c r="E109" s="35">
        <v>6399332</v>
      </c>
      <c r="F109" s="211">
        <v>558.02</v>
      </c>
      <c r="G109" s="183">
        <f t="shared" si="12"/>
        <v>41.181876000000003</v>
      </c>
      <c r="H109" s="211">
        <v>186.02</v>
      </c>
      <c r="I109" s="181">
        <f t="shared" si="13"/>
        <v>330.81812400000001</v>
      </c>
      <c r="J109" s="186" t="s">
        <v>19</v>
      </c>
      <c r="K109" s="211" t="s">
        <v>125</v>
      </c>
      <c r="L109" s="181">
        <f t="shared" si="11"/>
        <v>49.622718599999999</v>
      </c>
      <c r="M109" s="181">
        <f t="shared" si="7"/>
        <v>13.232724960000001</v>
      </c>
      <c r="N109" s="189">
        <f t="shared" si="8"/>
        <v>6.6163624800000003</v>
      </c>
      <c r="O109" s="189">
        <f t="shared" si="9"/>
        <v>6.6163624800000003</v>
      </c>
      <c r="P109" s="183">
        <f t="shared" si="10"/>
        <v>23.157268680000001</v>
      </c>
    </row>
    <row r="110" spans="1:16">
      <c r="A110" s="187">
        <v>108</v>
      </c>
      <c r="B110" s="92" t="s">
        <v>497</v>
      </c>
      <c r="C110" s="185" t="s">
        <v>93</v>
      </c>
      <c r="D110" s="116">
        <v>100311111822481</v>
      </c>
      <c r="E110" s="35">
        <v>6403259</v>
      </c>
      <c r="F110" s="211">
        <v>610.41999999999996</v>
      </c>
      <c r="G110" s="183">
        <f t="shared" si="12"/>
        <v>45.048996000000002</v>
      </c>
      <c r="H110" s="211">
        <v>66.2</v>
      </c>
      <c r="I110" s="181">
        <f t="shared" si="13"/>
        <v>499.17100399999998</v>
      </c>
      <c r="J110" s="186" t="s">
        <v>23</v>
      </c>
      <c r="K110" s="211" t="s">
        <v>20</v>
      </c>
      <c r="L110" s="181">
        <f t="shared" si="11"/>
        <v>74.8756506</v>
      </c>
      <c r="M110" s="181">
        <f t="shared" si="7"/>
        <v>19.96684016</v>
      </c>
      <c r="N110" s="189">
        <f t="shared" si="8"/>
        <v>9.9834200800000001</v>
      </c>
      <c r="O110" s="189">
        <f t="shared" si="9"/>
        <v>9.9834200800000001</v>
      </c>
      <c r="P110" s="183">
        <f t="shared" si="10"/>
        <v>34.941970279999992</v>
      </c>
    </row>
    <row r="111" spans="1:16">
      <c r="A111" s="187">
        <v>109</v>
      </c>
      <c r="B111" s="92" t="s">
        <v>498</v>
      </c>
      <c r="C111" s="185" t="s">
        <v>29</v>
      </c>
      <c r="D111" s="116">
        <v>37894822</v>
      </c>
      <c r="E111" s="35">
        <v>640883</v>
      </c>
      <c r="F111" s="211">
        <v>773.8</v>
      </c>
      <c r="G111" s="183">
        <f t="shared" si="12"/>
        <v>57.106439999999999</v>
      </c>
      <c r="H111" s="211">
        <v>77.38</v>
      </c>
      <c r="I111" s="181">
        <f t="shared" si="13"/>
        <v>639.31355999999994</v>
      </c>
      <c r="J111" s="186" t="s">
        <v>19</v>
      </c>
      <c r="K111" s="211" t="s">
        <v>31</v>
      </c>
      <c r="L111" s="181">
        <f t="shared" si="11"/>
        <v>95.897033999999991</v>
      </c>
      <c r="M111" s="181">
        <f t="shared" si="7"/>
        <v>25.5725424</v>
      </c>
      <c r="N111" s="189">
        <f t="shared" si="8"/>
        <v>12.7862712</v>
      </c>
      <c r="O111" s="189">
        <f t="shared" si="9"/>
        <v>12.7862712</v>
      </c>
      <c r="P111" s="183">
        <f t="shared" si="10"/>
        <v>44.751949199999984</v>
      </c>
    </row>
    <row r="112" spans="1:16">
      <c r="A112" s="187">
        <v>110</v>
      </c>
      <c r="B112" s="92" t="s">
        <v>499</v>
      </c>
      <c r="C112" s="185" t="s">
        <v>29</v>
      </c>
      <c r="D112" s="116">
        <v>10031110961389</v>
      </c>
      <c r="E112" s="35">
        <v>6403760</v>
      </c>
      <c r="F112" s="211">
        <v>770.58</v>
      </c>
      <c r="G112" s="183">
        <f t="shared" si="12"/>
        <v>56.868804000000004</v>
      </c>
      <c r="H112" s="211">
        <v>166.64</v>
      </c>
      <c r="I112" s="181">
        <f t="shared" si="13"/>
        <v>547.0711960000001</v>
      </c>
      <c r="J112" s="186" t="s">
        <v>23</v>
      </c>
      <c r="K112" s="211" t="s">
        <v>51</v>
      </c>
      <c r="L112" s="181">
        <f t="shared" si="11"/>
        <v>82.060679400000012</v>
      </c>
      <c r="M112" s="181">
        <f t="shared" si="7"/>
        <v>21.882847840000004</v>
      </c>
      <c r="N112" s="189">
        <f t="shared" si="8"/>
        <v>10.941423920000002</v>
      </c>
      <c r="O112" s="189">
        <f t="shared" si="9"/>
        <v>10.941423920000002</v>
      </c>
      <c r="P112" s="183">
        <f t="shared" si="10"/>
        <v>38.294983720000005</v>
      </c>
    </row>
    <row r="113" spans="1:16">
      <c r="A113" s="187">
        <v>111</v>
      </c>
      <c r="B113" s="92" t="s">
        <v>500</v>
      </c>
      <c r="C113" s="185" t="s">
        <v>93</v>
      </c>
      <c r="D113" s="116">
        <v>100311111818970</v>
      </c>
      <c r="E113" s="35">
        <v>6402992</v>
      </c>
      <c r="F113" s="211">
        <v>537.17999999999995</v>
      </c>
      <c r="G113" s="183">
        <f t="shared" si="12"/>
        <v>39.643884</v>
      </c>
      <c r="H113" s="211">
        <v>57.72</v>
      </c>
      <c r="I113" s="181">
        <f t="shared" si="13"/>
        <v>439.81611599999997</v>
      </c>
      <c r="J113" s="186" t="s">
        <v>23</v>
      </c>
      <c r="K113" s="211" t="s">
        <v>40</v>
      </c>
      <c r="L113" s="181">
        <f t="shared" si="11"/>
        <v>65.972417399999998</v>
      </c>
      <c r="M113" s="181">
        <f t="shared" si="7"/>
        <v>17.59264464</v>
      </c>
      <c r="N113" s="189">
        <f t="shared" si="8"/>
        <v>8.7963223199999998</v>
      </c>
      <c r="O113" s="189">
        <f t="shared" si="9"/>
        <v>8.7963223199999998</v>
      </c>
      <c r="P113" s="183">
        <f t="shared" si="10"/>
        <v>30.787128119999991</v>
      </c>
    </row>
    <row r="114" spans="1:16">
      <c r="A114" s="187">
        <v>112</v>
      </c>
      <c r="B114" s="92" t="s">
        <v>501</v>
      </c>
      <c r="C114" s="185" t="s">
        <v>18</v>
      </c>
      <c r="D114" s="116">
        <v>10031111828861</v>
      </c>
      <c r="E114" s="35">
        <v>6402732</v>
      </c>
      <c r="F114" s="211">
        <v>669.32</v>
      </c>
      <c r="G114" s="183">
        <v>0</v>
      </c>
      <c r="H114" s="211">
        <v>223.11</v>
      </c>
      <c r="I114" s="181">
        <f t="shared" si="13"/>
        <v>446.21000000000004</v>
      </c>
      <c r="J114" s="186" t="s">
        <v>23</v>
      </c>
      <c r="K114" s="211" t="s">
        <v>20</v>
      </c>
      <c r="L114" s="181">
        <f t="shared" si="11"/>
        <v>66.9315</v>
      </c>
      <c r="M114" s="181">
        <f t="shared" si="7"/>
        <v>17.848400000000002</v>
      </c>
      <c r="N114" s="189">
        <f t="shared" si="8"/>
        <v>8.9242000000000008</v>
      </c>
      <c r="O114" s="189">
        <f t="shared" si="9"/>
        <v>8.9242000000000008</v>
      </c>
      <c r="P114" s="183">
        <f t="shared" si="10"/>
        <v>31.234700000000004</v>
      </c>
    </row>
    <row r="115" spans="1:16">
      <c r="A115" s="187">
        <v>113</v>
      </c>
      <c r="B115" s="92" t="s">
        <v>502</v>
      </c>
      <c r="C115" s="185" t="s">
        <v>503</v>
      </c>
      <c r="D115" s="116"/>
      <c r="E115" s="138" t="s">
        <v>504</v>
      </c>
      <c r="F115" s="211">
        <v>754.45</v>
      </c>
      <c r="G115" s="183">
        <f t="shared" si="12"/>
        <v>55.678410000000007</v>
      </c>
      <c r="H115" s="211">
        <v>69.86</v>
      </c>
      <c r="I115" s="181">
        <f t="shared" si="13"/>
        <v>628.91159000000005</v>
      </c>
      <c r="J115" s="186" t="s">
        <v>19</v>
      </c>
      <c r="K115" s="211" t="s">
        <v>27</v>
      </c>
      <c r="L115" s="181">
        <f t="shared" si="11"/>
        <v>94.33673850000001</v>
      </c>
      <c r="M115" s="181">
        <f t="shared" si="7"/>
        <v>25.156463600000002</v>
      </c>
      <c r="N115" s="189">
        <f t="shared" si="8"/>
        <v>12.578231800000001</v>
      </c>
      <c r="O115" s="189">
        <f t="shared" si="9"/>
        <v>12.578231800000001</v>
      </c>
      <c r="P115" s="183">
        <f t="shared" si="10"/>
        <v>44.023811300000006</v>
      </c>
    </row>
    <row r="116" spans="1:16">
      <c r="A116" s="187">
        <v>114</v>
      </c>
      <c r="B116" s="92" t="s">
        <v>505</v>
      </c>
      <c r="C116" s="185" t="s">
        <v>93</v>
      </c>
      <c r="D116" s="116">
        <v>100311111824728</v>
      </c>
      <c r="E116" s="35">
        <v>6407239</v>
      </c>
      <c r="F116" s="211">
        <v>581.03</v>
      </c>
      <c r="G116" s="183">
        <f t="shared" si="12"/>
        <v>42.880014000000003</v>
      </c>
      <c r="H116" s="211">
        <v>62.43</v>
      </c>
      <c r="I116" s="181">
        <f t="shared" si="13"/>
        <v>475.71998600000001</v>
      </c>
      <c r="J116" s="186" t="s">
        <v>23</v>
      </c>
      <c r="K116" s="211" t="s">
        <v>352</v>
      </c>
      <c r="L116" s="181">
        <f t="shared" si="11"/>
        <v>71.357997900000001</v>
      </c>
      <c r="M116" s="181">
        <f t="shared" si="7"/>
        <v>19.02879944</v>
      </c>
      <c r="N116" s="189">
        <f t="shared" si="8"/>
        <v>9.5143997200000001</v>
      </c>
      <c r="O116" s="189">
        <f t="shared" si="9"/>
        <v>9.5143997200000001</v>
      </c>
      <c r="P116" s="183">
        <f t="shared" si="10"/>
        <v>33.30039902</v>
      </c>
    </row>
    <row r="117" spans="1:16">
      <c r="A117" s="187">
        <v>115</v>
      </c>
      <c r="B117" s="92" t="s">
        <v>506</v>
      </c>
      <c r="C117" s="185" t="s">
        <v>18</v>
      </c>
      <c r="D117" s="116"/>
      <c r="E117" s="35">
        <v>6403036</v>
      </c>
      <c r="F117" s="211">
        <v>853.35</v>
      </c>
      <c r="G117" s="183">
        <f t="shared" si="12"/>
        <v>62.977230000000006</v>
      </c>
      <c r="H117" s="211">
        <v>0</v>
      </c>
      <c r="I117" s="181">
        <f t="shared" si="13"/>
        <v>790.37277000000006</v>
      </c>
      <c r="J117" s="186" t="s">
        <v>19</v>
      </c>
      <c r="K117" s="211" t="s">
        <v>42</v>
      </c>
      <c r="L117" s="181">
        <f t="shared" si="11"/>
        <v>118.5559155</v>
      </c>
      <c r="M117" s="181">
        <f t="shared" si="7"/>
        <v>31.614910800000004</v>
      </c>
      <c r="N117" s="189">
        <f t="shared" si="8"/>
        <v>15.807455400000002</v>
      </c>
      <c r="O117" s="189">
        <f t="shared" si="9"/>
        <v>15.807455400000002</v>
      </c>
      <c r="P117" s="183">
        <f t="shared" si="10"/>
        <v>55.326093899999996</v>
      </c>
    </row>
    <row r="118" spans="1:16">
      <c r="A118" s="187">
        <v>116</v>
      </c>
      <c r="B118" s="92" t="s">
        <v>507</v>
      </c>
      <c r="C118" s="185" t="s">
        <v>22</v>
      </c>
      <c r="D118" s="116">
        <v>100311111826901</v>
      </c>
      <c r="E118" s="35">
        <v>6408771</v>
      </c>
      <c r="F118" s="211">
        <v>690.8</v>
      </c>
      <c r="G118" s="183">
        <f t="shared" si="12"/>
        <v>50.98104</v>
      </c>
      <c r="H118" s="211">
        <v>74.23</v>
      </c>
      <c r="I118" s="181">
        <f t="shared" si="13"/>
        <v>565.58895999999993</v>
      </c>
      <c r="J118" s="186" t="s">
        <v>23</v>
      </c>
      <c r="K118" s="211" t="s">
        <v>352</v>
      </c>
      <c r="L118" s="181">
        <f t="shared" si="11"/>
        <v>84.838343999999992</v>
      </c>
      <c r="M118" s="181">
        <f t="shared" si="7"/>
        <v>22.623558399999997</v>
      </c>
      <c r="N118" s="189">
        <f t="shared" si="8"/>
        <v>11.311779199999998</v>
      </c>
      <c r="O118" s="189">
        <f t="shared" si="9"/>
        <v>11.311779199999998</v>
      </c>
      <c r="P118" s="183">
        <f t="shared" si="10"/>
        <v>39.591227200000006</v>
      </c>
    </row>
    <row r="119" spans="1:16">
      <c r="A119" s="187">
        <v>117</v>
      </c>
      <c r="B119" s="92" t="s">
        <v>508</v>
      </c>
      <c r="C119" s="185" t="s">
        <v>413</v>
      </c>
      <c r="D119" s="116">
        <v>3789881</v>
      </c>
      <c r="E119" s="35">
        <v>6405411</v>
      </c>
      <c r="F119" s="211">
        <v>593.28</v>
      </c>
      <c r="G119" s="183">
        <f t="shared" si="12"/>
        <v>43.784064000000001</v>
      </c>
      <c r="H119" s="211">
        <v>49.44</v>
      </c>
      <c r="I119" s="181">
        <f t="shared" si="13"/>
        <v>500.05593600000003</v>
      </c>
      <c r="J119" s="186" t="s">
        <v>19</v>
      </c>
      <c r="K119" s="211" t="s">
        <v>117</v>
      </c>
      <c r="L119" s="181">
        <f t="shared" si="11"/>
        <v>75.008390399999996</v>
      </c>
      <c r="M119" s="181">
        <f t="shared" si="7"/>
        <v>20.002237440000002</v>
      </c>
      <c r="N119" s="189">
        <f t="shared" si="8"/>
        <v>10.001118720000001</v>
      </c>
      <c r="O119" s="189">
        <f t="shared" si="9"/>
        <v>10.001118720000001</v>
      </c>
      <c r="P119" s="183">
        <f t="shared" si="10"/>
        <v>35.003915519999993</v>
      </c>
    </row>
    <row r="120" spans="1:16">
      <c r="A120" s="187">
        <v>118</v>
      </c>
      <c r="B120" s="92" t="s">
        <v>509</v>
      </c>
      <c r="C120" s="185" t="s">
        <v>18</v>
      </c>
      <c r="D120" s="116">
        <v>100311111827190</v>
      </c>
      <c r="E120" s="35">
        <v>6372695</v>
      </c>
      <c r="F120" s="211">
        <v>909.62</v>
      </c>
      <c r="G120" s="183">
        <f t="shared" si="12"/>
        <v>67.129956000000007</v>
      </c>
      <c r="H120" s="211">
        <v>0</v>
      </c>
      <c r="I120" s="181">
        <f t="shared" si="13"/>
        <v>842.49004400000001</v>
      </c>
      <c r="J120" s="186" t="s">
        <v>23</v>
      </c>
      <c r="K120" s="211" t="s">
        <v>40</v>
      </c>
      <c r="L120" s="181">
        <f t="shared" si="11"/>
        <v>126.3735066</v>
      </c>
      <c r="M120" s="181">
        <f t="shared" si="7"/>
        <v>33.69960176</v>
      </c>
      <c r="N120" s="189">
        <f t="shared" si="8"/>
        <v>16.84980088</v>
      </c>
      <c r="O120" s="189">
        <f t="shared" si="9"/>
        <v>16.84980088</v>
      </c>
      <c r="P120" s="183">
        <f t="shared" si="10"/>
        <v>58.974303079999999</v>
      </c>
    </row>
    <row r="121" spans="1:16">
      <c r="A121" s="187">
        <v>119</v>
      </c>
      <c r="B121" s="92" t="s">
        <v>510</v>
      </c>
      <c r="C121" s="185" t="s">
        <v>318</v>
      </c>
      <c r="D121" s="116"/>
      <c r="E121" s="35">
        <v>6405479</v>
      </c>
      <c r="F121" s="211">
        <v>521.70000000000005</v>
      </c>
      <c r="G121" s="183">
        <f t="shared" si="12"/>
        <v>38.501460000000009</v>
      </c>
      <c r="H121" s="211">
        <v>68.09</v>
      </c>
      <c r="I121" s="181">
        <f t="shared" si="13"/>
        <v>415.10854000000006</v>
      </c>
      <c r="J121" s="186" t="s">
        <v>23</v>
      </c>
      <c r="K121" s="211" t="s">
        <v>27</v>
      </c>
      <c r="L121" s="183">
        <f t="shared" si="11"/>
        <v>62.266281000000006</v>
      </c>
      <c r="M121" s="181">
        <f t="shared" si="7"/>
        <v>16.604341600000001</v>
      </c>
      <c r="N121" s="189">
        <f t="shared" si="8"/>
        <v>8.3021708000000007</v>
      </c>
      <c r="O121" s="189">
        <f t="shared" si="9"/>
        <v>8.3021708000000007</v>
      </c>
      <c r="P121" s="183">
        <f t="shared" si="10"/>
        <v>29.057597800000011</v>
      </c>
    </row>
    <row r="122" spans="1:16">
      <c r="A122" s="187">
        <v>120</v>
      </c>
      <c r="B122" s="92" t="s">
        <v>511</v>
      </c>
      <c r="C122" s="185" t="s">
        <v>93</v>
      </c>
      <c r="D122" s="116">
        <v>100311111829842</v>
      </c>
      <c r="E122" s="138" t="s">
        <v>512</v>
      </c>
      <c r="F122" s="211">
        <v>475.84</v>
      </c>
      <c r="G122" s="183">
        <f t="shared" si="12"/>
        <v>35.116992000000003</v>
      </c>
      <c r="H122" s="211">
        <v>51.13</v>
      </c>
      <c r="I122" s="181">
        <f t="shared" si="13"/>
        <v>389.593008</v>
      </c>
      <c r="J122" s="186" t="s">
        <v>23</v>
      </c>
      <c r="K122" s="211" t="s">
        <v>27</v>
      </c>
      <c r="L122" s="183">
        <f t="shared" si="11"/>
        <v>58.438951199999998</v>
      </c>
      <c r="M122" s="181">
        <f t="shared" si="7"/>
        <v>15.583720319999999</v>
      </c>
      <c r="N122" s="189">
        <f t="shared" si="8"/>
        <v>7.7918601599999997</v>
      </c>
      <c r="O122" s="189">
        <f t="shared" si="9"/>
        <v>7.7918601599999997</v>
      </c>
      <c r="P122" s="183">
        <f t="shared" si="10"/>
        <v>27.271510560000003</v>
      </c>
    </row>
    <row r="123" spans="1:16">
      <c r="A123" s="187">
        <v>121</v>
      </c>
      <c r="B123" s="92" t="s">
        <v>513</v>
      </c>
      <c r="C123" s="185" t="s">
        <v>360</v>
      </c>
      <c r="D123" s="116"/>
      <c r="E123" s="35">
        <v>6410752</v>
      </c>
      <c r="F123" s="211">
        <v>413.72</v>
      </c>
      <c r="G123" s="183">
        <f t="shared" si="12"/>
        <v>30.532536000000004</v>
      </c>
      <c r="H123" s="211">
        <v>45.97</v>
      </c>
      <c r="I123" s="181">
        <f t="shared" si="13"/>
        <v>337.21746400000006</v>
      </c>
      <c r="J123" s="186" t="s">
        <v>19</v>
      </c>
      <c r="K123" s="211" t="s">
        <v>20</v>
      </c>
      <c r="L123" s="183">
        <f t="shared" si="11"/>
        <v>50.582619600000008</v>
      </c>
      <c r="M123" s="181">
        <f t="shared" si="7"/>
        <v>13.488698560000003</v>
      </c>
      <c r="N123" s="189">
        <f t="shared" si="8"/>
        <v>6.7443492800000016</v>
      </c>
      <c r="O123" s="189">
        <f t="shared" si="9"/>
        <v>6.7443492800000016</v>
      </c>
      <c r="P123" s="183">
        <f t="shared" si="10"/>
        <v>23.605222480000002</v>
      </c>
    </row>
    <row r="124" spans="1:16">
      <c r="A124" s="187">
        <v>122</v>
      </c>
      <c r="B124" s="92" t="s">
        <v>514</v>
      </c>
      <c r="C124" s="185" t="s">
        <v>18</v>
      </c>
      <c r="D124" s="116">
        <v>100311111830995</v>
      </c>
      <c r="E124" s="35">
        <v>6392857</v>
      </c>
      <c r="F124" s="211">
        <v>807.19</v>
      </c>
      <c r="G124" s="183">
        <f t="shared" si="12"/>
        <v>59.570622000000007</v>
      </c>
      <c r="H124" s="211">
        <v>0</v>
      </c>
      <c r="I124" s="181">
        <f t="shared" si="13"/>
        <v>747.6193780000001</v>
      </c>
      <c r="J124" s="186" t="s">
        <v>23</v>
      </c>
      <c r="K124" s="211" t="s">
        <v>24</v>
      </c>
      <c r="L124" s="183">
        <f t="shared" si="11"/>
        <v>112.14290670000001</v>
      </c>
      <c r="M124" s="181">
        <f t="shared" si="7"/>
        <v>29.904775120000004</v>
      </c>
      <c r="N124" s="189">
        <f t="shared" si="8"/>
        <v>14.952387560000002</v>
      </c>
      <c r="O124" s="189">
        <f t="shared" si="9"/>
        <v>14.952387560000002</v>
      </c>
      <c r="P124" s="183">
        <f t="shared" si="10"/>
        <v>52.333356460000005</v>
      </c>
    </row>
    <row r="125" spans="1:16">
      <c r="A125" s="187">
        <v>123</v>
      </c>
      <c r="B125" s="92" t="s">
        <v>515</v>
      </c>
      <c r="C125" s="185" t="s">
        <v>22</v>
      </c>
      <c r="D125" s="116">
        <v>100311111832854</v>
      </c>
      <c r="E125" s="35">
        <v>6412715</v>
      </c>
      <c r="F125" s="211">
        <v>588.66</v>
      </c>
      <c r="G125" s="183">
        <f t="shared" si="12"/>
        <v>43.443108000000002</v>
      </c>
      <c r="H125" s="211">
        <v>63.25</v>
      </c>
      <c r="I125" s="181">
        <f t="shared" si="13"/>
        <v>481.96689199999992</v>
      </c>
      <c r="J125" s="186" t="s">
        <v>23</v>
      </c>
      <c r="K125" s="211" t="s">
        <v>20</v>
      </c>
      <c r="L125" s="183">
        <f t="shared" si="11"/>
        <v>72.295033799999985</v>
      </c>
      <c r="M125" s="181">
        <f t="shared" si="7"/>
        <v>19.278675679999996</v>
      </c>
      <c r="N125" s="189">
        <f t="shared" si="8"/>
        <v>9.6393378399999978</v>
      </c>
      <c r="O125" s="189">
        <f t="shared" si="9"/>
        <v>9.6393378399999978</v>
      </c>
      <c r="P125" s="183">
        <f t="shared" si="10"/>
        <v>33.73768244</v>
      </c>
    </row>
    <row r="126" spans="1:16">
      <c r="A126" s="187">
        <v>124</v>
      </c>
      <c r="B126" s="92" t="s">
        <v>516</v>
      </c>
      <c r="C126" s="185" t="s">
        <v>18</v>
      </c>
      <c r="D126" s="116">
        <v>37907316</v>
      </c>
      <c r="E126" s="35">
        <v>6415400</v>
      </c>
      <c r="F126" s="211">
        <v>1133.9100000000001</v>
      </c>
      <c r="G126" s="183">
        <f t="shared" si="12"/>
        <v>83.682558000000014</v>
      </c>
      <c r="H126" s="211">
        <v>377.97</v>
      </c>
      <c r="I126" s="181">
        <f t="shared" si="13"/>
        <v>672.25744200000008</v>
      </c>
      <c r="J126" s="186" t="s">
        <v>23</v>
      </c>
      <c r="K126" s="211" t="s">
        <v>78</v>
      </c>
      <c r="L126" s="183">
        <f t="shared" si="11"/>
        <v>100.83861630000001</v>
      </c>
      <c r="M126" s="181">
        <f t="shared" si="7"/>
        <v>26.890297680000003</v>
      </c>
      <c r="N126" s="189">
        <f t="shared" si="8"/>
        <v>13.445148840000002</v>
      </c>
      <c r="O126" s="189">
        <f t="shared" si="9"/>
        <v>13.445148840000002</v>
      </c>
      <c r="P126" s="183">
        <f t="shared" si="10"/>
        <v>47.058020940000006</v>
      </c>
    </row>
    <row r="127" spans="1:16">
      <c r="A127" s="187">
        <v>125</v>
      </c>
      <c r="B127" s="92" t="s">
        <v>517</v>
      </c>
      <c r="C127" s="185" t="s">
        <v>360</v>
      </c>
      <c r="D127" s="116"/>
      <c r="E127" s="35">
        <v>6414889</v>
      </c>
      <c r="F127" s="211">
        <v>413.75</v>
      </c>
      <c r="G127" s="183">
        <f t="shared" si="12"/>
        <v>30.534750000000003</v>
      </c>
      <c r="H127" s="211">
        <v>56.87</v>
      </c>
      <c r="I127" s="181">
        <f t="shared" si="13"/>
        <v>326.34524999999996</v>
      </c>
      <c r="J127" s="186" t="s">
        <v>23</v>
      </c>
      <c r="K127" s="211" t="s">
        <v>20</v>
      </c>
      <c r="L127" s="183">
        <f t="shared" si="11"/>
        <v>48.951787499999995</v>
      </c>
      <c r="M127" s="181">
        <f t="shared" si="7"/>
        <v>13.053809999999999</v>
      </c>
      <c r="N127" s="189">
        <f t="shared" si="8"/>
        <v>6.5269049999999993</v>
      </c>
      <c r="O127" s="189">
        <f t="shared" si="9"/>
        <v>6.5269049999999993</v>
      </c>
      <c r="P127" s="183">
        <f t="shared" si="10"/>
        <v>22.844167499999998</v>
      </c>
    </row>
    <row r="128" spans="1:16">
      <c r="A128" s="187">
        <v>126</v>
      </c>
      <c r="B128" s="92" t="s">
        <v>518</v>
      </c>
      <c r="C128" s="185" t="s">
        <v>29</v>
      </c>
      <c r="D128" s="116">
        <v>3009283</v>
      </c>
      <c r="E128" s="35">
        <v>6409769</v>
      </c>
      <c r="F128" s="211">
        <v>1391.58</v>
      </c>
      <c r="G128" s="183">
        <f t="shared" si="12"/>
        <v>102.698604</v>
      </c>
      <c r="H128" s="211">
        <v>115.97</v>
      </c>
      <c r="I128" s="181">
        <f t="shared" si="13"/>
        <v>1172.911396</v>
      </c>
      <c r="J128" s="186" t="s">
        <v>19</v>
      </c>
      <c r="K128" s="211" t="s">
        <v>405</v>
      </c>
      <c r="L128" s="183">
        <f t="shared" si="11"/>
        <v>175.93670939999998</v>
      </c>
      <c r="M128" s="181">
        <f t="shared" si="7"/>
        <v>46.916455839999998</v>
      </c>
      <c r="N128" s="189">
        <f t="shared" si="8"/>
        <v>23.458227919999999</v>
      </c>
      <c r="O128" s="189">
        <f t="shared" si="9"/>
        <v>23.458227919999999</v>
      </c>
      <c r="P128" s="183">
        <f t="shared" si="10"/>
        <v>82.103797719999989</v>
      </c>
    </row>
    <row r="129" spans="1:16">
      <c r="A129" s="187">
        <v>127</v>
      </c>
      <c r="B129" s="92" t="s">
        <v>519</v>
      </c>
      <c r="C129" s="185" t="s">
        <v>29</v>
      </c>
      <c r="D129" s="116">
        <v>3009380</v>
      </c>
      <c r="E129" s="35">
        <v>6413769</v>
      </c>
      <c r="F129" s="211">
        <v>520.84</v>
      </c>
      <c r="G129" s="183">
        <f t="shared" si="12"/>
        <v>38.437992000000001</v>
      </c>
      <c r="H129" s="211">
        <v>48.23</v>
      </c>
      <c r="I129" s="181">
        <f t="shared" si="13"/>
        <v>434.17200800000001</v>
      </c>
      <c r="J129" s="186" t="s">
        <v>19</v>
      </c>
      <c r="K129" s="211" t="s">
        <v>125</v>
      </c>
      <c r="L129" s="183">
        <f t="shared" si="11"/>
        <v>65.125801199999998</v>
      </c>
      <c r="M129" s="181">
        <f t="shared" si="7"/>
        <v>17.36688032</v>
      </c>
      <c r="N129" s="189">
        <f t="shared" si="8"/>
        <v>8.68344016</v>
      </c>
      <c r="O129" s="189">
        <f t="shared" si="9"/>
        <v>8.68344016</v>
      </c>
      <c r="P129" s="183">
        <f t="shared" si="10"/>
        <v>30.392040560000002</v>
      </c>
    </row>
    <row r="130" spans="1:16">
      <c r="A130" s="187">
        <v>128</v>
      </c>
      <c r="B130" s="92" t="s">
        <v>520</v>
      </c>
      <c r="C130" s="185" t="s">
        <v>360</v>
      </c>
      <c r="D130" s="116">
        <v>100311111839131</v>
      </c>
      <c r="E130" s="35">
        <v>6415748</v>
      </c>
      <c r="F130" s="211">
        <v>544.16999999999996</v>
      </c>
      <c r="G130" s="183">
        <f t="shared" si="12"/>
        <v>40.159745999999998</v>
      </c>
      <c r="H130" s="211">
        <v>58.47</v>
      </c>
      <c r="I130" s="181">
        <f t="shared" si="13"/>
        <v>445.540254</v>
      </c>
      <c r="J130" s="186" t="s">
        <v>23</v>
      </c>
      <c r="K130" s="211" t="s">
        <v>125</v>
      </c>
      <c r="L130" s="183">
        <f t="shared" si="11"/>
        <v>66.831038100000001</v>
      </c>
      <c r="M130" s="181">
        <f t="shared" si="7"/>
        <v>17.821610160000002</v>
      </c>
      <c r="N130" s="189">
        <f t="shared" si="8"/>
        <v>8.9108050800000012</v>
      </c>
      <c r="O130" s="189">
        <f t="shared" si="9"/>
        <v>8.9108050800000012</v>
      </c>
      <c r="P130" s="183">
        <f t="shared" si="10"/>
        <v>31.187817779999989</v>
      </c>
    </row>
    <row r="131" spans="1:16">
      <c r="A131" s="187">
        <v>129</v>
      </c>
      <c r="B131" s="92" t="s">
        <v>521</v>
      </c>
      <c r="C131" s="185" t="s">
        <v>318</v>
      </c>
      <c r="D131" s="116"/>
      <c r="E131" s="35">
        <v>6419664</v>
      </c>
      <c r="F131" s="211">
        <v>491.73</v>
      </c>
      <c r="G131" s="183">
        <f t="shared" si="12"/>
        <v>36.289674000000005</v>
      </c>
      <c r="H131" s="211">
        <v>163.91</v>
      </c>
      <c r="I131" s="181">
        <f t="shared" si="13"/>
        <v>291.53032600000006</v>
      </c>
      <c r="J131" s="186" t="s">
        <v>19</v>
      </c>
      <c r="K131" s="211" t="s">
        <v>51</v>
      </c>
      <c r="L131" s="183">
        <f t="shared" si="11"/>
        <v>43.729548900000005</v>
      </c>
      <c r="M131" s="181">
        <f t="shared" si="7"/>
        <v>11.661213040000003</v>
      </c>
      <c r="N131" s="189">
        <f t="shared" si="8"/>
        <v>5.8306065200000017</v>
      </c>
      <c r="O131" s="189">
        <f t="shared" si="9"/>
        <v>5.8306065200000017</v>
      </c>
      <c r="P131" s="183">
        <f t="shared" si="10"/>
        <v>20.407122819999998</v>
      </c>
    </row>
    <row r="132" spans="1:16">
      <c r="A132" s="187">
        <v>130</v>
      </c>
      <c r="B132" s="92" t="s">
        <v>522</v>
      </c>
      <c r="C132" s="185" t="s">
        <v>360</v>
      </c>
      <c r="D132" s="116">
        <v>100311111844279</v>
      </c>
      <c r="E132" s="35">
        <v>6384406</v>
      </c>
      <c r="F132" s="211">
        <v>508.76</v>
      </c>
      <c r="G132" s="183">
        <f t="shared" si="12"/>
        <v>37.546488000000004</v>
      </c>
      <c r="H132" s="211">
        <v>137.38</v>
      </c>
      <c r="I132" s="181">
        <f t="shared" si="13"/>
        <v>333.83351199999998</v>
      </c>
      <c r="J132" s="186" t="s">
        <v>23</v>
      </c>
      <c r="K132" s="211" t="s">
        <v>42</v>
      </c>
      <c r="L132" s="183">
        <f t="shared" si="11"/>
        <v>50.075026799999996</v>
      </c>
      <c r="M132" s="181">
        <f t="shared" si="7"/>
        <v>13.35334048</v>
      </c>
      <c r="N132" s="189">
        <f t="shared" si="8"/>
        <v>6.67667024</v>
      </c>
      <c r="O132" s="189">
        <f t="shared" si="9"/>
        <v>6.67667024</v>
      </c>
      <c r="P132" s="183">
        <f t="shared" si="10"/>
        <v>23.368345839999996</v>
      </c>
    </row>
    <row r="133" spans="1:16">
      <c r="A133" s="187">
        <v>131</v>
      </c>
      <c r="B133" s="92" t="s">
        <v>523</v>
      </c>
      <c r="C133" s="185" t="s">
        <v>22</v>
      </c>
      <c r="D133" s="116">
        <v>100311111843905</v>
      </c>
      <c r="E133" s="35">
        <v>6398162</v>
      </c>
      <c r="F133" s="211">
        <v>804.73</v>
      </c>
      <c r="G133" s="183">
        <f t="shared" si="12"/>
        <v>59.389074000000008</v>
      </c>
      <c r="H133" s="211">
        <v>0</v>
      </c>
      <c r="I133" s="181">
        <f t="shared" si="13"/>
        <v>745.34092599999997</v>
      </c>
      <c r="J133" s="186" t="s">
        <v>23</v>
      </c>
      <c r="K133" s="211" t="s">
        <v>148</v>
      </c>
      <c r="L133" s="183">
        <f t="shared" si="11"/>
        <v>111.8011389</v>
      </c>
      <c r="M133" s="181">
        <f t="shared" si="7"/>
        <v>29.81363704</v>
      </c>
      <c r="N133" s="189">
        <f t="shared" si="8"/>
        <v>14.90681852</v>
      </c>
      <c r="O133" s="189">
        <f t="shared" si="9"/>
        <v>14.90681852</v>
      </c>
      <c r="P133" s="183">
        <f t="shared" si="10"/>
        <v>52.173864819999991</v>
      </c>
    </row>
    <row r="134" spans="1:16">
      <c r="A134" s="187">
        <v>132</v>
      </c>
      <c r="B134" s="92" t="s">
        <v>524</v>
      </c>
      <c r="C134" s="185" t="s">
        <v>22</v>
      </c>
      <c r="D134" s="116"/>
      <c r="E134" s="35">
        <v>6418203</v>
      </c>
      <c r="F134" s="211">
        <v>744.22</v>
      </c>
      <c r="G134" s="183">
        <f t="shared" si="12"/>
        <v>54.923436000000002</v>
      </c>
      <c r="H134" s="211">
        <v>248.07</v>
      </c>
      <c r="I134" s="181">
        <f t="shared" si="13"/>
        <v>441.226564</v>
      </c>
      <c r="J134" s="186" t="s">
        <v>23</v>
      </c>
      <c r="K134" s="211" t="s">
        <v>20</v>
      </c>
      <c r="L134" s="183">
        <f t="shared" si="11"/>
        <v>66.183984600000002</v>
      </c>
      <c r="M134" s="181">
        <f t="shared" si="7"/>
        <v>17.649062560000001</v>
      </c>
      <c r="N134" s="189">
        <f t="shared" si="8"/>
        <v>8.8245312800000004</v>
      </c>
      <c r="O134" s="189">
        <f t="shared" si="9"/>
        <v>8.8245312800000004</v>
      </c>
      <c r="P134" s="183">
        <f t="shared" si="10"/>
        <v>30.885859479999993</v>
      </c>
    </row>
    <row r="135" spans="1:16">
      <c r="A135" s="187">
        <v>133</v>
      </c>
      <c r="B135" s="92" t="s">
        <v>525</v>
      </c>
      <c r="C135" s="185" t="s">
        <v>36</v>
      </c>
      <c r="D135" s="116">
        <v>37910189</v>
      </c>
      <c r="E135" s="35">
        <v>6417945</v>
      </c>
      <c r="F135" s="211">
        <v>857.26</v>
      </c>
      <c r="G135" s="183">
        <f t="shared" si="12"/>
        <v>63.265788000000001</v>
      </c>
      <c r="H135" s="211">
        <v>71.38</v>
      </c>
      <c r="I135" s="181">
        <f t="shared" si="13"/>
        <v>722.61421199999995</v>
      </c>
      <c r="J135" s="186" t="s">
        <v>19</v>
      </c>
      <c r="K135" s="211" t="s">
        <v>352</v>
      </c>
      <c r="L135" s="183">
        <f t="shared" si="11"/>
        <v>108.39213179999999</v>
      </c>
      <c r="M135" s="181">
        <f t="shared" si="7"/>
        <v>28.904568479999998</v>
      </c>
      <c r="N135" s="189">
        <f t="shared" si="8"/>
        <v>14.452284239999999</v>
      </c>
      <c r="O135" s="189">
        <f t="shared" si="9"/>
        <v>14.452284239999999</v>
      </c>
      <c r="P135" s="183">
        <f t="shared" si="10"/>
        <v>50.582994839999998</v>
      </c>
    </row>
    <row r="136" spans="1:16">
      <c r="A136" s="187">
        <v>134</v>
      </c>
      <c r="B136" s="92" t="s">
        <v>526</v>
      </c>
      <c r="C136" s="185" t="s">
        <v>300</v>
      </c>
      <c r="D136" s="116"/>
      <c r="E136" s="35">
        <v>6417650</v>
      </c>
      <c r="F136" s="211">
        <v>537.57000000000005</v>
      </c>
      <c r="G136" s="183">
        <f t="shared" si="12"/>
        <v>39.672666000000007</v>
      </c>
      <c r="H136" s="211">
        <v>57.76</v>
      </c>
      <c r="I136" s="181">
        <f t="shared" si="13"/>
        <v>440.13733400000007</v>
      </c>
      <c r="J136" s="186" t="s">
        <v>23</v>
      </c>
      <c r="K136" s="211" t="s">
        <v>27</v>
      </c>
      <c r="L136" s="183">
        <f t="shared" si="11"/>
        <v>66.02060010000001</v>
      </c>
      <c r="M136" s="181">
        <f t="shared" si="7"/>
        <v>17.605493360000004</v>
      </c>
      <c r="N136" s="189">
        <f t="shared" si="8"/>
        <v>8.802746680000002</v>
      </c>
      <c r="O136" s="189">
        <f t="shared" si="9"/>
        <v>8.802746680000002</v>
      </c>
      <c r="P136" s="183">
        <f t="shared" si="10"/>
        <v>30.809613379999998</v>
      </c>
    </row>
    <row r="137" spans="1:16">
      <c r="A137" s="187">
        <v>135</v>
      </c>
      <c r="B137" s="92" t="s">
        <v>527</v>
      </c>
      <c r="C137" s="185" t="s">
        <v>275</v>
      </c>
      <c r="D137" s="116"/>
      <c r="E137" s="35">
        <v>6417148</v>
      </c>
      <c r="F137" s="211">
        <v>686.74</v>
      </c>
      <c r="G137" s="183">
        <f t="shared" si="12"/>
        <v>50.681412000000002</v>
      </c>
      <c r="H137" s="211">
        <v>73.790000000000006</v>
      </c>
      <c r="I137" s="181">
        <f t="shared" si="13"/>
        <v>562.26858800000002</v>
      </c>
      <c r="J137" s="186" t="s">
        <v>23</v>
      </c>
      <c r="K137" s="211" t="s">
        <v>20</v>
      </c>
      <c r="L137" s="183">
        <f t="shared" si="11"/>
        <v>84.340288200000003</v>
      </c>
      <c r="M137" s="181">
        <f t="shared" si="7"/>
        <v>22.490743520000002</v>
      </c>
      <c r="N137" s="189">
        <f t="shared" si="8"/>
        <v>11.245371760000001</v>
      </c>
      <c r="O137" s="189">
        <f t="shared" si="9"/>
        <v>11.245371760000001</v>
      </c>
      <c r="P137" s="183">
        <f t="shared" si="10"/>
        <v>39.358801159999999</v>
      </c>
    </row>
    <row r="138" spans="1:16">
      <c r="A138" s="187">
        <v>136</v>
      </c>
      <c r="B138" s="92" t="s">
        <v>528</v>
      </c>
      <c r="C138" s="185" t="s">
        <v>300</v>
      </c>
      <c r="D138" s="116">
        <v>3014031</v>
      </c>
      <c r="E138" s="35">
        <v>6422647</v>
      </c>
      <c r="F138" s="211">
        <v>1151.43</v>
      </c>
      <c r="G138" s="183">
        <f t="shared" si="12"/>
        <v>84.97553400000001</v>
      </c>
      <c r="H138" s="211">
        <v>106.62</v>
      </c>
      <c r="I138" s="181">
        <f t="shared" si="13"/>
        <v>959.83446600000013</v>
      </c>
      <c r="J138" s="186" t="s">
        <v>19</v>
      </c>
      <c r="K138" s="211" t="s">
        <v>27</v>
      </c>
      <c r="L138" s="183">
        <f t="shared" si="11"/>
        <v>143.97516990000003</v>
      </c>
      <c r="M138" s="181">
        <f t="shared" si="7"/>
        <v>38.393378640000009</v>
      </c>
      <c r="N138" s="189">
        <f t="shared" si="8"/>
        <v>19.196689320000004</v>
      </c>
      <c r="O138" s="189">
        <f t="shared" si="9"/>
        <v>19.196689320000004</v>
      </c>
      <c r="P138" s="183">
        <f t="shared" si="10"/>
        <v>67.188412620000008</v>
      </c>
    </row>
    <row r="139" spans="1:16">
      <c r="A139" s="187">
        <v>137</v>
      </c>
      <c r="B139" s="92" t="s">
        <v>529</v>
      </c>
      <c r="C139" s="185" t="s">
        <v>360</v>
      </c>
      <c r="D139" s="116">
        <v>37916317</v>
      </c>
      <c r="E139" s="35">
        <v>6421555</v>
      </c>
      <c r="F139" s="211">
        <v>455.19</v>
      </c>
      <c r="G139" s="183">
        <f t="shared" si="12"/>
        <v>33.593022000000005</v>
      </c>
      <c r="H139" s="211">
        <v>37.880000000000003</v>
      </c>
      <c r="I139" s="181">
        <f t="shared" si="13"/>
        <v>383.71697799999998</v>
      </c>
      <c r="J139" s="186" t="s">
        <v>19</v>
      </c>
      <c r="K139" s="211" t="s">
        <v>42</v>
      </c>
      <c r="L139" s="183">
        <f t="shared" si="11"/>
        <v>57.557546699999996</v>
      </c>
      <c r="M139" s="181">
        <f t="shared" si="7"/>
        <v>15.34867912</v>
      </c>
      <c r="N139" s="189">
        <f t="shared" si="8"/>
        <v>7.6743395599999999</v>
      </c>
      <c r="O139" s="189">
        <f t="shared" si="9"/>
        <v>7.6743395599999999</v>
      </c>
      <c r="P139" s="183">
        <f t="shared" si="10"/>
        <v>26.860188459999996</v>
      </c>
    </row>
    <row r="140" spans="1:16">
      <c r="A140" s="187">
        <v>138</v>
      </c>
      <c r="B140" s="92" t="s">
        <v>530</v>
      </c>
      <c r="C140" s="185" t="s">
        <v>29</v>
      </c>
      <c r="D140" s="116">
        <v>37916198</v>
      </c>
      <c r="E140" s="35">
        <v>6417464</v>
      </c>
      <c r="F140" s="211">
        <v>889.49</v>
      </c>
      <c r="G140" s="183">
        <f t="shared" si="12"/>
        <v>65.644362000000001</v>
      </c>
      <c r="H140" s="211">
        <v>74.069999999999993</v>
      </c>
      <c r="I140" s="181">
        <f t="shared" si="13"/>
        <v>749.77563800000007</v>
      </c>
      <c r="J140" s="186" t="s">
        <v>19</v>
      </c>
      <c r="K140" s="211" t="s">
        <v>27</v>
      </c>
      <c r="L140" s="183">
        <f t="shared" si="11"/>
        <v>112.46634570000001</v>
      </c>
      <c r="M140" s="181">
        <f t="shared" si="7"/>
        <v>29.991025520000004</v>
      </c>
      <c r="N140" s="189">
        <f t="shared" si="8"/>
        <v>14.995512760000002</v>
      </c>
      <c r="O140" s="189">
        <f t="shared" si="9"/>
        <v>14.995512760000002</v>
      </c>
      <c r="P140" s="183">
        <f t="shared" si="10"/>
        <v>52.484294659999996</v>
      </c>
    </row>
    <row r="141" spans="1:16">
      <c r="A141" s="187">
        <v>139</v>
      </c>
      <c r="B141" s="92" t="s">
        <v>531</v>
      </c>
      <c r="C141" s="185" t="s">
        <v>318</v>
      </c>
      <c r="D141" s="116">
        <v>3016697</v>
      </c>
      <c r="E141" s="35">
        <v>6421855</v>
      </c>
      <c r="F141" s="211">
        <v>818.99</v>
      </c>
      <c r="G141" s="183">
        <f t="shared" si="12"/>
        <v>60.441462000000001</v>
      </c>
      <c r="H141" s="211">
        <v>101.31</v>
      </c>
      <c r="I141" s="181">
        <f t="shared" si="13"/>
        <v>657.23853800000006</v>
      </c>
      <c r="J141" s="186" t="s">
        <v>23</v>
      </c>
      <c r="K141" s="211" t="s">
        <v>20</v>
      </c>
      <c r="L141" s="183">
        <f t="shared" si="11"/>
        <v>98.585780700000001</v>
      </c>
      <c r="M141" s="181">
        <f t="shared" si="7"/>
        <v>26.289541520000004</v>
      </c>
      <c r="N141" s="189">
        <f t="shared" si="8"/>
        <v>13.144770760000002</v>
      </c>
      <c r="O141" s="189">
        <f t="shared" si="9"/>
        <v>13.144770760000002</v>
      </c>
      <c r="P141" s="183">
        <f t="shared" si="10"/>
        <v>46.00669766</v>
      </c>
    </row>
    <row r="142" spans="1:16">
      <c r="A142" s="187">
        <v>140</v>
      </c>
      <c r="B142" s="92" t="s">
        <v>532</v>
      </c>
      <c r="C142" s="185" t="s">
        <v>93</v>
      </c>
      <c r="D142" s="116">
        <v>100311111846670</v>
      </c>
      <c r="E142" s="35">
        <v>6378099</v>
      </c>
      <c r="F142" s="211">
        <v>625.34</v>
      </c>
      <c r="G142" s="183">
        <f t="shared" si="12"/>
        <v>46.150092000000008</v>
      </c>
      <c r="H142" s="211">
        <v>69.260000000000005</v>
      </c>
      <c r="I142" s="181">
        <f t="shared" si="13"/>
        <v>509.92990800000007</v>
      </c>
      <c r="J142" s="186" t="s">
        <v>23</v>
      </c>
      <c r="K142" s="211" t="s">
        <v>42</v>
      </c>
      <c r="L142" s="183">
        <f t="shared" si="11"/>
        <v>76.489486200000002</v>
      </c>
      <c r="M142" s="181">
        <f t="shared" si="7"/>
        <v>20.397196320000003</v>
      </c>
      <c r="N142" s="189">
        <f t="shared" si="8"/>
        <v>10.198598160000001</v>
      </c>
      <c r="O142" s="189">
        <f t="shared" si="9"/>
        <v>10.198598160000001</v>
      </c>
      <c r="P142" s="183">
        <f t="shared" si="10"/>
        <v>35.695093559999989</v>
      </c>
    </row>
    <row r="143" spans="1:16">
      <c r="A143" s="187">
        <v>141</v>
      </c>
      <c r="B143" s="92" t="s">
        <v>533</v>
      </c>
      <c r="C143" s="185" t="s">
        <v>360</v>
      </c>
      <c r="D143" s="116">
        <v>100311111846036</v>
      </c>
      <c r="E143" s="35">
        <v>6415975</v>
      </c>
      <c r="F143" s="211">
        <v>551.65</v>
      </c>
      <c r="G143" s="183">
        <f t="shared" si="12"/>
        <v>40.711770000000001</v>
      </c>
      <c r="H143" s="211">
        <v>68.040000000000006</v>
      </c>
      <c r="I143" s="181">
        <f t="shared" si="13"/>
        <v>442.89822999999996</v>
      </c>
      <c r="J143" s="186" t="s">
        <v>23</v>
      </c>
      <c r="K143" s="211" t="s">
        <v>37</v>
      </c>
      <c r="L143" s="183">
        <f t="shared" si="11"/>
        <v>66.43473449999999</v>
      </c>
      <c r="M143" s="181">
        <f t="shared" si="7"/>
        <v>17.715929199999998</v>
      </c>
      <c r="N143" s="189">
        <f t="shared" si="8"/>
        <v>8.857964599999999</v>
      </c>
      <c r="O143" s="189">
        <f t="shared" si="9"/>
        <v>8.857964599999999</v>
      </c>
      <c r="P143" s="183">
        <f t="shared" si="10"/>
        <v>31.002876099999998</v>
      </c>
    </row>
    <row r="144" spans="1:16">
      <c r="A144" s="187">
        <v>142</v>
      </c>
      <c r="B144" s="92" t="s">
        <v>534</v>
      </c>
      <c r="C144" s="185" t="s">
        <v>22</v>
      </c>
      <c r="D144" s="116">
        <v>100311111845960</v>
      </c>
      <c r="E144" s="35">
        <v>6416027</v>
      </c>
      <c r="F144" s="211">
        <v>726.01</v>
      </c>
      <c r="G144" s="183">
        <f t="shared" si="12"/>
        <v>53.579537999999999</v>
      </c>
      <c r="H144" s="211">
        <v>0</v>
      </c>
      <c r="I144" s="181">
        <f t="shared" si="13"/>
        <v>672.43046200000003</v>
      </c>
      <c r="J144" s="186" t="s">
        <v>23</v>
      </c>
      <c r="K144" s="211" t="s">
        <v>42</v>
      </c>
      <c r="L144" s="183">
        <f t="shared" si="11"/>
        <v>100.8645693</v>
      </c>
      <c r="M144" s="181">
        <f t="shared" si="7"/>
        <v>26.897218480000003</v>
      </c>
      <c r="N144" s="189">
        <f t="shared" si="8"/>
        <v>13.448609240000001</v>
      </c>
      <c r="O144" s="189">
        <f t="shared" si="9"/>
        <v>13.448609240000001</v>
      </c>
      <c r="P144" s="183">
        <f t="shared" si="10"/>
        <v>47.070132339999986</v>
      </c>
    </row>
    <row r="145" spans="1:16">
      <c r="A145" s="187">
        <v>143</v>
      </c>
      <c r="B145" s="92" t="s">
        <v>535</v>
      </c>
      <c r="C145" s="185" t="s">
        <v>364</v>
      </c>
      <c r="D145" s="116">
        <v>10031111846370</v>
      </c>
      <c r="E145" s="35">
        <v>6419352</v>
      </c>
      <c r="F145" s="211">
        <v>516.79999999999995</v>
      </c>
      <c r="G145" s="183">
        <f t="shared" si="12"/>
        <v>38.13984</v>
      </c>
      <c r="H145" s="211">
        <v>63.74</v>
      </c>
      <c r="I145" s="181">
        <f t="shared" si="13"/>
        <v>414.92015999999995</v>
      </c>
      <c r="J145" s="186" t="s">
        <v>19</v>
      </c>
      <c r="K145" s="211" t="s">
        <v>31</v>
      </c>
      <c r="L145" s="183">
        <f t="shared" si="11"/>
        <v>62.238023999999989</v>
      </c>
      <c r="M145" s="181">
        <f t="shared" si="7"/>
        <v>16.596806399999998</v>
      </c>
      <c r="N145" s="189">
        <f t="shared" si="8"/>
        <v>8.2984031999999992</v>
      </c>
      <c r="O145" s="189">
        <f t="shared" si="9"/>
        <v>8.2984031999999992</v>
      </c>
      <c r="P145" s="183">
        <f t="shared" si="10"/>
        <v>29.044411199999995</v>
      </c>
    </row>
    <row r="146" spans="1:16">
      <c r="A146" s="187">
        <v>144</v>
      </c>
      <c r="B146" s="92" t="s">
        <v>536</v>
      </c>
      <c r="C146" s="185" t="s">
        <v>360</v>
      </c>
      <c r="D146" s="209">
        <v>100311111845641</v>
      </c>
      <c r="E146" s="35">
        <v>6398349</v>
      </c>
      <c r="F146" s="211">
        <v>514.91999999999996</v>
      </c>
      <c r="G146" s="183">
        <f t="shared" si="12"/>
        <v>38.001095999999997</v>
      </c>
      <c r="H146" s="211">
        <v>139.02000000000001</v>
      </c>
      <c r="I146" s="181">
        <f t="shared" si="13"/>
        <v>337.8989039999999</v>
      </c>
      <c r="J146" s="186" t="s">
        <v>23</v>
      </c>
      <c r="K146" s="211" t="s">
        <v>31</v>
      </c>
      <c r="L146" s="183">
        <f t="shared" si="11"/>
        <v>50.684835599999985</v>
      </c>
      <c r="M146" s="181">
        <f t="shared" si="7"/>
        <v>13.515956159999996</v>
      </c>
      <c r="N146" s="189">
        <f t="shared" si="8"/>
        <v>6.7579780799999982</v>
      </c>
      <c r="O146" s="189">
        <f t="shared" si="9"/>
        <v>6.7579780799999982</v>
      </c>
      <c r="P146" s="183">
        <f t="shared" si="10"/>
        <v>23.652923279999996</v>
      </c>
    </row>
    <row r="147" spans="1:16">
      <c r="A147" s="187">
        <v>145</v>
      </c>
      <c r="B147" s="92" t="s">
        <v>537</v>
      </c>
      <c r="C147" s="185" t="s">
        <v>360</v>
      </c>
      <c r="D147" s="112">
        <v>100311111845454</v>
      </c>
      <c r="E147" s="35">
        <v>6384447</v>
      </c>
      <c r="F147" s="211">
        <v>532.15</v>
      </c>
      <c r="G147" s="183">
        <f t="shared" si="12"/>
        <v>39.272669999999998</v>
      </c>
      <c r="H147" s="211">
        <v>67.069999999999993</v>
      </c>
      <c r="I147" s="181">
        <f t="shared" si="13"/>
        <v>425.80732999999998</v>
      </c>
      <c r="J147" s="186" t="s">
        <v>23</v>
      </c>
      <c r="K147" s="211" t="s">
        <v>367</v>
      </c>
      <c r="L147" s="183">
        <f t="shared" si="11"/>
        <v>63.871099499999993</v>
      </c>
      <c r="M147" s="181">
        <f t="shared" si="7"/>
        <v>17.032293199999998</v>
      </c>
      <c r="N147" s="189">
        <f t="shared" si="8"/>
        <v>8.516146599999999</v>
      </c>
      <c r="O147" s="189">
        <f t="shared" si="9"/>
        <v>8.516146599999999</v>
      </c>
      <c r="P147" s="183">
        <f t="shared" si="10"/>
        <v>29.806513099999997</v>
      </c>
    </row>
    <row r="148" spans="1:16">
      <c r="A148" s="187">
        <v>146</v>
      </c>
      <c r="B148" s="92" t="s">
        <v>538</v>
      </c>
      <c r="C148" s="185" t="s">
        <v>364</v>
      </c>
      <c r="D148" s="116">
        <v>100311111845519</v>
      </c>
      <c r="E148" s="35">
        <v>6398113</v>
      </c>
      <c r="F148" s="211">
        <v>542.12</v>
      </c>
      <c r="G148" s="183">
        <f t="shared" si="12"/>
        <v>40.008456000000002</v>
      </c>
      <c r="H148" s="211">
        <v>146.24</v>
      </c>
      <c r="I148" s="181">
        <f t="shared" si="13"/>
        <v>355.87154399999997</v>
      </c>
      <c r="J148" s="186" t="s">
        <v>23</v>
      </c>
      <c r="K148" s="211" t="s">
        <v>27</v>
      </c>
      <c r="L148" s="183">
        <f t="shared" si="11"/>
        <v>53.380731599999997</v>
      </c>
      <c r="M148" s="181">
        <f t="shared" si="7"/>
        <v>14.234861759999999</v>
      </c>
      <c r="N148" s="189">
        <f t="shared" si="8"/>
        <v>7.1174308799999997</v>
      </c>
      <c r="O148" s="189">
        <f t="shared" si="9"/>
        <v>7.1174308799999997</v>
      </c>
      <c r="P148" s="183">
        <f t="shared" si="10"/>
        <v>24.911008079999995</v>
      </c>
    </row>
    <row r="149" spans="1:16">
      <c r="A149" s="187">
        <v>147</v>
      </c>
      <c r="B149" s="92" t="s">
        <v>539</v>
      </c>
      <c r="C149" s="185" t="s">
        <v>29</v>
      </c>
      <c r="D149" s="116">
        <v>1003111118567</v>
      </c>
      <c r="E149" s="35">
        <v>6417240</v>
      </c>
      <c r="F149" s="211">
        <v>728.99</v>
      </c>
      <c r="G149" s="183">
        <f t="shared" si="12"/>
        <v>53.799462000000005</v>
      </c>
      <c r="H149" s="211">
        <v>0</v>
      </c>
      <c r="I149" s="181">
        <f t="shared" si="13"/>
        <v>675.19053800000006</v>
      </c>
      <c r="J149" s="186" t="s">
        <v>19</v>
      </c>
      <c r="K149" s="211" t="s">
        <v>540</v>
      </c>
      <c r="L149" s="183">
        <f t="shared" si="11"/>
        <v>101.27858070000001</v>
      </c>
      <c r="M149" s="181">
        <f t="shared" si="7"/>
        <v>27.007621520000004</v>
      </c>
      <c r="N149" s="189">
        <f t="shared" si="8"/>
        <v>13.503810760000002</v>
      </c>
      <c r="O149" s="189">
        <f t="shared" si="9"/>
        <v>13.503810760000002</v>
      </c>
      <c r="P149" s="183">
        <f t="shared" si="10"/>
        <v>47.263337660000005</v>
      </c>
    </row>
    <row r="150" spans="1:16">
      <c r="A150" s="187">
        <v>148</v>
      </c>
      <c r="B150" s="92" t="s">
        <v>541</v>
      </c>
      <c r="C150" s="185" t="s">
        <v>456</v>
      </c>
      <c r="D150" s="116">
        <v>100311111856743</v>
      </c>
      <c r="E150" s="35">
        <v>6421820</v>
      </c>
      <c r="F150" s="211">
        <v>1610.9</v>
      </c>
      <c r="G150" s="183">
        <f t="shared" si="12"/>
        <v>118.88442000000002</v>
      </c>
      <c r="H150" s="211">
        <v>173.1</v>
      </c>
      <c r="I150" s="181">
        <f t="shared" si="13"/>
        <v>1318.9155800000001</v>
      </c>
      <c r="J150" s="186" t="s">
        <v>23</v>
      </c>
      <c r="K150" s="211" t="s">
        <v>31</v>
      </c>
      <c r="L150" s="183">
        <f t="shared" si="11"/>
        <v>197.83733700000002</v>
      </c>
      <c r="M150" s="181">
        <f t="shared" si="7"/>
        <v>52.756623200000007</v>
      </c>
      <c r="N150" s="189">
        <f t="shared" si="8"/>
        <v>26.378311600000004</v>
      </c>
      <c r="O150" s="189">
        <f t="shared" si="9"/>
        <v>26.378311600000004</v>
      </c>
      <c r="P150" s="183">
        <f t="shared" si="10"/>
        <v>92.324090600000005</v>
      </c>
    </row>
    <row r="151" spans="1:16">
      <c r="A151" s="187">
        <v>149</v>
      </c>
      <c r="B151" s="92" t="s">
        <v>542</v>
      </c>
      <c r="C151" s="185" t="s">
        <v>18</v>
      </c>
      <c r="D151" s="116">
        <v>100311111852602</v>
      </c>
      <c r="E151" s="35">
        <v>6425358</v>
      </c>
      <c r="F151" s="211">
        <v>826.63</v>
      </c>
      <c r="G151" s="183">
        <f t="shared" si="12"/>
        <v>61.005294000000006</v>
      </c>
      <c r="H151" s="211">
        <v>88.82</v>
      </c>
      <c r="I151" s="181">
        <f t="shared" si="13"/>
        <v>676.8047059999999</v>
      </c>
      <c r="J151" s="186" t="s">
        <v>23</v>
      </c>
      <c r="K151" s="211" t="s">
        <v>27</v>
      </c>
      <c r="L151" s="183">
        <f t="shared" si="11"/>
        <v>101.52070589999998</v>
      </c>
      <c r="M151" s="181">
        <f t="shared" si="7"/>
        <v>27.072188239999996</v>
      </c>
      <c r="N151" s="189">
        <f t="shared" si="8"/>
        <v>13.536094119999998</v>
      </c>
      <c r="O151" s="189">
        <f t="shared" si="9"/>
        <v>13.536094119999998</v>
      </c>
      <c r="P151" s="183">
        <f t="shared" si="10"/>
        <v>47.37632941999999</v>
      </c>
    </row>
    <row r="152" spans="1:16">
      <c r="A152" s="187">
        <v>150</v>
      </c>
      <c r="B152" s="92" t="s">
        <v>543</v>
      </c>
      <c r="C152" s="185" t="s">
        <v>22</v>
      </c>
      <c r="D152" s="116">
        <v>1003111852210</v>
      </c>
      <c r="E152" s="35">
        <v>6417089</v>
      </c>
      <c r="F152" s="211">
        <v>620.46</v>
      </c>
      <c r="G152" s="183">
        <f t="shared" si="12"/>
        <v>45.789948000000003</v>
      </c>
      <c r="H152" s="211">
        <v>76.53</v>
      </c>
      <c r="I152" s="181">
        <f t="shared" si="13"/>
        <v>498.14005200000008</v>
      </c>
      <c r="J152" s="186" t="s">
        <v>23</v>
      </c>
      <c r="K152" s="211" t="s">
        <v>176</v>
      </c>
      <c r="L152" s="183">
        <f t="shared" si="11"/>
        <v>74.72100780000001</v>
      </c>
      <c r="M152" s="181">
        <f t="shared" si="7"/>
        <v>19.925602080000004</v>
      </c>
      <c r="N152" s="189">
        <f t="shared" si="8"/>
        <v>9.9628010400000022</v>
      </c>
      <c r="O152" s="189">
        <f t="shared" si="9"/>
        <v>9.9628010400000022</v>
      </c>
      <c r="P152" s="183">
        <f t="shared" si="10"/>
        <v>34.869803640000001</v>
      </c>
    </row>
    <row r="153" spans="1:16">
      <c r="A153" s="187">
        <v>151</v>
      </c>
      <c r="B153" s="92" t="s">
        <v>544</v>
      </c>
      <c r="C153" s="185" t="s">
        <v>318</v>
      </c>
      <c r="D153" s="116">
        <v>203119668</v>
      </c>
      <c r="E153" s="35">
        <v>6423600</v>
      </c>
      <c r="F153" s="211">
        <v>567.29999999999995</v>
      </c>
      <c r="G153" s="183">
        <f t="shared" si="12"/>
        <v>41.86674</v>
      </c>
      <c r="H153" s="211">
        <v>0</v>
      </c>
      <c r="I153" s="181">
        <f t="shared" si="13"/>
        <v>525.4332599999999</v>
      </c>
      <c r="J153" s="186" t="s">
        <v>23</v>
      </c>
      <c r="K153" s="211" t="s">
        <v>27</v>
      </c>
      <c r="L153" s="183">
        <f t="shared" si="11"/>
        <v>78.814988999999983</v>
      </c>
      <c r="M153" s="181">
        <f t="shared" si="7"/>
        <v>21.017330399999995</v>
      </c>
      <c r="N153" s="189">
        <f t="shared" si="8"/>
        <v>10.508665199999998</v>
      </c>
      <c r="O153" s="189">
        <f t="shared" si="9"/>
        <v>10.508665199999998</v>
      </c>
      <c r="P153" s="183">
        <f t="shared" si="10"/>
        <v>36.7803282</v>
      </c>
    </row>
    <row r="154" spans="1:16">
      <c r="A154" s="187">
        <v>152</v>
      </c>
      <c r="B154" s="92" t="s">
        <v>545</v>
      </c>
      <c r="C154" s="185" t="s">
        <v>93</v>
      </c>
      <c r="D154" s="116">
        <v>100311111851918</v>
      </c>
      <c r="E154" s="35">
        <v>6405858</v>
      </c>
      <c r="F154" s="211">
        <v>707.64</v>
      </c>
      <c r="G154" s="183">
        <f t="shared" si="12"/>
        <v>52.223832000000002</v>
      </c>
      <c r="H154" s="211">
        <v>87.28</v>
      </c>
      <c r="I154" s="181">
        <f t="shared" si="13"/>
        <v>568.136168</v>
      </c>
      <c r="J154" s="186" t="s">
        <v>23</v>
      </c>
      <c r="K154" s="211" t="s">
        <v>40</v>
      </c>
      <c r="L154" s="183">
        <f t="shared" si="11"/>
        <v>85.220425199999994</v>
      </c>
      <c r="M154" s="181">
        <f t="shared" si="7"/>
        <v>22.725446720000001</v>
      </c>
      <c r="N154" s="189">
        <f t="shared" si="8"/>
        <v>11.36272336</v>
      </c>
      <c r="O154" s="189">
        <f t="shared" si="9"/>
        <v>11.36272336</v>
      </c>
      <c r="P154" s="183">
        <f t="shared" si="10"/>
        <v>39.769531759999992</v>
      </c>
    </row>
    <row r="155" spans="1:16">
      <c r="A155" s="187">
        <v>153</v>
      </c>
      <c r="B155" s="92" t="s">
        <v>546</v>
      </c>
      <c r="C155" s="185" t="s">
        <v>93</v>
      </c>
      <c r="D155" s="116"/>
      <c r="E155" s="35">
        <v>6429590</v>
      </c>
      <c r="F155" s="211">
        <v>551.70000000000005</v>
      </c>
      <c r="G155" s="183">
        <f t="shared" si="12"/>
        <v>40.715460000000007</v>
      </c>
      <c r="H155" s="211">
        <v>0</v>
      </c>
      <c r="I155" s="181">
        <f t="shared" si="13"/>
        <v>510.98454000000004</v>
      </c>
      <c r="J155" s="186" t="s">
        <v>23</v>
      </c>
      <c r="K155" s="211" t="s">
        <v>40</v>
      </c>
      <c r="L155" s="183">
        <f t="shared" si="11"/>
        <v>76.647681000000006</v>
      </c>
      <c r="M155" s="181">
        <f t="shared" si="7"/>
        <v>20.439381600000001</v>
      </c>
      <c r="N155" s="189">
        <f t="shared" si="8"/>
        <v>10.2196908</v>
      </c>
      <c r="O155" s="189">
        <f t="shared" si="9"/>
        <v>10.2196908</v>
      </c>
      <c r="P155" s="183">
        <f t="shared" si="10"/>
        <v>35.768917799999997</v>
      </c>
    </row>
    <row r="156" spans="1:16">
      <c r="A156" s="187">
        <v>154</v>
      </c>
      <c r="B156" s="92" t="s">
        <v>547</v>
      </c>
      <c r="C156" s="185" t="s">
        <v>18</v>
      </c>
      <c r="D156" s="116"/>
      <c r="E156" s="35">
        <v>64190001</v>
      </c>
      <c r="F156" s="211">
        <v>470.84</v>
      </c>
      <c r="G156" s="183">
        <f t="shared" si="12"/>
        <v>34.747992000000004</v>
      </c>
      <c r="H156" s="211">
        <v>39.19</v>
      </c>
      <c r="I156" s="181">
        <f t="shared" si="13"/>
        <v>396.90200799999997</v>
      </c>
      <c r="J156" s="186" t="s">
        <v>19</v>
      </c>
      <c r="K156" s="211" t="s">
        <v>78</v>
      </c>
      <c r="L156" s="183">
        <f t="shared" si="11"/>
        <v>59.535301199999992</v>
      </c>
      <c r="M156" s="181">
        <f t="shared" si="7"/>
        <v>15.87608032</v>
      </c>
      <c r="N156" s="189">
        <f t="shared" si="8"/>
        <v>7.9380401599999999</v>
      </c>
      <c r="O156" s="189">
        <f t="shared" si="9"/>
        <v>7.9380401599999999</v>
      </c>
      <c r="P156" s="183">
        <f t="shared" si="10"/>
        <v>27.783140559999993</v>
      </c>
    </row>
    <row r="157" spans="1:16">
      <c r="A157" s="187">
        <v>155</v>
      </c>
      <c r="B157" s="92" t="s">
        <v>548</v>
      </c>
      <c r="C157" s="185" t="s">
        <v>300</v>
      </c>
      <c r="D157" s="116">
        <v>10031111859125</v>
      </c>
      <c r="E157" s="35">
        <v>6417837</v>
      </c>
      <c r="F157" s="211">
        <v>562.04999999999995</v>
      </c>
      <c r="G157" s="183">
        <f t="shared" si="12"/>
        <v>41.479289999999999</v>
      </c>
      <c r="H157" s="211">
        <v>187.35</v>
      </c>
      <c r="I157" s="181">
        <f t="shared" si="13"/>
        <v>333.22070999999994</v>
      </c>
      <c r="J157" s="186" t="s">
        <v>23</v>
      </c>
      <c r="K157" s="211" t="s">
        <v>78</v>
      </c>
      <c r="L157" s="183">
        <f t="shared" si="11"/>
        <v>49.983106499999991</v>
      </c>
      <c r="M157" s="181">
        <f t="shared" si="7"/>
        <v>13.328828399999997</v>
      </c>
      <c r="N157" s="189">
        <f t="shared" si="8"/>
        <v>6.6644141999999986</v>
      </c>
      <c r="O157" s="189">
        <f t="shared" si="9"/>
        <v>6.6644141999999986</v>
      </c>
      <c r="P157" s="183">
        <f t="shared" si="10"/>
        <v>23.325449699999993</v>
      </c>
    </row>
    <row r="158" spans="1:16">
      <c r="A158" s="187">
        <v>156</v>
      </c>
      <c r="B158" s="92" t="s">
        <v>549</v>
      </c>
      <c r="C158" s="185" t="s">
        <v>93</v>
      </c>
      <c r="D158" s="116">
        <v>100311111858774</v>
      </c>
      <c r="E158" s="35">
        <v>6429278</v>
      </c>
      <c r="F158" s="211">
        <v>647.5</v>
      </c>
      <c r="G158" s="183">
        <f t="shared" si="12"/>
        <v>47.785500000000006</v>
      </c>
      <c r="H158" s="211">
        <v>69.58</v>
      </c>
      <c r="I158" s="181">
        <f t="shared" si="13"/>
        <v>530.1345</v>
      </c>
      <c r="J158" s="186" t="s">
        <v>23</v>
      </c>
      <c r="K158" s="211" t="s">
        <v>20</v>
      </c>
      <c r="L158" s="183">
        <f t="shared" si="11"/>
        <v>79.520174999999995</v>
      </c>
      <c r="M158" s="181">
        <f t="shared" si="7"/>
        <v>21.205380000000002</v>
      </c>
      <c r="N158" s="189">
        <f t="shared" si="8"/>
        <v>10.602690000000001</v>
      </c>
      <c r="O158" s="189">
        <f t="shared" si="9"/>
        <v>10.602690000000001</v>
      </c>
      <c r="P158" s="183">
        <f t="shared" si="10"/>
        <v>37.109414999999984</v>
      </c>
    </row>
    <row r="159" spans="1:16">
      <c r="A159" s="187">
        <v>157</v>
      </c>
      <c r="B159" s="92" t="s">
        <v>550</v>
      </c>
      <c r="C159" s="185" t="s">
        <v>93</v>
      </c>
      <c r="D159" s="116">
        <v>100311111858698</v>
      </c>
      <c r="E159" s="35">
        <v>6429004</v>
      </c>
      <c r="F159" s="211">
        <v>564.22</v>
      </c>
      <c r="G159" s="183">
        <f t="shared" si="12"/>
        <v>41.639436000000003</v>
      </c>
      <c r="H159" s="211">
        <v>188.07</v>
      </c>
      <c r="I159" s="181">
        <f t="shared" si="13"/>
        <v>334.51056399999999</v>
      </c>
      <c r="J159" s="186" t="s">
        <v>23</v>
      </c>
      <c r="K159" s="211" t="s">
        <v>20</v>
      </c>
      <c r="L159" s="183">
        <f t="shared" si="11"/>
        <v>50.176584599999998</v>
      </c>
      <c r="M159" s="181">
        <f t="shared" si="7"/>
        <v>13.38042256</v>
      </c>
      <c r="N159" s="189">
        <f t="shared" si="8"/>
        <v>6.6902112799999998</v>
      </c>
      <c r="O159" s="189">
        <f t="shared" si="9"/>
        <v>6.6902112799999998</v>
      </c>
      <c r="P159" s="183">
        <f t="shared" si="10"/>
        <v>23.415739479999999</v>
      </c>
    </row>
    <row r="160" spans="1:16">
      <c r="A160" s="187">
        <v>158</v>
      </c>
      <c r="B160" s="92" t="s">
        <v>551</v>
      </c>
      <c r="C160" s="185" t="s">
        <v>360</v>
      </c>
      <c r="D160" s="116">
        <v>100311111860258</v>
      </c>
      <c r="E160" s="35">
        <v>6425953</v>
      </c>
      <c r="F160" s="211">
        <v>544.91999999999996</v>
      </c>
      <c r="G160" s="183">
        <f t="shared" si="12"/>
        <v>40.215096000000003</v>
      </c>
      <c r="H160" s="211">
        <v>57.21</v>
      </c>
      <c r="I160" s="181">
        <f t="shared" si="13"/>
        <v>447.49490399999996</v>
      </c>
      <c r="J160" s="186" t="s">
        <v>552</v>
      </c>
      <c r="K160" s="211" t="s">
        <v>148</v>
      </c>
      <c r="L160" s="183">
        <f t="shared" si="11"/>
        <v>67.124235599999992</v>
      </c>
      <c r="M160" s="181">
        <f t="shared" si="7"/>
        <v>17.899796159999998</v>
      </c>
      <c r="N160" s="189">
        <f t="shared" si="8"/>
        <v>8.9498980799999988</v>
      </c>
      <c r="O160" s="189">
        <f t="shared" si="9"/>
        <v>8.9498980799999988</v>
      </c>
      <c r="P160" s="183">
        <f t="shared" si="10"/>
        <v>31.324643280000004</v>
      </c>
    </row>
    <row r="161" spans="1:16">
      <c r="A161" s="187">
        <v>159</v>
      </c>
      <c r="B161" s="92" t="s">
        <v>553</v>
      </c>
      <c r="C161" s="185" t="s">
        <v>29</v>
      </c>
      <c r="D161" s="116">
        <v>100311111860258</v>
      </c>
      <c r="E161" s="35">
        <v>6409650</v>
      </c>
      <c r="F161" s="211">
        <v>1120.04</v>
      </c>
      <c r="G161" s="183">
        <f t="shared" si="12"/>
        <v>82.658951999999999</v>
      </c>
      <c r="H161" s="211">
        <v>120.35</v>
      </c>
      <c r="I161" s="181">
        <f t="shared" si="13"/>
        <v>917.03104799999994</v>
      </c>
      <c r="J161" s="186" t="s">
        <v>23</v>
      </c>
      <c r="K161" s="211" t="s">
        <v>125</v>
      </c>
      <c r="L161" s="183">
        <f t="shared" si="11"/>
        <v>137.55465719999998</v>
      </c>
      <c r="M161" s="181">
        <f t="shared" si="7"/>
        <v>36.681241919999998</v>
      </c>
      <c r="N161" s="189">
        <f t="shared" si="8"/>
        <v>18.340620959999999</v>
      </c>
      <c r="O161" s="189">
        <f t="shared" si="9"/>
        <v>18.340620959999999</v>
      </c>
      <c r="P161" s="183">
        <f t="shared" si="10"/>
        <v>64.192173359999998</v>
      </c>
    </row>
    <row r="162" spans="1:16">
      <c r="A162" s="187">
        <v>160</v>
      </c>
      <c r="B162" s="92" t="s">
        <v>554</v>
      </c>
      <c r="C162" s="185" t="s">
        <v>22</v>
      </c>
      <c r="D162" s="116"/>
      <c r="E162" s="138" t="s">
        <v>555</v>
      </c>
      <c r="F162" s="211">
        <v>799.68</v>
      </c>
      <c r="G162" s="183">
        <f t="shared" si="12"/>
        <v>59.016384000000002</v>
      </c>
      <c r="H162" s="211">
        <v>66.64</v>
      </c>
      <c r="I162" s="181">
        <f t="shared" si="13"/>
        <v>674.02361599999995</v>
      </c>
      <c r="J162" s="186" t="s">
        <v>19</v>
      </c>
      <c r="K162" s="211" t="s">
        <v>42</v>
      </c>
      <c r="L162" s="183">
        <f t="shared" si="11"/>
        <v>101.10354239999999</v>
      </c>
      <c r="M162" s="181">
        <f t="shared" si="7"/>
        <v>26.960944639999997</v>
      </c>
      <c r="N162" s="189">
        <f t="shared" si="8"/>
        <v>13.480472319999999</v>
      </c>
      <c r="O162" s="189">
        <f t="shared" si="9"/>
        <v>13.480472319999999</v>
      </c>
      <c r="P162" s="183">
        <f t="shared" si="10"/>
        <v>47.181653120000007</v>
      </c>
    </row>
    <row r="163" spans="1:16">
      <c r="A163" s="187">
        <v>161</v>
      </c>
      <c r="B163" s="92" t="s">
        <v>556</v>
      </c>
      <c r="C163" s="185" t="s">
        <v>360</v>
      </c>
      <c r="D163" s="116"/>
      <c r="E163" s="138" t="s">
        <v>557</v>
      </c>
      <c r="F163" s="211">
        <v>369.2</v>
      </c>
      <c r="G163" s="183">
        <f t="shared" si="12"/>
        <v>27.246960000000001</v>
      </c>
      <c r="H163" s="211">
        <v>92.3</v>
      </c>
      <c r="I163" s="181">
        <f t="shared" si="13"/>
        <v>249.65303999999998</v>
      </c>
      <c r="J163" s="186" t="s">
        <v>19</v>
      </c>
      <c r="K163" s="211" t="s">
        <v>27</v>
      </c>
      <c r="L163" s="183">
        <f t="shared" si="11"/>
        <v>37.447955999999998</v>
      </c>
      <c r="M163" s="181">
        <f t="shared" si="7"/>
        <v>9.9861215999999988</v>
      </c>
      <c r="N163" s="189">
        <f t="shared" si="8"/>
        <v>4.9930607999999994</v>
      </c>
      <c r="O163" s="189">
        <f t="shared" si="9"/>
        <v>4.9930607999999994</v>
      </c>
      <c r="P163" s="183">
        <f t="shared" si="10"/>
        <v>17.475712800000004</v>
      </c>
    </row>
    <row r="164" spans="1:16">
      <c r="A164" s="187">
        <v>162</v>
      </c>
      <c r="B164" s="92" t="s">
        <v>558</v>
      </c>
      <c r="C164" s="185" t="s">
        <v>413</v>
      </c>
      <c r="D164" s="116">
        <v>10031111865331</v>
      </c>
      <c r="E164" s="35">
        <v>6434245</v>
      </c>
      <c r="F164" s="211">
        <v>904.26</v>
      </c>
      <c r="G164" s="183">
        <f t="shared" si="12"/>
        <v>66.73438800000001</v>
      </c>
      <c r="H164" s="211">
        <v>97.17</v>
      </c>
      <c r="I164" s="181">
        <f t="shared" si="13"/>
        <v>740.35561200000006</v>
      </c>
      <c r="J164" s="186" t="s">
        <v>23</v>
      </c>
      <c r="K164" s="211" t="s">
        <v>27</v>
      </c>
      <c r="L164" s="183">
        <f t="shared" si="11"/>
        <v>111.05334180000001</v>
      </c>
      <c r="M164" s="181">
        <f t="shared" si="7"/>
        <v>29.614224480000004</v>
      </c>
      <c r="N164" s="189">
        <f t="shared" si="8"/>
        <v>14.807112240000002</v>
      </c>
      <c r="O164" s="189">
        <f t="shared" si="9"/>
        <v>14.807112240000002</v>
      </c>
      <c r="P164" s="183">
        <f t="shared" si="10"/>
        <v>51.824892839999997</v>
      </c>
    </row>
    <row r="165" spans="1:16">
      <c r="A165" s="187">
        <v>163</v>
      </c>
      <c r="B165" s="92" t="s">
        <v>559</v>
      </c>
      <c r="C165" s="185" t="s">
        <v>560</v>
      </c>
      <c r="D165" s="116">
        <v>100311111862273</v>
      </c>
      <c r="E165" s="35">
        <v>6429621</v>
      </c>
      <c r="F165" s="211">
        <v>630.26</v>
      </c>
      <c r="G165" s="183">
        <f t="shared" si="12"/>
        <v>46.513188</v>
      </c>
      <c r="H165" s="211">
        <v>0</v>
      </c>
      <c r="I165" s="181">
        <f t="shared" si="13"/>
        <v>583.74681199999998</v>
      </c>
      <c r="J165" s="186" t="s">
        <v>23</v>
      </c>
      <c r="K165" s="211" t="s">
        <v>176</v>
      </c>
      <c r="L165" s="183">
        <f t="shared" si="11"/>
        <v>87.562021799999997</v>
      </c>
      <c r="M165" s="181">
        <f t="shared" si="7"/>
        <v>23.349872479999998</v>
      </c>
      <c r="N165" s="189">
        <f t="shared" si="8"/>
        <v>11.674936239999999</v>
      </c>
      <c r="O165" s="189">
        <f t="shared" si="9"/>
        <v>11.674936239999999</v>
      </c>
      <c r="P165" s="183">
        <f t="shared" si="10"/>
        <v>40.862276839999993</v>
      </c>
    </row>
    <row r="166" spans="1:16">
      <c r="A166" s="187">
        <v>164</v>
      </c>
      <c r="B166" s="92" t="s">
        <v>116</v>
      </c>
      <c r="C166" s="185" t="s">
        <v>413</v>
      </c>
      <c r="D166" s="116"/>
      <c r="E166" s="35">
        <v>6429672</v>
      </c>
      <c r="F166" s="211">
        <v>718.94</v>
      </c>
      <c r="G166" s="183">
        <f t="shared" si="12"/>
        <v>53.057772000000007</v>
      </c>
      <c r="H166" s="211">
        <v>77.25</v>
      </c>
      <c r="I166" s="181">
        <f t="shared" si="13"/>
        <v>588.63222800000005</v>
      </c>
      <c r="J166" s="186" t="s">
        <v>23</v>
      </c>
      <c r="K166" s="211" t="s">
        <v>117</v>
      </c>
      <c r="L166" s="183">
        <f t="shared" si="11"/>
        <v>88.294834200000011</v>
      </c>
      <c r="M166" s="181">
        <f t="shared" si="7"/>
        <v>23.545289120000003</v>
      </c>
      <c r="N166" s="189">
        <f t="shared" si="8"/>
        <v>11.772644560000002</v>
      </c>
      <c r="O166" s="189">
        <f t="shared" si="9"/>
        <v>11.772644560000002</v>
      </c>
      <c r="P166" s="183">
        <f t="shared" si="10"/>
        <v>41.204255959999998</v>
      </c>
    </row>
    <row r="167" spans="1:16">
      <c r="A167" s="187">
        <v>165</v>
      </c>
      <c r="B167" s="92" t="s">
        <v>561</v>
      </c>
      <c r="C167" s="185" t="s">
        <v>93</v>
      </c>
      <c r="D167" s="116"/>
      <c r="E167" s="35">
        <v>6438372</v>
      </c>
      <c r="F167" s="211">
        <v>598.92999999999995</v>
      </c>
      <c r="G167" s="183">
        <f t="shared" si="12"/>
        <v>44.201034</v>
      </c>
      <c r="H167" s="211">
        <v>73.87</v>
      </c>
      <c r="I167" s="181">
        <f t="shared" si="13"/>
        <v>480.8589659999999</v>
      </c>
      <c r="J167" s="186" t="s">
        <v>23</v>
      </c>
      <c r="K167" s="211" t="s">
        <v>176</v>
      </c>
      <c r="L167" s="183">
        <f t="shared" si="11"/>
        <v>72.128844899999976</v>
      </c>
      <c r="M167" s="181">
        <f t="shared" si="7"/>
        <v>19.234358639999996</v>
      </c>
      <c r="N167" s="189">
        <f t="shared" si="8"/>
        <v>9.6171793199999982</v>
      </c>
      <c r="O167" s="189">
        <f t="shared" si="9"/>
        <v>9.6171793199999982</v>
      </c>
      <c r="P167" s="183">
        <f t="shared" si="10"/>
        <v>33.660127619999983</v>
      </c>
    </row>
    <row r="168" spans="1:16">
      <c r="A168" s="187">
        <v>166</v>
      </c>
      <c r="B168" s="92" t="s">
        <v>562</v>
      </c>
      <c r="C168" s="185" t="s">
        <v>22</v>
      </c>
      <c r="D168" s="116"/>
      <c r="E168" s="35">
        <v>6416423</v>
      </c>
      <c r="F168" s="211">
        <v>659.87</v>
      </c>
      <c r="G168" s="183">
        <f t="shared" si="12"/>
        <v>48.698406000000006</v>
      </c>
      <c r="H168" s="211">
        <v>70.91</v>
      </c>
      <c r="I168" s="181">
        <f t="shared" si="13"/>
        <v>540.26159400000006</v>
      </c>
      <c r="J168" s="186" t="s">
        <v>23</v>
      </c>
      <c r="K168" s="211" t="s">
        <v>176</v>
      </c>
      <c r="L168" s="183">
        <f t="shared" si="11"/>
        <v>81.039239100000003</v>
      </c>
      <c r="M168" s="181">
        <f t="shared" si="7"/>
        <v>21.610463760000002</v>
      </c>
      <c r="N168" s="189">
        <f t="shared" si="8"/>
        <v>10.805231880000001</v>
      </c>
      <c r="O168" s="189">
        <f t="shared" si="9"/>
        <v>10.805231880000001</v>
      </c>
      <c r="P168" s="183">
        <f t="shared" si="10"/>
        <v>37.81831158</v>
      </c>
    </row>
    <row r="169" spans="1:16">
      <c r="A169" s="187">
        <v>167</v>
      </c>
      <c r="B169" s="92" t="s">
        <v>563</v>
      </c>
      <c r="C169" s="185" t="s">
        <v>318</v>
      </c>
      <c r="D169" s="116"/>
      <c r="E169" s="35">
        <v>6436781</v>
      </c>
      <c r="F169" s="211">
        <v>961.72</v>
      </c>
      <c r="G169" s="183">
        <f t="shared" si="12"/>
        <v>70.974936</v>
      </c>
      <c r="H169" s="211">
        <v>240.43</v>
      </c>
      <c r="I169" s="181">
        <f t="shared" si="13"/>
        <v>650.31506400000012</v>
      </c>
      <c r="J169" s="186" t="s">
        <v>23</v>
      </c>
      <c r="K169" s="211" t="s">
        <v>250</v>
      </c>
      <c r="L169" s="183">
        <f t="shared" si="11"/>
        <v>97.547259600000018</v>
      </c>
      <c r="M169" s="181">
        <f t="shared" si="7"/>
        <v>26.012602560000005</v>
      </c>
      <c r="N169" s="189">
        <f t="shared" si="8"/>
        <v>13.006301280000002</v>
      </c>
      <c r="O169" s="189">
        <f t="shared" si="9"/>
        <v>13.006301280000002</v>
      </c>
      <c r="P169" s="183">
        <f t="shared" si="10"/>
        <v>45.522054480000008</v>
      </c>
    </row>
    <row r="170" spans="1:16">
      <c r="A170" s="187">
        <v>168</v>
      </c>
      <c r="B170" s="92" t="s">
        <v>564</v>
      </c>
      <c r="C170" s="185" t="s">
        <v>360</v>
      </c>
      <c r="D170" s="116"/>
      <c r="E170" s="35">
        <v>6398213</v>
      </c>
      <c r="F170" s="211">
        <v>546.75</v>
      </c>
      <c r="G170" s="183">
        <f t="shared" si="12"/>
        <v>40.350149999999999</v>
      </c>
      <c r="H170" s="211">
        <v>68.87</v>
      </c>
      <c r="I170" s="181">
        <f t="shared" si="13"/>
        <v>437.52985000000001</v>
      </c>
      <c r="J170" s="186" t="s">
        <v>23</v>
      </c>
      <c r="K170" s="211" t="s">
        <v>367</v>
      </c>
      <c r="L170" s="183">
        <f t="shared" si="11"/>
        <v>65.629477499999993</v>
      </c>
      <c r="M170" s="181">
        <f t="shared" si="7"/>
        <v>17.501194000000002</v>
      </c>
      <c r="N170" s="189">
        <f t="shared" si="8"/>
        <v>8.7505970000000008</v>
      </c>
      <c r="O170" s="189">
        <f t="shared" si="9"/>
        <v>8.7505970000000008</v>
      </c>
      <c r="P170" s="183">
        <f t="shared" si="10"/>
        <v>30.627089499999997</v>
      </c>
    </row>
    <row r="171" spans="1:16">
      <c r="A171" s="187">
        <v>169</v>
      </c>
      <c r="B171" s="92" t="s">
        <v>565</v>
      </c>
      <c r="C171" s="185" t="s">
        <v>360</v>
      </c>
      <c r="D171" s="116"/>
      <c r="E171" s="35">
        <v>6398263</v>
      </c>
      <c r="F171" s="211">
        <v>556.98</v>
      </c>
      <c r="G171" s="183">
        <f t="shared" si="12"/>
        <v>41.105124000000004</v>
      </c>
      <c r="H171" s="211">
        <v>61.11</v>
      </c>
      <c r="I171" s="181">
        <f t="shared" si="13"/>
        <v>454.76487599999996</v>
      </c>
      <c r="J171" s="186" t="s">
        <v>23</v>
      </c>
      <c r="K171" s="211" t="s">
        <v>120</v>
      </c>
      <c r="L171" s="183">
        <f t="shared" si="11"/>
        <v>68.214731399999991</v>
      </c>
      <c r="M171" s="181">
        <f t="shared" si="7"/>
        <v>18.190595039999998</v>
      </c>
      <c r="N171" s="189">
        <f t="shared" si="8"/>
        <v>9.095297519999999</v>
      </c>
      <c r="O171" s="189">
        <f t="shared" si="9"/>
        <v>9.095297519999999</v>
      </c>
      <c r="P171" s="183">
        <f t="shared" si="10"/>
        <v>31.833541319999998</v>
      </c>
    </row>
    <row r="172" spans="1:16">
      <c r="A172" s="187">
        <v>170</v>
      </c>
      <c r="B172" s="92" t="s">
        <v>566</v>
      </c>
      <c r="C172" s="185" t="s">
        <v>93</v>
      </c>
      <c r="D172" s="116"/>
      <c r="E172" s="35">
        <v>6438859</v>
      </c>
      <c r="F172" s="211">
        <v>549.74</v>
      </c>
      <c r="G172" s="183">
        <f t="shared" si="12"/>
        <v>40.570812000000004</v>
      </c>
      <c r="H172" s="211">
        <v>59.07</v>
      </c>
      <c r="I172" s="181">
        <f t="shared" si="13"/>
        <v>450.09918800000003</v>
      </c>
      <c r="J172" s="186" t="s">
        <v>23</v>
      </c>
      <c r="K172" s="211" t="s">
        <v>20</v>
      </c>
      <c r="L172" s="183">
        <f t="shared" si="11"/>
        <v>67.514878199999998</v>
      </c>
      <c r="M172" s="181">
        <f t="shared" si="7"/>
        <v>18.00396752</v>
      </c>
      <c r="N172" s="189">
        <f t="shared" si="8"/>
        <v>9.0019837599999999</v>
      </c>
      <c r="O172" s="189">
        <f t="shared" si="9"/>
        <v>9.0019837599999999</v>
      </c>
      <c r="P172" s="183">
        <f t="shared" si="10"/>
        <v>31.506943159999992</v>
      </c>
    </row>
    <row r="173" spans="1:16">
      <c r="A173" s="187">
        <v>171</v>
      </c>
      <c r="B173" s="92" t="s">
        <v>567</v>
      </c>
      <c r="C173" s="185" t="s">
        <v>29</v>
      </c>
      <c r="D173" s="116"/>
      <c r="E173" s="35">
        <v>6436397</v>
      </c>
      <c r="F173" s="211">
        <v>689.67</v>
      </c>
      <c r="G173" s="183">
        <f t="shared" si="12"/>
        <v>50.897646000000002</v>
      </c>
      <c r="H173" s="211">
        <v>229.89</v>
      </c>
      <c r="I173" s="181">
        <f t="shared" si="13"/>
        <v>408.88235399999996</v>
      </c>
      <c r="J173" s="186" t="s">
        <v>23</v>
      </c>
      <c r="K173" s="211" t="s">
        <v>250</v>
      </c>
      <c r="L173" s="183">
        <f t="shared" si="11"/>
        <v>61.332353099999992</v>
      </c>
      <c r="M173" s="181">
        <f t="shared" si="7"/>
        <v>16.35529416</v>
      </c>
      <c r="N173" s="189">
        <f t="shared" si="8"/>
        <v>8.1776470799999998</v>
      </c>
      <c r="O173" s="189">
        <f t="shared" si="9"/>
        <v>8.1776470799999998</v>
      </c>
      <c r="P173" s="183">
        <f t="shared" si="10"/>
        <v>28.621764779999992</v>
      </c>
    </row>
    <row r="174" spans="1:16">
      <c r="A174" s="187">
        <v>172</v>
      </c>
      <c r="B174" s="92" t="s">
        <v>568</v>
      </c>
      <c r="C174" s="185" t="s">
        <v>360</v>
      </c>
      <c r="D174" s="116"/>
      <c r="E174" s="35">
        <v>6426272</v>
      </c>
      <c r="F174" s="211">
        <v>531.13</v>
      </c>
      <c r="G174" s="183">
        <f t="shared" si="12"/>
        <v>39.197394000000003</v>
      </c>
      <c r="H174" s="211">
        <v>140.30000000000001</v>
      </c>
      <c r="I174" s="181">
        <f t="shared" si="13"/>
        <v>351.63260599999995</v>
      </c>
      <c r="J174" s="186" t="s">
        <v>23</v>
      </c>
      <c r="K174" s="211" t="s">
        <v>248</v>
      </c>
      <c r="L174" s="183">
        <f t="shared" si="11"/>
        <v>52.744890899999994</v>
      </c>
      <c r="M174" s="181">
        <f t="shared" si="7"/>
        <v>14.065304239999998</v>
      </c>
      <c r="N174" s="189">
        <f t="shared" si="8"/>
        <v>7.032652119999999</v>
      </c>
      <c r="O174" s="189">
        <f t="shared" si="9"/>
        <v>7.032652119999999</v>
      </c>
      <c r="P174" s="183">
        <f t="shared" si="10"/>
        <v>24.614282420000002</v>
      </c>
    </row>
    <row r="175" spans="1:16">
      <c r="A175" s="187">
        <v>173</v>
      </c>
      <c r="B175" s="92" t="s">
        <v>569</v>
      </c>
      <c r="C175" s="185" t="s">
        <v>364</v>
      </c>
      <c r="D175" s="116"/>
      <c r="E175" s="35">
        <v>6436142</v>
      </c>
      <c r="F175" s="211">
        <v>578.49</v>
      </c>
      <c r="G175" s="183">
        <f t="shared" si="12"/>
        <v>42.692562000000002</v>
      </c>
      <c r="H175" s="211">
        <v>192.83</v>
      </c>
      <c r="I175" s="181">
        <f t="shared" si="13"/>
        <v>342.96743800000002</v>
      </c>
      <c r="J175" s="186" t="s">
        <v>23</v>
      </c>
      <c r="K175" s="211" t="s">
        <v>40</v>
      </c>
      <c r="L175" s="183">
        <f t="shared" si="11"/>
        <v>51.445115700000002</v>
      </c>
      <c r="M175" s="181">
        <f t="shared" si="7"/>
        <v>13.718697520000001</v>
      </c>
      <c r="N175" s="189">
        <f t="shared" si="8"/>
        <v>6.8593487600000005</v>
      </c>
      <c r="O175" s="189">
        <f t="shared" si="9"/>
        <v>6.8593487600000005</v>
      </c>
      <c r="P175" s="183">
        <f t="shared" si="10"/>
        <v>24.007720660000004</v>
      </c>
    </row>
    <row r="176" spans="1:16">
      <c r="A176" s="187">
        <v>174</v>
      </c>
      <c r="B176" s="92" t="s">
        <v>570</v>
      </c>
      <c r="C176" s="185" t="s">
        <v>18</v>
      </c>
      <c r="D176" s="116"/>
      <c r="E176" s="35">
        <v>6432495</v>
      </c>
      <c r="F176" s="211">
        <v>628.13</v>
      </c>
      <c r="G176" s="183">
        <f t="shared" si="12"/>
        <v>46.355994000000003</v>
      </c>
      <c r="H176" s="211">
        <v>0</v>
      </c>
      <c r="I176" s="181">
        <f t="shared" si="13"/>
        <v>581.77400599999999</v>
      </c>
      <c r="J176" s="186" t="s">
        <v>23</v>
      </c>
      <c r="K176" s="211" t="s">
        <v>27</v>
      </c>
      <c r="L176" s="183">
        <f t="shared" si="11"/>
        <v>87.266100899999998</v>
      </c>
      <c r="M176" s="181">
        <f t="shared" si="7"/>
        <v>23.270960240000001</v>
      </c>
      <c r="N176" s="189">
        <f t="shared" si="8"/>
        <v>11.63548012</v>
      </c>
      <c r="O176" s="189">
        <f t="shared" si="9"/>
        <v>11.63548012</v>
      </c>
      <c r="P176" s="183">
        <f t="shared" si="10"/>
        <v>40.724180419999996</v>
      </c>
    </row>
    <row r="177" spans="1:16">
      <c r="A177" s="187">
        <v>175</v>
      </c>
      <c r="B177" s="92" t="s">
        <v>571</v>
      </c>
      <c r="C177" s="185" t="s">
        <v>360</v>
      </c>
      <c r="D177" s="116"/>
      <c r="E177" s="138">
        <v>6393161</v>
      </c>
      <c r="F177" s="211">
        <v>488.01</v>
      </c>
      <c r="G177" s="183">
        <f t="shared" si="12"/>
        <v>36.015138</v>
      </c>
      <c r="H177" s="211">
        <v>57.34</v>
      </c>
      <c r="I177" s="181">
        <f t="shared" si="13"/>
        <v>394.65486199999998</v>
      </c>
      <c r="J177" s="186" t="s">
        <v>23</v>
      </c>
      <c r="K177" s="211" t="s">
        <v>78</v>
      </c>
      <c r="L177" s="183">
        <f t="shared" si="11"/>
        <v>59.198229299999994</v>
      </c>
      <c r="M177" s="181">
        <f t="shared" si="7"/>
        <v>15.786194479999999</v>
      </c>
      <c r="N177" s="189">
        <f t="shared" si="8"/>
        <v>7.8930972399999995</v>
      </c>
      <c r="O177" s="189">
        <f t="shared" si="9"/>
        <v>7.8930972399999995</v>
      </c>
      <c r="P177" s="183">
        <f t="shared" si="10"/>
        <v>27.62584034</v>
      </c>
    </row>
    <row r="178" spans="1:16">
      <c r="A178" s="187">
        <v>176</v>
      </c>
      <c r="B178" s="92" t="s">
        <v>572</v>
      </c>
      <c r="C178" s="185" t="s">
        <v>156</v>
      </c>
      <c r="D178" s="116"/>
      <c r="E178" s="35">
        <v>6367569</v>
      </c>
      <c r="F178" s="211">
        <v>414.04</v>
      </c>
      <c r="G178" s="183">
        <f t="shared" si="12"/>
        <v>30.556152000000004</v>
      </c>
      <c r="H178" s="211">
        <v>109.37</v>
      </c>
      <c r="I178" s="181">
        <f t="shared" si="13"/>
        <v>274.11384800000002</v>
      </c>
      <c r="J178" s="186" t="s">
        <v>19</v>
      </c>
      <c r="K178" s="211" t="s">
        <v>27</v>
      </c>
      <c r="L178" s="183">
        <f t="shared" si="11"/>
        <v>41.117077200000004</v>
      </c>
      <c r="M178" s="181">
        <f t="shared" si="7"/>
        <v>10.96455392</v>
      </c>
      <c r="N178" s="189">
        <f t="shared" si="8"/>
        <v>5.4822769600000001</v>
      </c>
      <c r="O178" s="189">
        <f t="shared" si="9"/>
        <v>5.4822769600000001</v>
      </c>
      <c r="P178" s="183">
        <f t="shared" si="10"/>
        <v>19.187969360000004</v>
      </c>
    </row>
    <row r="179" spans="1:16">
      <c r="A179" s="187">
        <v>177</v>
      </c>
      <c r="B179" s="92" t="s">
        <v>573</v>
      </c>
      <c r="C179" s="185" t="s">
        <v>93</v>
      </c>
      <c r="D179" s="116"/>
      <c r="E179" s="35">
        <v>6439363</v>
      </c>
      <c r="F179" s="211">
        <v>535.71</v>
      </c>
      <c r="G179" s="183">
        <f t="shared" si="12"/>
        <v>39.535398000000008</v>
      </c>
      <c r="H179" s="211">
        <v>141.51</v>
      </c>
      <c r="I179" s="181">
        <f t="shared" si="13"/>
        <v>354.66460200000006</v>
      </c>
      <c r="J179" s="186" t="s">
        <v>19</v>
      </c>
      <c r="K179" s="211" t="s">
        <v>148</v>
      </c>
      <c r="L179" s="183">
        <f t="shared" si="11"/>
        <v>53.199690300000007</v>
      </c>
      <c r="M179" s="181">
        <f t="shared" si="7"/>
        <v>14.186584080000003</v>
      </c>
      <c r="N179" s="189">
        <f t="shared" si="8"/>
        <v>7.0932920400000015</v>
      </c>
      <c r="O179" s="189">
        <f t="shared" si="9"/>
        <v>7.0932920400000015</v>
      </c>
      <c r="P179" s="183">
        <f t="shared" si="10"/>
        <v>24.826522140000002</v>
      </c>
    </row>
    <row r="180" spans="1:16">
      <c r="A180" s="43"/>
      <c r="B180" s="143"/>
      <c r="C180" s="197"/>
      <c r="D180" s="145"/>
      <c r="E180" s="197"/>
      <c r="F180" s="224"/>
      <c r="G180" s="224"/>
      <c r="H180" s="224"/>
      <c r="I180" s="224"/>
      <c r="J180" s="197"/>
      <c r="K180" s="198"/>
      <c r="L180" s="198"/>
      <c r="M180" s="198"/>
      <c r="N180" s="44"/>
      <c r="O180" s="44"/>
      <c r="P180" s="45"/>
    </row>
    <row r="181" spans="1:16" ht="15.6">
      <c r="A181" s="43"/>
      <c r="B181" s="148"/>
      <c r="C181" s="46"/>
      <c r="D181" s="149"/>
      <c r="E181" s="48" t="s">
        <v>188</v>
      </c>
      <c r="F181" s="49">
        <f>SUM(F3:F179)</f>
        <v>112794.11999999997</v>
      </c>
      <c r="G181" s="49">
        <f>SUM(G3:G179)</f>
        <v>8274.8102400000043</v>
      </c>
      <c r="H181" s="49">
        <f>SUM(H3:H179)</f>
        <v>14981.247000000001</v>
      </c>
      <c r="I181" s="49">
        <f>SUM(I3:I179)</f>
        <v>89538.062760000015</v>
      </c>
      <c r="J181" s="46"/>
      <c r="K181" s="50"/>
      <c r="L181" s="49">
        <f>SUM(L3:L179)</f>
        <v>13430.709414000001</v>
      </c>
      <c r="M181" s="49">
        <f>SUM(M3:M179)</f>
        <v>3581.5225104000001</v>
      </c>
      <c r="N181" s="49">
        <f>SUM(N3:N179)</f>
        <v>1790.7612552000001</v>
      </c>
      <c r="O181" s="49">
        <f>SUM(O3:O179)</f>
        <v>1790.7612552000001</v>
      </c>
      <c r="P181" s="49">
        <f>SUM(P3:P179)</f>
        <v>6267.6643932000015</v>
      </c>
    </row>
    <row r="182" spans="1:16">
      <c r="B182" s="150"/>
      <c r="D182" s="150"/>
      <c r="E182" s="203"/>
    </row>
    <row r="183" spans="1:16">
      <c r="B183" s="150"/>
      <c r="D183" s="150"/>
      <c r="E183" s="203"/>
    </row>
    <row r="184" spans="1:16">
      <c r="B184" s="150"/>
      <c r="D184" s="150"/>
      <c r="E184" s="203"/>
    </row>
    <row r="185" spans="1:16">
      <c r="B185" s="150"/>
      <c r="D185" s="150"/>
      <c r="E185" s="203"/>
    </row>
    <row r="186" spans="1:16">
      <c r="B186" s="150"/>
      <c r="D186" s="150"/>
    </row>
    <row r="187" spans="1:16">
      <c r="B187" s="150"/>
      <c r="D187" s="150"/>
    </row>
    <row r="188" spans="1:16">
      <c r="B188" s="150"/>
      <c r="D188" s="150"/>
    </row>
    <row r="189" spans="1:16">
      <c r="B189" s="150"/>
      <c r="D189" s="150"/>
    </row>
    <row r="190" spans="1:16">
      <c r="B190" s="150"/>
      <c r="D190" s="150"/>
    </row>
    <row r="191" spans="1:16">
      <c r="B191" s="150"/>
      <c r="D191" s="150"/>
    </row>
  </sheetData>
  <autoFilter ref="A2:P179" xr:uid="{3B8418DF-0B68-4855-AC5B-F5AFD86A767B}"/>
  <mergeCells count="1">
    <mergeCell ref="B1:Q1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JAN 26</vt:lpstr>
      <vt:lpstr>FEV 26 ELIDA</vt:lpstr>
      <vt:lpstr>FEV 26 SUELANE</vt:lpstr>
      <vt:lpstr>MAR 26</vt:lpstr>
      <vt:lpstr>'FEV 26 SUELANE'!Area_de_impressao</vt:lpstr>
      <vt:lpstr>'JAN 26'!Area_de_impressao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Cintia</dc:creator>
  <cp:keywords/>
  <dc:description/>
  <cp:lastModifiedBy>PATRICIA - Aliança GBA - Financeiro</cp:lastModifiedBy>
  <cp:revision/>
  <cp:lastPrinted>2026-04-01T16:35:50Z</cp:lastPrinted>
  <dcterms:created xsi:type="dcterms:W3CDTF">2020-02-07T12:45:00Z</dcterms:created>
  <dcterms:modified xsi:type="dcterms:W3CDTF">2026-04-23T16:34:18Z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681D40459A7245BDA437DAF218DFBADD</vt:lpwstr>
  </property>
  <property fmtid="{D5CDD505-2E9C-101B-9397-08002B2CF9AE}" pid="3" name="KSOProductBuildVer">
    <vt:lpwstr>1046-11.2.0.11486</vt:lpwstr>
  </property>
</Properties>
</file>